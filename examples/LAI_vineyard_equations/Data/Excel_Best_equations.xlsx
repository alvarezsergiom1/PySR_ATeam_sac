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PySR_ATeam_sac\examples\LAI_vineyard_equations\Data\"/>
    </mc:Choice>
  </mc:AlternateContent>
  <xr:revisionPtr revIDLastSave="0" documentId="13_ncr:1_{D8ED9226-D642-487C-B472-FFA215A35900}" xr6:coauthVersionLast="47" xr6:coauthVersionMax="47" xr10:uidLastSave="{00000000-0000-0000-0000-000000000000}"/>
  <bookViews>
    <workbookView xWindow="28680" yWindow="-120" windowWidth="29040" windowHeight="15720" xr2:uid="{38BD1CAC-15EE-4EBB-9F1F-974F54ABF734}"/>
  </bookViews>
  <sheets>
    <sheet name="Best_equ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  <c r="C10" i="1"/>
  <c r="C11" i="1"/>
  <c r="C12" i="1"/>
  <c r="C13" i="1"/>
  <c r="C8" i="1"/>
  <c r="C9" i="1"/>
  <c r="C5" i="1"/>
  <c r="C6" i="1"/>
  <c r="C7" i="1"/>
  <c r="C2" i="1"/>
  <c r="C3" i="1"/>
  <c r="C4" i="1"/>
</calcChain>
</file>

<file path=xl/sharedStrings.xml><?xml version="1.0" encoding="utf-8"?>
<sst xmlns="http://schemas.openxmlformats.org/spreadsheetml/2006/main" count="43" uniqueCount="26">
  <si>
    <t>PySR</t>
  </si>
  <si>
    <t>NDVIc</t>
  </si>
  <si>
    <t>name</t>
  </si>
  <si>
    <t>Model</t>
  </si>
  <si>
    <t>((CH - (GCC / (-1.2562525 - (NDYI * -2.5201893)))) * -1.300431) + (BNDVI * (((IKAW * -2.1131625) + (FC + 2.4931276)) * 2.3654578))</t>
  </si>
  <si>
    <t>LAI_eq</t>
  </si>
  <si>
    <t>NDVIf + ((-0.8929279 / (((CH * (((((CH * -0.035761595) * ((CH / FC) * CH)) - Blue) * CH) + 1.0015074)) + -0.9133233) - FC)) + EVI2)</t>
  </si>
  <si>
    <t>Eq_numb</t>
  </si>
  <si>
    <t>scenario</t>
  </si>
  <si>
    <t>Tran</t>
  </si>
  <si>
    <t>Tran_f</t>
  </si>
  <si>
    <t>NDVIc_f</t>
  </si>
  <si>
    <t>(((11.281451 / ((((CH * BAI) - SR) * ((CH + ((c_depth + VARI) - 2.7259064)) * c_depth)) + BAI)) + ((MRBVI + 2.4298637) * FC)) / CH) + GNDVI</t>
  </si>
  <si>
    <t>(1.2127819 / (NDVIf - (((((NIR - (CH * 0.33663014)) * (c_depth - (c_depth * CH))) + Blue) / FC) * ((1.0625637 / TSAVIm) - CH)))) + (NDVIf / 0.42017606)</t>
  </si>
  <si>
    <t>(((BCC + 0.38803244) / (((((CH * CH) / (FC / CH)) - ((TGI / CH) / (NDYI + -0.32053435))) / (NDDI / (((c_depth - NIRv) / FC) / (NLI / (CH + -0.6562961))))) + 1.0874854)) + 0.19774917) * 5.2733</t>
  </si>
  <si>
    <t>((4.7140665 / (3.7442265 - (((CH * (((CH * CH) * ((CH / FC) * -0.047952406)) - (Blue * TSAVIg))) + 1.3882616) * (CH / NDVIf)))) + 1.7670268) * OSAVI</t>
  </si>
  <si>
    <t>3.67878973956415*NDVIf + 17.1051135825517*BCC*GBNDVI + 2.74874496950228/(5.54871237577726 - 39.4914181618934*BCC) - CH</t>
  </si>
  <si>
    <t>RGRI + 10.8480208985154*NIR + 3.03260815219075*FC - 0.895490196054478 - 5.06554129223927*NIR*CH</t>
  </si>
  <si>
    <t>ChiptoVI</t>
  </si>
  <si>
    <t>ChiptoVI_f</t>
  </si>
  <si>
    <t>Euqa</t>
  </si>
  <si>
    <t>7.53452348975602*BNDVI + 3.15794906498864*FC*IKAW + -0.434009854014022/(0.463398345465726 - NDYI) - CH - 6.6949650688618*MRBVI**2</t>
  </si>
  <si>
    <t>0.426807294208343*CH + 206.951378206671*FC*EVI2/(CH**6 + 59.329320874589*FC*EVI)</t>
  </si>
  <si>
    <t>0.619093455380083 + 168.201140218509*FC*EVI2/(CH**5 + 51*FC*EVI)</t>
  </si>
  <si>
    <t>NIR + 1.76418623674398*NDVIf + 313.232450544872*NIR*FC/(CH + 101.887464206735*FC*EVI + c_depth*CH**6)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</si>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</sst>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8971-660C-415C-877B-E2D7CF89BE1F}">
  <dimension ref="A1:G13"/>
  <sheetViews>
    <sheetView tabSelected="1" workbookViewId="0">
      <selection activeCell="G4" sqref="G4"/>
    </sheetView>
  </sheetViews>
  <sheetFormatPr defaultRowHeight="15" x14ac:dyDescent="0.25"/>
  <cols>
    <col min="3" max="3" width="12.85546875" bestFit="1" customWidth="1"/>
    <col min="7" max="7" width="161.85546875" bestFit="1" customWidth="1"/>
  </cols>
  <sheetData>
    <row r="1" spans="1:7" x14ac:dyDescent="0.25">
      <c r="A1" t="s">
        <v>3</v>
      </c>
      <c r="B1" t="s">
        <v>8</v>
      </c>
      <c r="C1" t="s">
        <v>2</v>
      </c>
      <c r="D1" t="s">
        <v>7</v>
      </c>
      <c r="E1" t="s">
        <v>25</v>
      </c>
      <c r="F1" t="s">
        <v>3</v>
      </c>
      <c r="G1" t="s">
        <v>5</v>
      </c>
    </row>
    <row r="2" spans="1:7" x14ac:dyDescent="0.25">
      <c r="A2" t="s">
        <v>0</v>
      </c>
      <c r="B2" t="s">
        <v>18</v>
      </c>
      <c r="C2" t="str">
        <f>_xlfn.CONCAT(A2,"_",B2)</f>
        <v>PySR_ChiptoVI</v>
      </c>
      <c r="D2">
        <v>19</v>
      </c>
      <c r="E2">
        <v>1</v>
      </c>
      <c r="F2" t="str">
        <f>_xlfn.CONCAT(A2,"_",E2)</f>
        <v>PySR_1</v>
      </c>
      <c r="G2" t="s">
        <v>14</v>
      </c>
    </row>
    <row r="3" spans="1:7" x14ac:dyDescent="0.25">
      <c r="A3" t="s">
        <v>0</v>
      </c>
      <c r="B3" t="s">
        <v>19</v>
      </c>
      <c r="C3" t="str">
        <f>_xlfn.CONCAT(A3,"_",B3)</f>
        <v>PySR_ChiptoVI_f</v>
      </c>
      <c r="D3">
        <v>14</v>
      </c>
      <c r="E3">
        <v>2</v>
      </c>
      <c r="F3" t="str">
        <f t="shared" ref="F3:F13" si="0">_xlfn.CONCAT(A3,"_",E3)</f>
        <v>PySR_2</v>
      </c>
      <c r="G3" t="s">
        <v>15</v>
      </c>
    </row>
    <row r="4" spans="1:7" x14ac:dyDescent="0.25">
      <c r="A4" t="s">
        <v>0</v>
      </c>
      <c r="B4" t="s">
        <v>1</v>
      </c>
      <c r="C4" t="str">
        <f>_xlfn.CONCAT(A4,"_",B4)</f>
        <v>PySR_NDVIc</v>
      </c>
      <c r="D4">
        <v>11</v>
      </c>
      <c r="E4">
        <v>3</v>
      </c>
      <c r="F4" t="str">
        <f t="shared" si="0"/>
        <v>PySR_3</v>
      </c>
      <c r="G4" t="s">
        <v>4</v>
      </c>
    </row>
    <row r="5" spans="1:7" x14ac:dyDescent="0.25">
      <c r="A5" t="s">
        <v>0</v>
      </c>
      <c r="B5" t="s">
        <v>11</v>
      </c>
      <c r="C5" t="str">
        <f t="shared" ref="C5:C13" si="1">_xlfn.CONCAT(A5,"_",B5)</f>
        <v>PySR_NDVIc_f</v>
      </c>
      <c r="D5">
        <v>13</v>
      </c>
      <c r="E5">
        <v>4</v>
      </c>
      <c r="F5" t="str">
        <f t="shared" si="0"/>
        <v>PySR_4</v>
      </c>
      <c r="G5" t="s">
        <v>6</v>
      </c>
    </row>
    <row r="6" spans="1:7" x14ac:dyDescent="0.25">
      <c r="A6" t="s">
        <v>0</v>
      </c>
      <c r="B6" t="s">
        <v>9</v>
      </c>
      <c r="C6" t="str">
        <f t="shared" si="1"/>
        <v>PySR_Tran</v>
      </c>
      <c r="D6">
        <v>14</v>
      </c>
      <c r="E6">
        <v>5</v>
      </c>
      <c r="F6" t="str">
        <f t="shared" si="0"/>
        <v>PySR_5</v>
      </c>
      <c r="G6" t="s">
        <v>12</v>
      </c>
    </row>
    <row r="7" spans="1:7" x14ac:dyDescent="0.25">
      <c r="A7" t="s">
        <v>0</v>
      </c>
      <c r="B7" t="s">
        <v>10</v>
      </c>
      <c r="C7" t="str">
        <f t="shared" si="1"/>
        <v>PySR_Tran_f</v>
      </c>
      <c r="D7">
        <v>14</v>
      </c>
      <c r="E7">
        <v>6</v>
      </c>
      <c r="F7" t="str">
        <f t="shared" si="0"/>
        <v>PySR_6</v>
      </c>
      <c r="G7" t="s">
        <v>13</v>
      </c>
    </row>
    <row r="8" spans="1:7" x14ac:dyDescent="0.25">
      <c r="A8" t="s">
        <v>20</v>
      </c>
      <c r="B8" t="s">
        <v>18</v>
      </c>
      <c r="C8" t="str">
        <f>_xlfn.CONCAT(A8,"_",B8)</f>
        <v>Euqa_ChiptoVI</v>
      </c>
      <c r="D8">
        <v>24</v>
      </c>
      <c r="E8">
        <v>1</v>
      </c>
      <c r="F8" t="str">
        <f t="shared" si="0"/>
        <v>Euqa_1</v>
      </c>
      <c r="G8" t="s">
        <v>21</v>
      </c>
    </row>
    <row r="9" spans="1:7" x14ac:dyDescent="0.25">
      <c r="A9" t="s">
        <v>20</v>
      </c>
      <c r="B9" t="s">
        <v>19</v>
      </c>
      <c r="C9" t="str">
        <f>_xlfn.CONCAT(A9,"_",B9)</f>
        <v>Euqa_ChiptoVI_f</v>
      </c>
      <c r="D9">
        <v>28</v>
      </c>
      <c r="E9">
        <v>2</v>
      </c>
      <c r="F9" t="str">
        <f t="shared" si="0"/>
        <v>Euqa_2</v>
      </c>
      <c r="G9" t="s">
        <v>22</v>
      </c>
    </row>
    <row r="10" spans="1:7" x14ac:dyDescent="0.25">
      <c r="A10" t="s">
        <v>20</v>
      </c>
      <c r="B10" t="s">
        <v>1</v>
      </c>
      <c r="C10" t="str">
        <f t="shared" si="1"/>
        <v>Euqa_NDVIc</v>
      </c>
      <c r="D10">
        <v>20</v>
      </c>
      <c r="E10">
        <v>3</v>
      </c>
      <c r="F10" t="str">
        <f t="shared" si="0"/>
        <v>Euqa_3</v>
      </c>
      <c r="G10" t="s">
        <v>16</v>
      </c>
    </row>
    <row r="11" spans="1:7" x14ac:dyDescent="0.25">
      <c r="A11" t="s">
        <v>20</v>
      </c>
      <c r="B11" t="s">
        <v>11</v>
      </c>
      <c r="C11" t="str">
        <f t="shared" si="1"/>
        <v>Euqa_NDVIc_f</v>
      </c>
      <c r="D11">
        <v>24</v>
      </c>
      <c r="E11">
        <v>4</v>
      </c>
      <c r="F11" t="str">
        <f t="shared" si="0"/>
        <v>Euqa_4</v>
      </c>
      <c r="G11" t="s">
        <v>23</v>
      </c>
    </row>
    <row r="12" spans="1:7" x14ac:dyDescent="0.25">
      <c r="A12" t="s">
        <v>20</v>
      </c>
      <c r="B12" t="s">
        <v>9</v>
      </c>
      <c r="C12" t="str">
        <f t="shared" si="1"/>
        <v>Euqa_Tran</v>
      </c>
      <c r="D12">
        <v>17</v>
      </c>
      <c r="E12">
        <v>5</v>
      </c>
      <c r="F12" t="str">
        <f t="shared" si="0"/>
        <v>Euqa_5</v>
      </c>
      <c r="G12" t="s">
        <v>17</v>
      </c>
    </row>
    <row r="13" spans="1:7" x14ac:dyDescent="0.25">
      <c r="A13" t="s">
        <v>20</v>
      </c>
      <c r="B13" t="s">
        <v>10</v>
      </c>
      <c r="C13" t="str">
        <f t="shared" si="1"/>
        <v>Euqa_Tran_f</v>
      </c>
      <c r="D13">
        <v>34</v>
      </c>
      <c r="E13">
        <v>6</v>
      </c>
      <c r="F13" t="str">
        <f t="shared" si="0"/>
        <v>Euqa_6</v>
      </c>
      <c r="G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Best_equations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Carrion</cp:lastModifiedBy>
  <dcterms:created xsi:type="dcterms:W3CDTF">2026-01-20T23:47:53Z</dcterms:created>
  <dcterms:modified xsi:type="dcterms:W3CDTF">2026-01-23T18:19:56Z</dcterms:modified>
</cp:coreProperties>
</file>