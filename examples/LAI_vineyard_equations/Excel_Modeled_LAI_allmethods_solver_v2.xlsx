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PySR_ATeam_sac\examples\LAI_vineyard_equations\"/>
    </mc:Choice>
  </mc:AlternateContent>
  <xr:revisionPtr revIDLastSave="0" documentId="8_{165FC41D-FFC5-4A1A-9756-F76438E3BBDC}" xr6:coauthVersionLast="47" xr6:coauthVersionMax="47" xr10:uidLastSave="{00000000-0000-0000-0000-000000000000}"/>
  <bookViews>
    <workbookView xWindow="-120" yWindow="-120" windowWidth="29040" windowHeight="15720" xr2:uid="{292A3B89-8F13-4043-9D60-F1BDB284BF87}"/>
  </bookViews>
  <sheets>
    <sheet name="Modeled_LAI_allmethods" sheetId="1" r:id="rId1"/>
    <sheet name="Eureqa_best3_LAI" sheetId="3" r:id="rId2"/>
    <sheet name="Eureqa_best3_LAI_solver" sheetId="4" r:id="rId3"/>
    <sheet name="Sheet1" sheetId="2" r:id="rId4"/>
  </sheets>
  <definedNames>
    <definedName name="_xlnm._FilterDatabase" localSheetId="0" hidden="1">Modeled_LAI_allmethods!$A$1:$N$2409</definedName>
    <definedName name="solver_adj" localSheetId="0" hidden="1">Modeled_LAI_allmethods!$X$2:$X$6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Modeled_LAI_allmethods!$X$13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" i="1"/>
  <c r="R2" i="1"/>
  <c r="Q1339" i="1"/>
  <c r="R1339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AG2" i="1" a="1"/>
  <c r="AG2" i="1" s="1"/>
  <c r="S1339" i="1" l="1"/>
  <c r="T1339" i="1" s="1"/>
  <c r="Q2" i="1"/>
  <c r="S2" i="1" s="1"/>
  <c r="T2" i="1" s="1"/>
  <c r="Q3" i="1"/>
  <c r="S3" i="1" s="1"/>
  <c r="T3" i="1" s="1"/>
  <c r="Q4" i="1"/>
  <c r="S4" i="1" s="1"/>
  <c r="T4" i="1" s="1"/>
  <c r="Q5" i="1"/>
  <c r="S5" i="1" s="1"/>
  <c r="T5" i="1" s="1"/>
  <c r="Q6" i="1"/>
  <c r="S6" i="1" s="1"/>
  <c r="T6" i="1" s="1"/>
  <c r="Q7" i="1"/>
  <c r="S7" i="1" s="1"/>
  <c r="T7" i="1" s="1"/>
  <c r="Q8" i="1"/>
  <c r="S8" i="1" s="1"/>
  <c r="T8" i="1" s="1"/>
  <c r="Q9" i="1"/>
  <c r="S9" i="1" s="1"/>
  <c r="T9" i="1" s="1"/>
  <c r="Q10" i="1"/>
  <c r="S10" i="1" s="1"/>
  <c r="T10" i="1" s="1"/>
  <c r="Q11" i="1"/>
  <c r="S11" i="1" s="1"/>
  <c r="T11" i="1" s="1"/>
  <c r="Q12" i="1"/>
  <c r="S12" i="1" s="1"/>
  <c r="T12" i="1" s="1"/>
  <c r="Q13" i="1"/>
  <c r="S13" i="1" s="1"/>
  <c r="T13" i="1" s="1"/>
  <c r="Q14" i="1"/>
  <c r="S14" i="1" s="1"/>
  <c r="T14" i="1" s="1"/>
  <c r="Q15" i="1"/>
  <c r="S15" i="1" s="1"/>
  <c r="T15" i="1" s="1"/>
  <c r="Q16" i="1"/>
  <c r="S16" i="1" s="1"/>
  <c r="T16" i="1" s="1"/>
  <c r="Q17" i="1"/>
  <c r="S17" i="1" s="1"/>
  <c r="T17" i="1" s="1"/>
  <c r="Q18" i="1"/>
  <c r="S18" i="1" s="1"/>
  <c r="T18" i="1" s="1"/>
  <c r="Q19" i="1"/>
  <c r="S19" i="1" s="1"/>
  <c r="T19" i="1" s="1"/>
  <c r="Q20" i="1"/>
  <c r="S20" i="1" s="1"/>
  <c r="T20" i="1" s="1"/>
  <c r="Q21" i="1"/>
  <c r="S21" i="1" s="1"/>
  <c r="T21" i="1" s="1"/>
  <c r="Q22" i="1"/>
  <c r="S22" i="1" s="1"/>
  <c r="T22" i="1" s="1"/>
  <c r="Q23" i="1"/>
  <c r="S23" i="1" s="1"/>
  <c r="T23" i="1" s="1"/>
  <c r="Q24" i="1"/>
  <c r="S24" i="1" s="1"/>
  <c r="T24" i="1" s="1"/>
  <c r="Q25" i="1"/>
  <c r="S25" i="1" s="1"/>
  <c r="T25" i="1" s="1"/>
  <c r="Q26" i="1"/>
  <c r="S26" i="1" s="1"/>
  <c r="T26" i="1" s="1"/>
  <c r="Q27" i="1"/>
  <c r="S27" i="1" s="1"/>
  <c r="T27" i="1" s="1"/>
  <c r="Q28" i="1"/>
  <c r="S28" i="1" s="1"/>
  <c r="T28" i="1" s="1"/>
  <c r="Q29" i="1"/>
  <c r="S29" i="1" s="1"/>
  <c r="T29" i="1" s="1"/>
  <c r="Q30" i="1"/>
  <c r="S30" i="1" s="1"/>
  <c r="T30" i="1" s="1"/>
  <c r="Q31" i="1"/>
  <c r="S31" i="1" s="1"/>
  <c r="T31" i="1" s="1"/>
  <c r="Q32" i="1"/>
  <c r="S32" i="1" s="1"/>
  <c r="T32" i="1" s="1"/>
  <c r="Q33" i="1"/>
  <c r="S33" i="1" s="1"/>
  <c r="T33" i="1" s="1"/>
  <c r="Q34" i="1"/>
  <c r="S34" i="1" s="1"/>
  <c r="T34" i="1" s="1"/>
  <c r="Q35" i="1"/>
  <c r="S35" i="1" s="1"/>
  <c r="T35" i="1" s="1"/>
  <c r="Q36" i="1"/>
  <c r="S36" i="1" s="1"/>
  <c r="T36" i="1" s="1"/>
  <c r="Q37" i="1"/>
  <c r="S37" i="1" s="1"/>
  <c r="T37" i="1" s="1"/>
  <c r="Q38" i="1"/>
  <c r="S38" i="1" s="1"/>
  <c r="T38" i="1" s="1"/>
  <c r="Q39" i="1"/>
  <c r="S39" i="1" s="1"/>
  <c r="T39" i="1" s="1"/>
  <c r="Q40" i="1"/>
  <c r="S40" i="1" s="1"/>
  <c r="T40" i="1" s="1"/>
  <c r="Q41" i="1"/>
  <c r="S41" i="1" s="1"/>
  <c r="T41" i="1" s="1"/>
  <c r="Q42" i="1"/>
  <c r="S42" i="1" s="1"/>
  <c r="T42" i="1" s="1"/>
  <c r="Q43" i="1"/>
  <c r="S43" i="1" s="1"/>
  <c r="T43" i="1" s="1"/>
  <c r="Q44" i="1"/>
  <c r="S44" i="1" s="1"/>
  <c r="T44" i="1" s="1"/>
  <c r="Q45" i="1"/>
  <c r="S45" i="1" s="1"/>
  <c r="T45" i="1" s="1"/>
  <c r="Q46" i="1"/>
  <c r="S46" i="1" s="1"/>
  <c r="T46" i="1" s="1"/>
  <c r="Q47" i="1"/>
  <c r="S47" i="1" s="1"/>
  <c r="T47" i="1" s="1"/>
  <c r="Q48" i="1"/>
  <c r="S48" i="1" s="1"/>
  <c r="T48" i="1" s="1"/>
  <c r="Q49" i="1"/>
  <c r="S49" i="1" s="1"/>
  <c r="T49" i="1" s="1"/>
  <c r="Q50" i="1"/>
  <c r="S50" i="1" s="1"/>
  <c r="T50" i="1" s="1"/>
  <c r="Q51" i="1"/>
  <c r="S51" i="1" s="1"/>
  <c r="T51" i="1" s="1"/>
  <c r="Q52" i="1"/>
  <c r="S52" i="1" s="1"/>
  <c r="T52" i="1" s="1"/>
  <c r="Q53" i="1"/>
  <c r="S53" i="1" s="1"/>
  <c r="T53" i="1" s="1"/>
  <c r="Q54" i="1"/>
  <c r="S54" i="1" s="1"/>
  <c r="T54" i="1" s="1"/>
  <c r="Q55" i="1"/>
  <c r="S55" i="1" s="1"/>
  <c r="T55" i="1" s="1"/>
  <c r="Q56" i="1"/>
  <c r="S56" i="1" s="1"/>
  <c r="T56" i="1" s="1"/>
  <c r="Q57" i="1"/>
  <c r="S57" i="1" s="1"/>
  <c r="T57" i="1" s="1"/>
  <c r="Q58" i="1"/>
  <c r="S58" i="1" s="1"/>
  <c r="T58" i="1" s="1"/>
  <c r="Q59" i="1"/>
  <c r="S59" i="1" s="1"/>
  <c r="T59" i="1" s="1"/>
  <c r="Q60" i="1"/>
  <c r="S60" i="1" s="1"/>
  <c r="T60" i="1" s="1"/>
  <c r="Q61" i="1"/>
  <c r="S61" i="1" s="1"/>
  <c r="T61" i="1" s="1"/>
  <c r="Q62" i="1"/>
  <c r="S62" i="1" s="1"/>
  <c r="T62" i="1" s="1"/>
  <c r="Q63" i="1"/>
  <c r="S63" i="1" s="1"/>
  <c r="T63" i="1" s="1"/>
  <c r="Q64" i="1"/>
  <c r="S64" i="1" s="1"/>
  <c r="T64" i="1" s="1"/>
  <c r="Q65" i="1"/>
  <c r="S65" i="1" s="1"/>
  <c r="T65" i="1" s="1"/>
  <c r="Q66" i="1"/>
  <c r="S66" i="1" s="1"/>
  <c r="T66" i="1" s="1"/>
  <c r="Q67" i="1"/>
  <c r="S67" i="1" s="1"/>
  <c r="T67" i="1" s="1"/>
  <c r="Q68" i="1"/>
  <c r="S68" i="1" s="1"/>
  <c r="T68" i="1" s="1"/>
  <c r="Q69" i="1"/>
  <c r="S69" i="1" s="1"/>
  <c r="T69" i="1" s="1"/>
  <c r="Q70" i="1"/>
  <c r="S70" i="1" s="1"/>
  <c r="T70" i="1" s="1"/>
  <c r="Q71" i="1"/>
  <c r="S71" i="1" s="1"/>
  <c r="T71" i="1" s="1"/>
  <c r="Q72" i="1"/>
  <c r="S72" i="1" s="1"/>
  <c r="T72" i="1" s="1"/>
  <c r="Q73" i="1"/>
  <c r="S73" i="1" s="1"/>
  <c r="T73" i="1" s="1"/>
  <c r="Q74" i="1"/>
  <c r="S74" i="1" s="1"/>
  <c r="T74" i="1" s="1"/>
  <c r="Q75" i="1"/>
  <c r="S75" i="1" s="1"/>
  <c r="T75" i="1" s="1"/>
  <c r="Q76" i="1"/>
  <c r="S76" i="1" s="1"/>
  <c r="T76" i="1" s="1"/>
  <c r="Q77" i="1"/>
  <c r="S77" i="1" s="1"/>
  <c r="T77" i="1" s="1"/>
  <c r="Q78" i="1"/>
  <c r="S78" i="1" s="1"/>
  <c r="T78" i="1" s="1"/>
  <c r="Q79" i="1"/>
  <c r="S79" i="1" s="1"/>
  <c r="T79" i="1" s="1"/>
  <c r="Q80" i="1"/>
  <c r="S80" i="1" s="1"/>
  <c r="T80" i="1" s="1"/>
  <c r="Q81" i="1"/>
  <c r="S81" i="1" s="1"/>
  <c r="T81" i="1" s="1"/>
  <c r="Q82" i="1"/>
  <c r="S82" i="1" s="1"/>
  <c r="T82" i="1" s="1"/>
  <c r="Q83" i="1"/>
  <c r="S83" i="1" s="1"/>
  <c r="T83" i="1" s="1"/>
  <c r="Q84" i="1"/>
  <c r="S84" i="1" s="1"/>
  <c r="T84" i="1" s="1"/>
  <c r="Q85" i="1"/>
  <c r="S85" i="1" s="1"/>
  <c r="T85" i="1" s="1"/>
  <c r="Q86" i="1"/>
  <c r="S86" i="1" s="1"/>
  <c r="T86" i="1" s="1"/>
  <c r="Q87" i="1"/>
  <c r="S87" i="1" s="1"/>
  <c r="T87" i="1" s="1"/>
  <c r="Q88" i="1"/>
  <c r="S88" i="1" s="1"/>
  <c r="T88" i="1" s="1"/>
  <c r="Q89" i="1"/>
  <c r="S89" i="1" s="1"/>
  <c r="T89" i="1" s="1"/>
  <c r="Q90" i="1"/>
  <c r="S90" i="1" s="1"/>
  <c r="T90" i="1" s="1"/>
  <c r="Q91" i="1"/>
  <c r="S91" i="1" s="1"/>
  <c r="T91" i="1" s="1"/>
  <c r="Q92" i="1"/>
  <c r="S92" i="1" s="1"/>
  <c r="T92" i="1" s="1"/>
  <c r="Q93" i="1"/>
  <c r="S93" i="1" s="1"/>
  <c r="T93" i="1" s="1"/>
  <c r="Q94" i="1"/>
  <c r="S94" i="1" s="1"/>
  <c r="T94" i="1" s="1"/>
  <c r="Q95" i="1"/>
  <c r="S95" i="1" s="1"/>
  <c r="T95" i="1" s="1"/>
  <c r="Q96" i="1"/>
  <c r="S96" i="1" s="1"/>
  <c r="T96" i="1" s="1"/>
  <c r="Q97" i="1"/>
  <c r="S97" i="1" s="1"/>
  <c r="T97" i="1" s="1"/>
  <c r="Q98" i="1"/>
  <c r="S98" i="1" s="1"/>
  <c r="T98" i="1" s="1"/>
  <c r="Q99" i="1"/>
  <c r="S99" i="1" s="1"/>
  <c r="T99" i="1" s="1"/>
  <c r="Q100" i="1"/>
  <c r="S100" i="1" s="1"/>
  <c r="T100" i="1" s="1"/>
  <c r="Q101" i="1"/>
  <c r="S101" i="1" s="1"/>
  <c r="T101" i="1" s="1"/>
  <c r="Q102" i="1"/>
  <c r="S102" i="1" s="1"/>
  <c r="T102" i="1" s="1"/>
  <c r="Q103" i="1"/>
  <c r="S103" i="1" s="1"/>
  <c r="T103" i="1" s="1"/>
  <c r="Q104" i="1"/>
  <c r="S104" i="1" s="1"/>
  <c r="T104" i="1" s="1"/>
  <c r="Q105" i="1"/>
  <c r="S105" i="1" s="1"/>
  <c r="T105" i="1" s="1"/>
  <c r="Q106" i="1"/>
  <c r="S106" i="1" s="1"/>
  <c r="T106" i="1" s="1"/>
  <c r="Q107" i="1"/>
  <c r="S107" i="1" s="1"/>
  <c r="T107" i="1" s="1"/>
  <c r="Q108" i="1"/>
  <c r="S108" i="1" s="1"/>
  <c r="T108" i="1" s="1"/>
  <c r="Q109" i="1"/>
  <c r="S109" i="1" s="1"/>
  <c r="T109" i="1" s="1"/>
  <c r="Q110" i="1"/>
  <c r="S110" i="1" s="1"/>
  <c r="T110" i="1" s="1"/>
  <c r="Q111" i="1"/>
  <c r="S111" i="1" s="1"/>
  <c r="T111" i="1" s="1"/>
  <c r="Q112" i="1"/>
  <c r="S112" i="1" s="1"/>
  <c r="T112" i="1" s="1"/>
  <c r="Q113" i="1"/>
  <c r="S113" i="1" s="1"/>
  <c r="T113" i="1" s="1"/>
  <c r="Q114" i="1"/>
  <c r="S114" i="1" s="1"/>
  <c r="T114" i="1" s="1"/>
  <c r="Q115" i="1"/>
  <c r="S115" i="1" s="1"/>
  <c r="T115" i="1" s="1"/>
  <c r="Q116" i="1"/>
  <c r="S116" i="1" s="1"/>
  <c r="T116" i="1" s="1"/>
  <c r="Q117" i="1"/>
  <c r="S117" i="1" s="1"/>
  <c r="T117" i="1" s="1"/>
  <c r="Q118" i="1"/>
  <c r="S118" i="1" s="1"/>
  <c r="T118" i="1" s="1"/>
  <c r="Q119" i="1"/>
  <c r="S119" i="1" s="1"/>
  <c r="T119" i="1" s="1"/>
  <c r="Q120" i="1"/>
  <c r="S120" i="1" s="1"/>
  <c r="T120" i="1" s="1"/>
  <c r="Q121" i="1"/>
  <c r="S121" i="1" s="1"/>
  <c r="T121" i="1" s="1"/>
  <c r="Q122" i="1"/>
  <c r="S122" i="1" s="1"/>
  <c r="T122" i="1" s="1"/>
  <c r="Q123" i="1"/>
  <c r="S123" i="1" s="1"/>
  <c r="T123" i="1" s="1"/>
  <c r="Q124" i="1"/>
  <c r="S124" i="1" s="1"/>
  <c r="T124" i="1" s="1"/>
  <c r="Q125" i="1"/>
  <c r="S125" i="1" s="1"/>
  <c r="T125" i="1" s="1"/>
  <c r="Q126" i="1"/>
  <c r="S126" i="1" s="1"/>
  <c r="T126" i="1" s="1"/>
  <c r="Q127" i="1"/>
  <c r="S127" i="1" s="1"/>
  <c r="T127" i="1" s="1"/>
  <c r="Q128" i="1"/>
  <c r="S128" i="1" s="1"/>
  <c r="T128" i="1" s="1"/>
  <c r="Q129" i="1"/>
  <c r="S129" i="1" s="1"/>
  <c r="T129" i="1" s="1"/>
  <c r="Q130" i="1"/>
  <c r="S130" i="1" s="1"/>
  <c r="T130" i="1" s="1"/>
  <c r="Q131" i="1"/>
  <c r="S131" i="1" s="1"/>
  <c r="T131" i="1" s="1"/>
  <c r="Q132" i="1"/>
  <c r="S132" i="1" s="1"/>
  <c r="T132" i="1" s="1"/>
  <c r="Q133" i="1"/>
  <c r="S133" i="1" s="1"/>
  <c r="T133" i="1" s="1"/>
  <c r="Q134" i="1"/>
  <c r="S134" i="1" s="1"/>
  <c r="T134" i="1" s="1"/>
  <c r="Q135" i="1"/>
  <c r="S135" i="1" s="1"/>
  <c r="T135" i="1" s="1"/>
  <c r="Q136" i="1"/>
  <c r="S136" i="1" s="1"/>
  <c r="T136" i="1" s="1"/>
  <c r="Q137" i="1"/>
  <c r="S137" i="1" s="1"/>
  <c r="T137" i="1" s="1"/>
  <c r="Q138" i="1"/>
  <c r="S138" i="1" s="1"/>
  <c r="T138" i="1" s="1"/>
  <c r="Q139" i="1"/>
  <c r="S139" i="1" s="1"/>
  <c r="T139" i="1" s="1"/>
  <c r="Q140" i="1"/>
  <c r="S140" i="1" s="1"/>
  <c r="T140" i="1" s="1"/>
  <c r="Q141" i="1"/>
  <c r="S141" i="1" s="1"/>
  <c r="T141" i="1" s="1"/>
  <c r="Q142" i="1"/>
  <c r="S142" i="1" s="1"/>
  <c r="T142" i="1" s="1"/>
  <c r="Q143" i="1"/>
  <c r="S143" i="1" s="1"/>
  <c r="T143" i="1" s="1"/>
  <c r="Q144" i="1"/>
  <c r="S144" i="1" s="1"/>
  <c r="T144" i="1" s="1"/>
  <c r="Q145" i="1"/>
  <c r="S145" i="1" s="1"/>
  <c r="T145" i="1" s="1"/>
  <c r="Q146" i="1"/>
  <c r="S146" i="1" s="1"/>
  <c r="T146" i="1" s="1"/>
  <c r="Q147" i="1"/>
  <c r="S147" i="1" s="1"/>
  <c r="T147" i="1" s="1"/>
  <c r="Q148" i="1"/>
  <c r="S148" i="1" s="1"/>
  <c r="T148" i="1" s="1"/>
  <c r="Q149" i="1"/>
  <c r="S149" i="1" s="1"/>
  <c r="T149" i="1" s="1"/>
  <c r="Q150" i="1"/>
  <c r="S150" i="1" s="1"/>
  <c r="T150" i="1" s="1"/>
  <c r="Q151" i="1"/>
  <c r="S151" i="1" s="1"/>
  <c r="T151" i="1" s="1"/>
  <c r="Q152" i="1"/>
  <c r="S152" i="1" s="1"/>
  <c r="T152" i="1" s="1"/>
  <c r="Q153" i="1"/>
  <c r="S153" i="1" s="1"/>
  <c r="T153" i="1" s="1"/>
  <c r="Q154" i="1"/>
  <c r="S154" i="1" s="1"/>
  <c r="T154" i="1" s="1"/>
  <c r="Q155" i="1"/>
  <c r="S155" i="1" s="1"/>
  <c r="T155" i="1" s="1"/>
  <c r="Q156" i="1"/>
  <c r="S156" i="1" s="1"/>
  <c r="T156" i="1" s="1"/>
  <c r="Q157" i="1"/>
  <c r="S157" i="1" s="1"/>
  <c r="T157" i="1" s="1"/>
  <c r="Q158" i="1"/>
  <c r="S158" i="1" s="1"/>
  <c r="T158" i="1" s="1"/>
  <c r="Q159" i="1"/>
  <c r="S159" i="1" s="1"/>
  <c r="T159" i="1" s="1"/>
  <c r="Q160" i="1"/>
  <c r="S160" i="1" s="1"/>
  <c r="T160" i="1" s="1"/>
  <c r="Q161" i="1"/>
  <c r="S161" i="1" s="1"/>
  <c r="T161" i="1" s="1"/>
  <c r="Q162" i="1"/>
  <c r="S162" i="1" s="1"/>
  <c r="T162" i="1" s="1"/>
  <c r="Q163" i="1"/>
  <c r="S163" i="1" s="1"/>
  <c r="T163" i="1" s="1"/>
  <c r="Q164" i="1"/>
  <c r="S164" i="1" s="1"/>
  <c r="T164" i="1" s="1"/>
  <c r="Q165" i="1"/>
  <c r="S165" i="1" s="1"/>
  <c r="T165" i="1" s="1"/>
  <c r="Q166" i="1"/>
  <c r="S166" i="1" s="1"/>
  <c r="T166" i="1" s="1"/>
  <c r="Q167" i="1"/>
  <c r="S167" i="1" s="1"/>
  <c r="T167" i="1" s="1"/>
  <c r="Q168" i="1"/>
  <c r="S168" i="1" s="1"/>
  <c r="T168" i="1" s="1"/>
  <c r="Q169" i="1"/>
  <c r="S169" i="1" s="1"/>
  <c r="T169" i="1" s="1"/>
  <c r="Q170" i="1"/>
  <c r="S170" i="1" s="1"/>
  <c r="T170" i="1" s="1"/>
  <c r="Q171" i="1"/>
  <c r="S171" i="1" s="1"/>
  <c r="T171" i="1" s="1"/>
  <c r="Q172" i="1"/>
  <c r="S172" i="1" s="1"/>
  <c r="T172" i="1" s="1"/>
  <c r="Q173" i="1"/>
  <c r="S173" i="1" s="1"/>
  <c r="T173" i="1" s="1"/>
  <c r="Q174" i="1"/>
  <c r="S174" i="1" s="1"/>
  <c r="T174" i="1" s="1"/>
  <c r="Q175" i="1"/>
  <c r="S175" i="1" s="1"/>
  <c r="T175" i="1" s="1"/>
  <c r="Q176" i="1"/>
  <c r="S176" i="1" s="1"/>
  <c r="T176" i="1" s="1"/>
  <c r="Q177" i="1"/>
  <c r="S177" i="1" s="1"/>
  <c r="T177" i="1" s="1"/>
  <c r="Q178" i="1"/>
  <c r="S178" i="1" s="1"/>
  <c r="T178" i="1" s="1"/>
  <c r="Q179" i="1"/>
  <c r="S179" i="1" s="1"/>
  <c r="T179" i="1" s="1"/>
  <c r="Q180" i="1"/>
  <c r="S180" i="1" s="1"/>
  <c r="T180" i="1" s="1"/>
  <c r="Q181" i="1"/>
  <c r="S181" i="1" s="1"/>
  <c r="T181" i="1" s="1"/>
  <c r="Q182" i="1"/>
  <c r="S182" i="1" s="1"/>
  <c r="T182" i="1" s="1"/>
  <c r="Q183" i="1"/>
  <c r="S183" i="1" s="1"/>
  <c r="T183" i="1" s="1"/>
  <c r="Q184" i="1"/>
  <c r="S184" i="1" s="1"/>
  <c r="T184" i="1" s="1"/>
  <c r="Q185" i="1"/>
  <c r="S185" i="1" s="1"/>
  <c r="T185" i="1" s="1"/>
  <c r="Q186" i="1"/>
  <c r="S186" i="1" s="1"/>
  <c r="T186" i="1" s="1"/>
  <c r="Q187" i="1"/>
  <c r="S187" i="1" s="1"/>
  <c r="T187" i="1" s="1"/>
  <c r="Q188" i="1"/>
  <c r="S188" i="1" s="1"/>
  <c r="T188" i="1" s="1"/>
  <c r="Q189" i="1"/>
  <c r="S189" i="1" s="1"/>
  <c r="T189" i="1" s="1"/>
  <c r="Q190" i="1"/>
  <c r="S190" i="1" s="1"/>
  <c r="T190" i="1" s="1"/>
  <c r="Q191" i="1"/>
  <c r="S191" i="1" s="1"/>
  <c r="T191" i="1" s="1"/>
  <c r="Q192" i="1"/>
  <c r="S192" i="1" s="1"/>
  <c r="T192" i="1" s="1"/>
  <c r="Q193" i="1"/>
  <c r="S193" i="1" s="1"/>
  <c r="T193" i="1" s="1"/>
  <c r="Q194" i="1"/>
  <c r="S194" i="1" s="1"/>
  <c r="T194" i="1" s="1"/>
  <c r="Q195" i="1"/>
  <c r="S195" i="1" s="1"/>
  <c r="T195" i="1" s="1"/>
  <c r="Q196" i="1"/>
  <c r="S196" i="1" s="1"/>
  <c r="T196" i="1" s="1"/>
  <c r="Q197" i="1"/>
  <c r="S197" i="1" s="1"/>
  <c r="T197" i="1" s="1"/>
  <c r="Q198" i="1"/>
  <c r="S198" i="1" s="1"/>
  <c r="T198" i="1" s="1"/>
  <c r="Q199" i="1"/>
  <c r="S199" i="1" s="1"/>
  <c r="T199" i="1" s="1"/>
  <c r="Q200" i="1"/>
  <c r="S200" i="1" s="1"/>
  <c r="T200" i="1" s="1"/>
  <c r="Q201" i="1"/>
  <c r="S201" i="1" s="1"/>
  <c r="T201" i="1" s="1"/>
  <c r="Q202" i="1"/>
  <c r="S202" i="1" s="1"/>
  <c r="T202" i="1" s="1"/>
  <c r="Q203" i="1"/>
  <c r="S203" i="1" s="1"/>
  <c r="T203" i="1" s="1"/>
  <c r="Q204" i="1"/>
  <c r="S204" i="1" s="1"/>
  <c r="T204" i="1" s="1"/>
  <c r="Q205" i="1"/>
  <c r="S205" i="1" s="1"/>
  <c r="T205" i="1" s="1"/>
  <c r="Q206" i="1"/>
  <c r="S206" i="1" s="1"/>
  <c r="T206" i="1" s="1"/>
  <c r="Q207" i="1"/>
  <c r="S207" i="1" s="1"/>
  <c r="T207" i="1" s="1"/>
  <c r="Q208" i="1"/>
  <c r="S208" i="1" s="1"/>
  <c r="T208" i="1" s="1"/>
  <c r="Q209" i="1"/>
  <c r="S209" i="1" s="1"/>
  <c r="T209" i="1" s="1"/>
  <c r="Q210" i="1"/>
  <c r="S210" i="1" s="1"/>
  <c r="T210" i="1" s="1"/>
  <c r="Q211" i="1"/>
  <c r="S211" i="1" s="1"/>
  <c r="T211" i="1" s="1"/>
  <c r="Q212" i="1"/>
  <c r="S212" i="1" s="1"/>
  <c r="T212" i="1" s="1"/>
  <c r="Q213" i="1"/>
  <c r="S213" i="1" s="1"/>
  <c r="T213" i="1" s="1"/>
  <c r="Q214" i="1"/>
  <c r="S214" i="1" s="1"/>
  <c r="T214" i="1" s="1"/>
  <c r="Q215" i="1"/>
  <c r="S215" i="1" s="1"/>
  <c r="T215" i="1" s="1"/>
  <c r="Q216" i="1"/>
  <c r="S216" i="1" s="1"/>
  <c r="T216" i="1" s="1"/>
  <c r="Q217" i="1"/>
  <c r="S217" i="1" s="1"/>
  <c r="T217" i="1" s="1"/>
  <c r="Q218" i="1"/>
  <c r="S218" i="1" s="1"/>
  <c r="T218" i="1" s="1"/>
  <c r="Q219" i="1"/>
  <c r="S219" i="1" s="1"/>
  <c r="T219" i="1" s="1"/>
  <c r="Q220" i="1"/>
  <c r="S220" i="1" s="1"/>
  <c r="T220" i="1" s="1"/>
  <c r="Q221" i="1"/>
  <c r="S221" i="1" s="1"/>
  <c r="T221" i="1" s="1"/>
  <c r="Q222" i="1"/>
  <c r="S222" i="1" s="1"/>
  <c r="T222" i="1" s="1"/>
  <c r="Q223" i="1"/>
  <c r="S223" i="1" s="1"/>
  <c r="T223" i="1" s="1"/>
  <c r="Q224" i="1"/>
  <c r="S224" i="1" s="1"/>
  <c r="T224" i="1" s="1"/>
  <c r="Q225" i="1"/>
  <c r="S225" i="1" s="1"/>
  <c r="T225" i="1" s="1"/>
  <c r="Q226" i="1"/>
  <c r="S226" i="1" s="1"/>
  <c r="T226" i="1" s="1"/>
  <c r="Q227" i="1"/>
  <c r="S227" i="1" s="1"/>
  <c r="T227" i="1" s="1"/>
  <c r="Q228" i="1"/>
  <c r="S228" i="1" s="1"/>
  <c r="T228" i="1" s="1"/>
  <c r="Q229" i="1"/>
  <c r="S229" i="1" s="1"/>
  <c r="T229" i="1" s="1"/>
  <c r="Q230" i="1"/>
  <c r="S230" i="1" s="1"/>
  <c r="T230" i="1" s="1"/>
  <c r="Q231" i="1"/>
  <c r="S231" i="1" s="1"/>
  <c r="T231" i="1" s="1"/>
  <c r="Q232" i="1"/>
  <c r="S232" i="1" s="1"/>
  <c r="T232" i="1" s="1"/>
  <c r="Q233" i="1"/>
  <c r="S233" i="1" s="1"/>
  <c r="T233" i="1" s="1"/>
  <c r="Q234" i="1"/>
  <c r="S234" i="1" s="1"/>
  <c r="T234" i="1" s="1"/>
  <c r="Q235" i="1"/>
  <c r="S235" i="1" s="1"/>
  <c r="T235" i="1" s="1"/>
  <c r="Q236" i="1"/>
  <c r="S236" i="1" s="1"/>
  <c r="T236" i="1" s="1"/>
  <c r="Q237" i="1"/>
  <c r="S237" i="1" s="1"/>
  <c r="T237" i="1" s="1"/>
  <c r="Q238" i="1"/>
  <c r="S238" i="1" s="1"/>
  <c r="T238" i="1" s="1"/>
  <c r="Q239" i="1"/>
  <c r="S239" i="1" s="1"/>
  <c r="T239" i="1" s="1"/>
  <c r="Q240" i="1"/>
  <c r="S240" i="1" s="1"/>
  <c r="T240" i="1" s="1"/>
  <c r="Q241" i="1"/>
  <c r="S241" i="1" s="1"/>
  <c r="T241" i="1" s="1"/>
  <c r="Q242" i="1"/>
  <c r="S242" i="1" s="1"/>
  <c r="T242" i="1" s="1"/>
  <c r="Q243" i="1"/>
  <c r="S243" i="1" s="1"/>
  <c r="T243" i="1" s="1"/>
  <c r="Q244" i="1"/>
  <c r="S244" i="1" s="1"/>
  <c r="T244" i="1" s="1"/>
  <c r="Q245" i="1"/>
  <c r="S245" i="1" s="1"/>
  <c r="T245" i="1" s="1"/>
  <c r="Q246" i="1"/>
  <c r="S246" i="1" s="1"/>
  <c r="T246" i="1" s="1"/>
  <c r="Q247" i="1"/>
  <c r="S247" i="1" s="1"/>
  <c r="T247" i="1" s="1"/>
  <c r="Q248" i="1"/>
  <c r="S248" i="1" s="1"/>
  <c r="T248" i="1" s="1"/>
  <c r="Q249" i="1"/>
  <c r="S249" i="1" s="1"/>
  <c r="T249" i="1" s="1"/>
  <c r="Q250" i="1"/>
  <c r="S250" i="1" s="1"/>
  <c r="T250" i="1" s="1"/>
  <c r="Q251" i="1"/>
  <c r="S251" i="1" s="1"/>
  <c r="T251" i="1" s="1"/>
  <c r="Q252" i="1"/>
  <c r="S252" i="1" s="1"/>
  <c r="T252" i="1" s="1"/>
  <c r="Q253" i="1"/>
  <c r="S253" i="1" s="1"/>
  <c r="T253" i="1" s="1"/>
  <c r="Q254" i="1"/>
  <c r="S254" i="1" s="1"/>
  <c r="T254" i="1" s="1"/>
  <c r="Q255" i="1"/>
  <c r="S255" i="1" s="1"/>
  <c r="T255" i="1" s="1"/>
  <c r="Q256" i="1"/>
  <c r="S256" i="1" s="1"/>
  <c r="T256" i="1" s="1"/>
  <c r="Q257" i="1"/>
  <c r="S257" i="1" s="1"/>
  <c r="T257" i="1" s="1"/>
  <c r="Q258" i="1"/>
  <c r="S258" i="1" s="1"/>
  <c r="T258" i="1" s="1"/>
  <c r="Q259" i="1"/>
  <c r="S259" i="1" s="1"/>
  <c r="T259" i="1" s="1"/>
  <c r="Q260" i="1"/>
  <c r="S260" i="1" s="1"/>
  <c r="T260" i="1" s="1"/>
  <c r="Q261" i="1"/>
  <c r="S261" i="1" s="1"/>
  <c r="T261" i="1" s="1"/>
  <c r="Q262" i="1"/>
  <c r="S262" i="1" s="1"/>
  <c r="T262" i="1" s="1"/>
  <c r="Q263" i="1"/>
  <c r="S263" i="1" s="1"/>
  <c r="T263" i="1" s="1"/>
  <c r="Q264" i="1"/>
  <c r="S264" i="1" s="1"/>
  <c r="T264" i="1" s="1"/>
  <c r="Q265" i="1"/>
  <c r="S265" i="1" s="1"/>
  <c r="T265" i="1" s="1"/>
  <c r="Q266" i="1"/>
  <c r="S266" i="1" s="1"/>
  <c r="T266" i="1" s="1"/>
  <c r="Q267" i="1"/>
  <c r="S267" i="1" s="1"/>
  <c r="T267" i="1" s="1"/>
  <c r="Q268" i="1"/>
  <c r="S268" i="1" s="1"/>
  <c r="T268" i="1" s="1"/>
  <c r="Q269" i="1"/>
  <c r="S269" i="1" s="1"/>
  <c r="T269" i="1" s="1"/>
  <c r="Q270" i="1"/>
  <c r="S270" i="1" s="1"/>
  <c r="T270" i="1" s="1"/>
  <c r="Q271" i="1"/>
  <c r="S271" i="1" s="1"/>
  <c r="T271" i="1" s="1"/>
  <c r="Q272" i="1"/>
  <c r="S272" i="1" s="1"/>
  <c r="T272" i="1" s="1"/>
  <c r="Q273" i="1"/>
  <c r="S273" i="1" s="1"/>
  <c r="T273" i="1" s="1"/>
  <c r="Q274" i="1"/>
  <c r="S274" i="1" s="1"/>
  <c r="T274" i="1" s="1"/>
  <c r="Q275" i="1"/>
  <c r="S275" i="1" s="1"/>
  <c r="T275" i="1" s="1"/>
  <c r="Q276" i="1"/>
  <c r="S276" i="1" s="1"/>
  <c r="T276" i="1" s="1"/>
  <c r="Q277" i="1"/>
  <c r="S277" i="1" s="1"/>
  <c r="T277" i="1" s="1"/>
  <c r="Q278" i="1"/>
  <c r="S278" i="1" s="1"/>
  <c r="T278" i="1" s="1"/>
  <c r="Q279" i="1"/>
  <c r="S279" i="1" s="1"/>
  <c r="T279" i="1" s="1"/>
  <c r="Q280" i="1"/>
  <c r="S280" i="1" s="1"/>
  <c r="T280" i="1" s="1"/>
  <c r="Q281" i="1"/>
  <c r="S281" i="1" s="1"/>
  <c r="T281" i="1" s="1"/>
  <c r="Q282" i="1"/>
  <c r="S282" i="1" s="1"/>
  <c r="T282" i="1" s="1"/>
  <c r="Q283" i="1"/>
  <c r="S283" i="1" s="1"/>
  <c r="T283" i="1" s="1"/>
  <c r="Q284" i="1"/>
  <c r="S284" i="1" s="1"/>
  <c r="T284" i="1" s="1"/>
  <c r="Q285" i="1"/>
  <c r="S285" i="1" s="1"/>
  <c r="T285" i="1" s="1"/>
  <c r="Q286" i="1"/>
  <c r="S286" i="1" s="1"/>
  <c r="T286" i="1" s="1"/>
  <c r="Q287" i="1"/>
  <c r="S287" i="1" s="1"/>
  <c r="T287" i="1" s="1"/>
  <c r="Q288" i="1"/>
  <c r="S288" i="1" s="1"/>
  <c r="T288" i="1" s="1"/>
  <c r="Q289" i="1"/>
  <c r="S289" i="1" s="1"/>
  <c r="T289" i="1" s="1"/>
  <c r="Q290" i="1"/>
  <c r="S290" i="1" s="1"/>
  <c r="T290" i="1" s="1"/>
  <c r="Q291" i="1"/>
  <c r="S291" i="1" s="1"/>
  <c r="T291" i="1" s="1"/>
  <c r="Q292" i="1"/>
  <c r="S292" i="1" s="1"/>
  <c r="T292" i="1" s="1"/>
  <c r="Q293" i="1"/>
  <c r="S293" i="1" s="1"/>
  <c r="T293" i="1" s="1"/>
  <c r="Q294" i="1"/>
  <c r="S294" i="1" s="1"/>
  <c r="T294" i="1" s="1"/>
  <c r="Q295" i="1"/>
  <c r="S295" i="1" s="1"/>
  <c r="T295" i="1" s="1"/>
  <c r="Q296" i="1"/>
  <c r="S296" i="1" s="1"/>
  <c r="T296" i="1" s="1"/>
  <c r="Q297" i="1"/>
  <c r="S297" i="1" s="1"/>
  <c r="T297" i="1" s="1"/>
  <c r="Q298" i="1"/>
  <c r="S298" i="1" s="1"/>
  <c r="T298" i="1" s="1"/>
  <c r="Q299" i="1"/>
  <c r="S299" i="1" s="1"/>
  <c r="T299" i="1" s="1"/>
  <c r="Q300" i="1"/>
  <c r="S300" i="1" s="1"/>
  <c r="T300" i="1" s="1"/>
  <c r="Q301" i="1"/>
  <c r="S301" i="1" s="1"/>
  <c r="T301" i="1" s="1"/>
  <c r="Q302" i="1"/>
  <c r="S302" i="1" s="1"/>
  <c r="T302" i="1" s="1"/>
  <c r="Q303" i="1"/>
  <c r="S303" i="1" s="1"/>
  <c r="T303" i="1" s="1"/>
  <c r="Q304" i="1"/>
  <c r="S304" i="1" s="1"/>
  <c r="T304" i="1" s="1"/>
  <c r="Q305" i="1"/>
  <c r="S305" i="1" s="1"/>
  <c r="T305" i="1" s="1"/>
  <c r="Q306" i="1"/>
  <c r="S306" i="1" s="1"/>
  <c r="T306" i="1" s="1"/>
  <c r="Q307" i="1"/>
  <c r="S307" i="1" s="1"/>
  <c r="T307" i="1" s="1"/>
  <c r="Q308" i="1"/>
  <c r="S308" i="1" s="1"/>
  <c r="T308" i="1" s="1"/>
  <c r="Q309" i="1"/>
  <c r="S309" i="1" s="1"/>
  <c r="T309" i="1" s="1"/>
  <c r="Q310" i="1"/>
  <c r="S310" i="1" s="1"/>
  <c r="T310" i="1" s="1"/>
  <c r="Q311" i="1"/>
  <c r="S311" i="1" s="1"/>
  <c r="T311" i="1" s="1"/>
  <c r="Q312" i="1"/>
  <c r="S312" i="1" s="1"/>
  <c r="T312" i="1" s="1"/>
  <c r="Q313" i="1"/>
  <c r="S313" i="1" s="1"/>
  <c r="T313" i="1" s="1"/>
  <c r="Q314" i="1"/>
  <c r="S314" i="1" s="1"/>
  <c r="T314" i="1" s="1"/>
  <c r="Q315" i="1"/>
  <c r="S315" i="1" s="1"/>
  <c r="T315" i="1" s="1"/>
  <c r="Q316" i="1"/>
  <c r="S316" i="1" s="1"/>
  <c r="T316" i="1" s="1"/>
  <c r="Q317" i="1"/>
  <c r="S317" i="1" s="1"/>
  <c r="T317" i="1" s="1"/>
  <c r="Q318" i="1"/>
  <c r="S318" i="1" s="1"/>
  <c r="T318" i="1" s="1"/>
  <c r="Q319" i="1"/>
  <c r="S319" i="1" s="1"/>
  <c r="T319" i="1" s="1"/>
  <c r="Q320" i="1"/>
  <c r="S320" i="1" s="1"/>
  <c r="T320" i="1" s="1"/>
  <c r="Q321" i="1"/>
  <c r="S321" i="1" s="1"/>
  <c r="T321" i="1" s="1"/>
  <c r="Q322" i="1"/>
  <c r="S322" i="1" s="1"/>
  <c r="T322" i="1" s="1"/>
  <c r="Q323" i="1"/>
  <c r="S323" i="1" s="1"/>
  <c r="T323" i="1" s="1"/>
  <c r="Q324" i="1"/>
  <c r="S324" i="1" s="1"/>
  <c r="T324" i="1" s="1"/>
  <c r="Q325" i="1"/>
  <c r="S325" i="1" s="1"/>
  <c r="T325" i="1" s="1"/>
  <c r="Q326" i="1"/>
  <c r="S326" i="1" s="1"/>
  <c r="T326" i="1" s="1"/>
  <c r="Q327" i="1"/>
  <c r="S327" i="1" s="1"/>
  <c r="T327" i="1" s="1"/>
  <c r="Q328" i="1"/>
  <c r="S328" i="1" s="1"/>
  <c r="T328" i="1" s="1"/>
  <c r="Q329" i="1"/>
  <c r="S329" i="1" s="1"/>
  <c r="T329" i="1" s="1"/>
  <c r="Q330" i="1"/>
  <c r="S330" i="1" s="1"/>
  <c r="T330" i="1" s="1"/>
  <c r="Q331" i="1"/>
  <c r="S331" i="1" s="1"/>
  <c r="T331" i="1" s="1"/>
  <c r="Q332" i="1"/>
  <c r="S332" i="1" s="1"/>
  <c r="T332" i="1" s="1"/>
  <c r="Q333" i="1"/>
  <c r="S333" i="1" s="1"/>
  <c r="T333" i="1" s="1"/>
  <c r="Q334" i="1"/>
  <c r="S334" i="1" s="1"/>
  <c r="T334" i="1" s="1"/>
  <c r="Q335" i="1"/>
  <c r="S335" i="1" s="1"/>
  <c r="T335" i="1" s="1"/>
  <c r="Q336" i="1"/>
  <c r="S336" i="1" s="1"/>
  <c r="T336" i="1" s="1"/>
  <c r="Q337" i="1"/>
  <c r="S337" i="1" s="1"/>
  <c r="T337" i="1" s="1"/>
  <c r="Q338" i="1"/>
  <c r="S338" i="1" s="1"/>
  <c r="T338" i="1" s="1"/>
  <c r="Q339" i="1"/>
  <c r="S339" i="1" s="1"/>
  <c r="T339" i="1" s="1"/>
  <c r="Q340" i="1"/>
  <c r="S340" i="1" s="1"/>
  <c r="T340" i="1" s="1"/>
  <c r="Q341" i="1"/>
  <c r="S341" i="1" s="1"/>
  <c r="T341" i="1" s="1"/>
  <c r="Q342" i="1"/>
  <c r="S342" i="1" s="1"/>
  <c r="T342" i="1" s="1"/>
  <c r="Q343" i="1"/>
  <c r="S343" i="1" s="1"/>
  <c r="T343" i="1" s="1"/>
  <c r="Q344" i="1"/>
  <c r="S344" i="1" s="1"/>
  <c r="T344" i="1" s="1"/>
  <c r="Q345" i="1"/>
  <c r="S345" i="1" s="1"/>
  <c r="T345" i="1" s="1"/>
  <c r="Q346" i="1"/>
  <c r="S346" i="1" s="1"/>
  <c r="T346" i="1" s="1"/>
  <c r="Q347" i="1"/>
  <c r="S347" i="1" s="1"/>
  <c r="T347" i="1" s="1"/>
  <c r="Q348" i="1"/>
  <c r="S348" i="1" s="1"/>
  <c r="T348" i="1" s="1"/>
  <c r="Q349" i="1"/>
  <c r="S349" i="1" s="1"/>
  <c r="T349" i="1" s="1"/>
  <c r="Q350" i="1"/>
  <c r="S350" i="1" s="1"/>
  <c r="T350" i="1" s="1"/>
  <c r="Q351" i="1"/>
  <c r="S351" i="1" s="1"/>
  <c r="T351" i="1" s="1"/>
  <c r="Q352" i="1"/>
  <c r="S352" i="1" s="1"/>
  <c r="T352" i="1" s="1"/>
  <c r="Q353" i="1"/>
  <c r="S353" i="1" s="1"/>
  <c r="T353" i="1" s="1"/>
  <c r="Q354" i="1"/>
  <c r="S354" i="1" s="1"/>
  <c r="T354" i="1" s="1"/>
  <c r="Q355" i="1"/>
  <c r="S355" i="1" s="1"/>
  <c r="T355" i="1" s="1"/>
  <c r="Q356" i="1"/>
  <c r="S356" i="1" s="1"/>
  <c r="T356" i="1" s="1"/>
  <c r="Q357" i="1"/>
  <c r="S357" i="1" s="1"/>
  <c r="T357" i="1" s="1"/>
  <c r="Q358" i="1"/>
  <c r="S358" i="1" s="1"/>
  <c r="T358" i="1" s="1"/>
  <c r="Q359" i="1"/>
  <c r="S359" i="1" s="1"/>
  <c r="T359" i="1" s="1"/>
  <c r="Q360" i="1"/>
  <c r="S360" i="1" s="1"/>
  <c r="T360" i="1" s="1"/>
  <c r="Q361" i="1"/>
  <c r="S361" i="1" s="1"/>
  <c r="T361" i="1" s="1"/>
  <c r="Q362" i="1"/>
  <c r="S362" i="1" s="1"/>
  <c r="T362" i="1" s="1"/>
  <c r="Q363" i="1"/>
  <c r="S363" i="1" s="1"/>
  <c r="T363" i="1" s="1"/>
  <c r="Q364" i="1"/>
  <c r="S364" i="1" s="1"/>
  <c r="T364" i="1" s="1"/>
  <c r="Q365" i="1"/>
  <c r="S365" i="1" s="1"/>
  <c r="T365" i="1" s="1"/>
  <c r="Q366" i="1"/>
  <c r="S366" i="1" s="1"/>
  <c r="T366" i="1" s="1"/>
  <c r="Q367" i="1"/>
  <c r="S367" i="1" s="1"/>
  <c r="T367" i="1" s="1"/>
  <c r="Q368" i="1"/>
  <c r="S368" i="1" s="1"/>
  <c r="T368" i="1" s="1"/>
  <c r="Q369" i="1"/>
  <c r="S369" i="1" s="1"/>
  <c r="T369" i="1" s="1"/>
  <c r="Q370" i="1"/>
  <c r="S370" i="1" s="1"/>
  <c r="T370" i="1" s="1"/>
  <c r="Q371" i="1"/>
  <c r="S371" i="1" s="1"/>
  <c r="T371" i="1" s="1"/>
  <c r="Q372" i="1"/>
  <c r="S372" i="1" s="1"/>
  <c r="T372" i="1" s="1"/>
  <c r="Q373" i="1"/>
  <c r="S373" i="1" s="1"/>
  <c r="T373" i="1" s="1"/>
  <c r="Q374" i="1"/>
  <c r="S374" i="1" s="1"/>
  <c r="T374" i="1" s="1"/>
  <c r="Q375" i="1"/>
  <c r="S375" i="1" s="1"/>
  <c r="T375" i="1" s="1"/>
  <c r="Q376" i="1"/>
  <c r="S376" i="1" s="1"/>
  <c r="T376" i="1" s="1"/>
  <c r="Q377" i="1"/>
  <c r="S377" i="1" s="1"/>
  <c r="T377" i="1" s="1"/>
  <c r="Q378" i="1"/>
  <c r="S378" i="1" s="1"/>
  <c r="T378" i="1" s="1"/>
  <c r="Q379" i="1"/>
  <c r="S379" i="1" s="1"/>
  <c r="T379" i="1" s="1"/>
  <c r="Q380" i="1"/>
  <c r="S380" i="1" s="1"/>
  <c r="T380" i="1" s="1"/>
  <c r="Q381" i="1"/>
  <c r="S381" i="1" s="1"/>
  <c r="T381" i="1" s="1"/>
  <c r="Q382" i="1"/>
  <c r="S382" i="1" s="1"/>
  <c r="T382" i="1" s="1"/>
  <c r="Q383" i="1"/>
  <c r="S383" i="1" s="1"/>
  <c r="T383" i="1" s="1"/>
  <c r="Q384" i="1"/>
  <c r="S384" i="1" s="1"/>
  <c r="T384" i="1" s="1"/>
  <c r="Q385" i="1"/>
  <c r="S385" i="1" s="1"/>
  <c r="T385" i="1" s="1"/>
  <c r="Q386" i="1"/>
  <c r="S386" i="1" s="1"/>
  <c r="T386" i="1" s="1"/>
  <c r="Q387" i="1"/>
  <c r="S387" i="1" s="1"/>
  <c r="T387" i="1" s="1"/>
  <c r="Q388" i="1"/>
  <c r="S388" i="1" s="1"/>
  <c r="T388" i="1" s="1"/>
  <c r="Q389" i="1"/>
  <c r="S389" i="1" s="1"/>
  <c r="T389" i="1" s="1"/>
  <c r="Q390" i="1"/>
  <c r="S390" i="1" s="1"/>
  <c r="T390" i="1" s="1"/>
  <c r="Q391" i="1"/>
  <c r="S391" i="1" s="1"/>
  <c r="T391" i="1" s="1"/>
  <c r="Q392" i="1"/>
  <c r="S392" i="1" s="1"/>
  <c r="T392" i="1" s="1"/>
  <c r="Q393" i="1"/>
  <c r="S393" i="1" s="1"/>
  <c r="T393" i="1" s="1"/>
  <c r="Q394" i="1"/>
  <c r="S394" i="1" s="1"/>
  <c r="T394" i="1" s="1"/>
  <c r="Q395" i="1"/>
  <c r="S395" i="1" s="1"/>
  <c r="T395" i="1" s="1"/>
  <c r="Q396" i="1"/>
  <c r="S396" i="1" s="1"/>
  <c r="T396" i="1" s="1"/>
  <c r="Q397" i="1"/>
  <c r="S397" i="1" s="1"/>
  <c r="T397" i="1" s="1"/>
  <c r="Q398" i="1"/>
  <c r="S398" i="1" s="1"/>
  <c r="T398" i="1" s="1"/>
  <c r="Q399" i="1"/>
  <c r="S399" i="1" s="1"/>
  <c r="T399" i="1" s="1"/>
  <c r="Q400" i="1"/>
  <c r="S400" i="1" s="1"/>
  <c r="T400" i="1" s="1"/>
  <c r="Q401" i="1"/>
  <c r="S401" i="1" s="1"/>
  <c r="T401" i="1" s="1"/>
  <c r="Q402" i="1"/>
  <c r="S402" i="1" s="1"/>
  <c r="T402" i="1" s="1"/>
  <c r="Q403" i="1"/>
  <c r="S403" i="1" s="1"/>
  <c r="T403" i="1" s="1"/>
  <c r="Q404" i="1"/>
  <c r="S404" i="1" s="1"/>
  <c r="T404" i="1" s="1"/>
  <c r="Q405" i="1"/>
  <c r="S405" i="1" s="1"/>
  <c r="T405" i="1" s="1"/>
  <c r="Q406" i="1"/>
  <c r="S406" i="1" s="1"/>
  <c r="T406" i="1" s="1"/>
  <c r="Q407" i="1"/>
  <c r="S407" i="1" s="1"/>
  <c r="T407" i="1" s="1"/>
  <c r="Q408" i="1"/>
  <c r="S408" i="1" s="1"/>
  <c r="T408" i="1" s="1"/>
  <c r="Q409" i="1"/>
  <c r="S409" i="1" s="1"/>
  <c r="T409" i="1" s="1"/>
  <c r="Q410" i="1"/>
  <c r="S410" i="1" s="1"/>
  <c r="T410" i="1" s="1"/>
  <c r="Q411" i="1"/>
  <c r="S411" i="1" s="1"/>
  <c r="T411" i="1" s="1"/>
  <c r="Q412" i="1"/>
  <c r="S412" i="1" s="1"/>
  <c r="T412" i="1" s="1"/>
  <c r="Q413" i="1"/>
  <c r="S413" i="1" s="1"/>
  <c r="T413" i="1" s="1"/>
  <c r="Q414" i="1"/>
  <c r="S414" i="1" s="1"/>
  <c r="T414" i="1" s="1"/>
  <c r="Q415" i="1"/>
  <c r="S415" i="1" s="1"/>
  <c r="T415" i="1" s="1"/>
  <c r="Q416" i="1"/>
  <c r="S416" i="1" s="1"/>
  <c r="T416" i="1" s="1"/>
  <c r="Q417" i="1"/>
  <c r="S417" i="1" s="1"/>
  <c r="T417" i="1" s="1"/>
  <c r="Q418" i="1"/>
  <c r="S418" i="1" s="1"/>
  <c r="T418" i="1" s="1"/>
  <c r="Q419" i="1"/>
  <c r="S419" i="1" s="1"/>
  <c r="T419" i="1" s="1"/>
  <c r="Q420" i="1"/>
  <c r="S420" i="1" s="1"/>
  <c r="T420" i="1" s="1"/>
  <c r="Q421" i="1"/>
  <c r="S421" i="1" s="1"/>
  <c r="T421" i="1" s="1"/>
  <c r="Q422" i="1"/>
  <c r="S422" i="1" s="1"/>
  <c r="T422" i="1" s="1"/>
  <c r="Q423" i="1"/>
  <c r="S423" i="1" s="1"/>
  <c r="T423" i="1" s="1"/>
  <c r="Q424" i="1"/>
  <c r="S424" i="1" s="1"/>
  <c r="T424" i="1" s="1"/>
  <c r="Q425" i="1"/>
  <c r="S425" i="1" s="1"/>
  <c r="T425" i="1" s="1"/>
  <c r="Q426" i="1"/>
  <c r="S426" i="1" s="1"/>
  <c r="T426" i="1" s="1"/>
  <c r="Q427" i="1"/>
  <c r="S427" i="1" s="1"/>
  <c r="T427" i="1" s="1"/>
  <c r="Q428" i="1"/>
  <c r="S428" i="1" s="1"/>
  <c r="T428" i="1" s="1"/>
  <c r="Q429" i="1"/>
  <c r="S429" i="1" s="1"/>
  <c r="T429" i="1" s="1"/>
  <c r="Q430" i="1"/>
  <c r="S430" i="1" s="1"/>
  <c r="T430" i="1" s="1"/>
  <c r="Q431" i="1"/>
  <c r="S431" i="1" s="1"/>
  <c r="T431" i="1" s="1"/>
  <c r="Q432" i="1"/>
  <c r="S432" i="1" s="1"/>
  <c r="T432" i="1" s="1"/>
  <c r="Q433" i="1"/>
  <c r="S433" i="1" s="1"/>
  <c r="T433" i="1" s="1"/>
  <c r="Q434" i="1"/>
  <c r="S434" i="1" s="1"/>
  <c r="T434" i="1" s="1"/>
  <c r="Q435" i="1"/>
  <c r="S435" i="1" s="1"/>
  <c r="T435" i="1" s="1"/>
  <c r="Q436" i="1"/>
  <c r="S436" i="1" s="1"/>
  <c r="T436" i="1" s="1"/>
  <c r="Q437" i="1"/>
  <c r="S437" i="1" s="1"/>
  <c r="T437" i="1" s="1"/>
  <c r="Q438" i="1"/>
  <c r="S438" i="1" s="1"/>
  <c r="T438" i="1" s="1"/>
  <c r="Q439" i="1"/>
  <c r="S439" i="1" s="1"/>
  <c r="T439" i="1" s="1"/>
  <c r="Q440" i="1"/>
  <c r="S440" i="1" s="1"/>
  <c r="T440" i="1" s="1"/>
  <c r="Q441" i="1"/>
  <c r="S441" i="1" s="1"/>
  <c r="T441" i="1" s="1"/>
  <c r="Q442" i="1"/>
  <c r="S442" i="1" s="1"/>
  <c r="T442" i="1" s="1"/>
  <c r="Q443" i="1"/>
  <c r="S443" i="1" s="1"/>
  <c r="T443" i="1" s="1"/>
  <c r="Q444" i="1"/>
  <c r="S444" i="1" s="1"/>
  <c r="T444" i="1" s="1"/>
  <c r="Q445" i="1"/>
  <c r="S445" i="1" s="1"/>
  <c r="T445" i="1" s="1"/>
  <c r="Q446" i="1"/>
  <c r="S446" i="1" s="1"/>
  <c r="T446" i="1" s="1"/>
  <c r="Q447" i="1"/>
  <c r="S447" i="1" s="1"/>
  <c r="T447" i="1" s="1"/>
  <c r="Q448" i="1"/>
  <c r="S448" i="1" s="1"/>
  <c r="T448" i="1" s="1"/>
  <c r="Q449" i="1"/>
  <c r="S449" i="1" s="1"/>
  <c r="T449" i="1" s="1"/>
  <c r="Q450" i="1"/>
  <c r="S450" i="1" s="1"/>
  <c r="T450" i="1" s="1"/>
  <c r="Q451" i="1"/>
  <c r="S451" i="1" s="1"/>
  <c r="T451" i="1" s="1"/>
  <c r="Q452" i="1"/>
  <c r="S452" i="1" s="1"/>
  <c r="T452" i="1" s="1"/>
  <c r="Q453" i="1"/>
  <c r="S453" i="1" s="1"/>
  <c r="T453" i="1" s="1"/>
  <c r="Q454" i="1"/>
  <c r="S454" i="1" s="1"/>
  <c r="T454" i="1" s="1"/>
  <c r="Q455" i="1"/>
  <c r="S455" i="1" s="1"/>
  <c r="T455" i="1" s="1"/>
  <c r="Q456" i="1"/>
  <c r="S456" i="1" s="1"/>
  <c r="T456" i="1" s="1"/>
  <c r="Q457" i="1"/>
  <c r="S457" i="1" s="1"/>
  <c r="T457" i="1" s="1"/>
  <c r="Q458" i="1"/>
  <c r="S458" i="1" s="1"/>
  <c r="T458" i="1" s="1"/>
  <c r="Q459" i="1"/>
  <c r="S459" i="1" s="1"/>
  <c r="T459" i="1" s="1"/>
  <c r="Q460" i="1"/>
  <c r="S460" i="1" s="1"/>
  <c r="T460" i="1" s="1"/>
  <c r="Q461" i="1"/>
  <c r="S461" i="1" s="1"/>
  <c r="T461" i="1" s="1"/>
  <c r="Q462" i="1"/>
  <c r="S462" i="1" s="1"/>
  <c r="T462" i="1" s="1"/>
  <c r="Q463" i="1"/>
  <c r="S463" i="1" s="1"/>
  <c r="T463" i="1" s="1"/>
  <c r="Q464" i="1"/>
  <c r="S464" i="1" s="1"/>
  <c r="T464" i="1" s="1"/>
  <c r="Q465" i="1"/>
  <c r="S465" i="1" s="1"/>
  <c r="T465" i="1" s="1"/>
  <c r="Q466" i="1"/>
  <c r="S466" i="1" s="1"/>
  <c r="T466" i="1" s="1"/>
  <c r="Q467" i="1"/>
  <c r="S467" i="1" s="1"/>
  <c r="T467" i="1" s="1"/>
  <c r="Q468" i="1"/>
  <c r="S468" i="1" s="1"/>
  <c r="T468" i="1" s="1"/>
  <c r="Q469" i="1"/>
  <c r="S469" i="1" s="1"/>
  <c r="T469" i="1" s="1"/>
  <c r="Q470" i="1"/>
  <c r="S470" i="1" s="1"/>
  <c r="T470" i="1" s="1"/>
  <c r="Q471" i="1"/>
  <c r="S471" i="1" s="1"/>
  <c r="T471" i="1" s="1"/>
  <c r="Q472" i="1"/>
  <c r="S472" i="1" s="1"/>
  <c r="T472" i="1" s="1"/>
  <c r="Q473" i="1"/>
  <c r="S473" i="1" s="1"/>
  <c r="T473" i="1" s="1"/>
  <c r="Q474" i="1"/>
  <c r="S474" i="1" s="1"/>
  <c r="T474" i="1" s="1"/>
  <c r="Q475" i="1"/>
  <c r="S475" i="1" s="1"/>
  <c r="T475" i="1" s="1"/>
  <c r="Q476" i="1"/>
  <c r="S476" i="1" s="1"/>
  <c r="T476" i="1" s="1"/>
  <c r="Q477" i="1"/>
  <c r="S477" i="1" s="1"/>
  <c r="T477" i="1" s="1"/>
  <c r="Q478" i="1"/>
  <c r="S478" i="1" s="1"/>
  <c r="T478" i="1" s="1"/>
  <c r="Q479" i="1"/>
  <c r="S479" i="1" s="1"/>
  <c r="T479" i="1" s="1"/>
  <c r="Q480" i="1"/>
  <c r="S480" i="1" s="1"/>
  <c r="T480" i="1" s="1"/>
  <c r="Q481" i="1"/>
  <c r="S481" i="1" s="1"/>
  <c r="T481" i="1" s="1"/>
  <c r="Q482" i="1"/>
  <c r="S482" i="1" s="1"/>
  <c r="T482" i="1" s="1"/>
  <c r="Q483" i="1"/>
  <c r="S483" i="1" s="1"/>
  <c r="T483" i="1" s="1"/>
  <c r="Q484" i="1"/>
  <c r="S484" i="1" s="1"/>
  <c r="T484" i="1" s="1"/>
  <c r="Q485" i="1"/>
  <c r="S485" i="1" s="1"/>
  <c r="T485" i="1" s="1"/>
  <c r="Q486" i="1"/>
  <c r="S486" i="1" s="1"/>
  <c r="T486" i="1" s="1"/>
  <c r="Q487" i="1"/>
  <c r="S487" i="1" s="1"/>
  <c r="T487" i="1" s="1"/>
  <c r="Q488" i="1"/>
  <c r="S488" i="1" s="1"/>
  <c r="T488" i="1" s="1"/>
  <c r="Q489" i="1"/>
  <c r="S489" i="1" s="1"/>
  <c r="T489" i="1" s="1"/>
  <c r="Q490" i="1"/>
  <c r="S490" i="1" s="1"/>
  <c r="T490" i="1" s="1"/>
  <c r="Q491" i="1"/>
  <c r="S491" i="1" s="1"/>
  <c r="T491" i="1" s="1"/>
  <c r="Q492" i="1"/>
  <c r="S492" i="1" s="1"/>
  <c r="T492" i="1" s="1"/>
  <c r="Q493" i="1"/>
  <c r="S493" i="1" s="1"/>
  <c r="T493" i="1" s="1"/>
  <c r="Q494" i="1"/>
  <c r="S494" i="1" s="1"/>
  <c r="T494" i="1" s="1"/>
  <c r="Q495" i="1"/>
  <c r="S495" i="1" s="1"/>
  <c r="T495" i="1" s="1"/>
  <c r="Q496" i="1"/>
  <c r="S496" i="1" s="1"/>
  <c r="T496" i="1" s="1"/>
  <c r="Q497" i="1"/>
  <c r="S497" i="1" s="1"/>
  <c r="T497" i="1" s="1"/>
  <c r="Q498" i="1"/>
  <c r="S498" i="1" s="1"/>
  <c r="T498" i="1" s="1"/>
  <c r="Q499" i="1"/>
  <c r="S499" i="1" s="1"/>
  <c r="T499" i="1" s="1"/>
  <c r="Q500" i="1"/>
  <c r="S500" i="1" s="1"/>
  <c r="T500" i="1" s="1"/>
  <c r="Q501" i="1"/>
  <c r="S501" i="1" s="1"/>
  <c r="T501" i="1" s="1"/>
  <c r="Q502" i="1"/>
  <c r="S502" i="1" s="1"/>
  <c r="T502" i="1" s="1"/>
  <c r="Q503" i="1"/>
  <c r="S503" i="1" s="1"/>
  <c r="T503" i="1" s="1"/>
  <c r="Q504" i="1"/>
  <c r="S504" i="1" s="1"/>
  <c r="T504" i="1" s="1"/>
  <c r="Q505" i="1"/>
  <c r="S505" i="1" s="1"/>
  <c r="T505" i="1" s="1"/>
  <c r="Q506" i="1"/>
  <c r="S506" i="1" s="1"/>
  <c r="T506" i="1" s="1"/>
  <c r="Q507" i="1"/>
  <c r="S507" i="1" s="1"/>
  <c r="T507" i="1" s="1"/>
  <c r="Q508" i="1"/>
  <c r="S508" i="1" s="1"/>
  <c r="T508" i="1" s="1"/>
  <c r="Q509" i="1"/>
  <c r="S509" i="1" s="1"/>
  <c r="T509" i="1" s="1"/>
  <c r="Q510" i="1"/>
  <c r="S510" i="1" s="1"/>
  <c r="T510" i="1" s="1"/>
  <c r="Q511" i="1"/>
  <c r="S511" i="1" s="1"/>
  <c r="T511" i="1" s="1"/>
  <c r="Q512" i="1"/>
  <c r="S512" i="1" s="1"/>
  <c r="T512" i="1" s="1"/>
  <c r="Q513" i="1"/>
  <c r="S513" i="1" s="1"/>
  <c r="T513" i="1" s="1"/>
  <c r="Q514" i="1"/>
  <c r="S514" i="1" s="1"/>
  <c r="T514" i="1" s="1"/>
  <c r="Q515" i="1"/>
  <c r="S515" i="1" s="1"/>
  <c r="T515" i="1" s="1"/>
  <c r="Q516" i="1"/>
  <c r="S516" i="1" s="1"/>
  <c r="T516" i="1" s="1"/>
  <c r="Q517" i="1"/>
  <c r="S517" i="1" s="1"/>
  <c r="T517" i="1" s="1"/>
  <c r="Q518" i="1"/>
  <c r="S518" i="1" s="1"/>
  <c r="T518" i="1" s="1"/>
  <c r="Q519" i="1"/>
  <c r="S519" i="1" s="1"/>
  <c r="T519" i="1" s="1"/>
  <c r="Q520" i="1"/>
  <c r="S520" i="1" s="1"/>
  <c r="T520" i="1" s="1"/>
  <c r="Q521" i="1"/>
  <c r="S521" i="1" s="1"/>
  <c r="T521" i="1" s="1"/>
  <c r="Q522" i="1"/>
  <c r="S522" i="1" s="1"/>
  <c r="T522" i="1" s="1"/>
  <c r="Q523" i="1"/>
  <c r="S523" i="1" s="1"/>
  <c r="T523" i="1" s="1"/>
  <c r="Q524" i="1"/>
  <c r="S524" i="1" s="1"/>
  <c r="T524" i="1" s="1"/>
  <c r="Q525" i="1"/>
  <c r="S525" i="1" s="1"/>
  <c r="T525" i="1" s="1"/>
  <c r="Q526" i="1"/>
  <c r="S526" i="1" s="1"/>
  <c r="T526" i="1" s="1"/>
  <c r="Q527" i="1"/>
  <c r="S527" i="1" s="1"/>
  <c r="T527" i="1" s="1"/>
  <c r="Q528" i="1"/>
  <c r="S528" i="1" s="1"/>
  <c r="T528" i="1" s="1"/>
  <c r="Q529" i="1"/>
  <c r="S529" i="1" s="1"/>
  <c r="T529" i="1" s="1"/>
  <c r="Q530" i="1"/>
  <c r="S530" i="1" s="1"/>
  <c r="T530" i="1" s="1"/>
  <c r="Q531" i="1"/>
  <c r="S531" i="1" s="1"/>
  <c r="T531" i="1" s="1"/>
  <c r="Q532" i="1"/>
  <c r="S532" i="1" s="1"/>
  <c r="T532" i="1" s="1"/>
  <c r="Q533" i="1"/>
  <c r="S533" i="1" s="1"/>
  <c r="T533" i="1" s="1"/>
  <c r="Q534" i="1"/>
  <c r="S534" i="1" s="1"/>
  <c r="T534" i="1" s="1"/>
  <c r="Q535" i="1"/>
  <c r="S535" i="1" s="1"/>
  <c r="T535" i="1" s="1"/>
  <c r="Q536" i="1"/>
  <c r="S536" i="1" s="1"/>
  <c r="T536" i="1" s="1"/>
  <c r="Q537" i="1"/>
  <c r="S537" i="1" s="1"/>
  <c r="T537" i="1" s="1"/>
  <c r="Q538" i="1"/>
  <c r="S538" i="1" s="1"/>
  <c r="T538" i="1" s="1"/>
  <c r="Q539" i="1"/>
  <c r="S539" i="1" s="1"/>
  <c r="T539" i="1" s="1"/>
  <c r="Q540" i="1"/>
  <c r="S540" i="1" s="1"/>
  <c r="T540" i="1" s="1"/>
  <c r="Q541" i="1"/>
  <c r="S541" i="1" s="1"/>
  <c r="T541" i="1" s="1"/>
  <c r="Q542" i="1"/>
  <c r="S542" i="1" s="1"/>
  <c r="T542" i="1" s="1"/>
  <c r="Q543" i="1"/>
  <c r="S543" i="1" s="1"/>
  <c r="T543" i="1" s="1"/>
  <c r="Q544" i="1"/>
  <c r="S544" i="1" s="1"/>
  <c r="T544" i="1" s="1"/>
  <c r="Q545" i="1"/>
  <c r="S545" i="1" s="1"/>
  <c r="T545" i="1" s="1"/>
  <c r="Q546" i="1"/>
  <c r="S546" i="1" s="1"/>
  <c r="T546" i="1" s="1"/>
  <c r="Q547" i="1"/>
  <c r="S547" i="1" s="1"/>
  <c r="T547" i="1" s="1"/>
  <c r="Q548" i="1"/>
  <c r="S548" i="1" s="1"/>
  <c r="T548" i="1" s="1"/>
  <c r="Q549" i="1"/>
  <c r="S549" i="1" s="1"/>
  <c r="T549" i="1" s="1"/>
  <c r="Q550" i="1"/>
  <c r="S550" i="1" s="1"/>
  <c r="T550" i="1" s="1"/>
  <c r="Q551" i="1"/>
  <c r="S551" i="1" s="1"/>
  <c r="T551" i="1" s="1"/>
  <c r="Q552" i="1"/>
  <c r="S552" i="1" s="1"/>
  <c r="T552" i="1" s="1"/>
  <c r="Q553" i="1"/>
  <c r="S553" i="1" s="1"/>
  <c r="T553" i="1" s="1"/>
  <c r="Q554" i="1"/>
  <c r="S554" i="1" s="1"/>
  <c r="T554" i="1" s="1"/>
  <c r="Q555" i="1"/>
  <c r="S555" i="1" s="1"/>
  <c r="T555" i="1" s="1"/>
  <c r="Q556" i="1"/>
  <c r="S556" i="1" s="1"/>
  <c r="T556" i="1" s="1"/>
  <c r="Q557" i="1"/>
  <c r="S557" i="1" s="1"/>
  <c r="T557" i="1" s="1"/>
  <c r="Q558" i="1"/>
  <c r="S558" i="1" s="1"/>
  <c r="T558" i="1" s="1"/>
  <c r="Q559" i="1"/>
  <c r="S559" i="1" s="1"/>
  <c r="T559" i="1" s="1"/>
  <c r="Q560" i="1"/>
  <c r="S560" i="1" s="1"/>
  <c r="T560" i="1" s="1"/>
  <c r="Q561" i="1"/>
  <c r="S561" i="1" s="1"/>
  <c r="T561" i="1" s="1"/>
  <c r="Q562" i="1"/>
  <c r="S562" i="1" s="1"/>
  <c r="T562" i="1" s="1"/>
  <c r="Q563" i="1"/>
  <c r="S563" i="1" s="1"/>
  <c r="T563" i="1" s="1"/>
  <c r="Q564" i="1"/>
  <c r="S564" i="1" s="1"/>
  <c r="T564" i="1" s="1"/>
  <c r="Q565" i="1"/>
  <c r="S565" i="1" s="1"/>
  <c r="T565" i="1" s="1"/>
  <c r="Q566" i="1"/>
  <c r="S566" i="1" s="1"/>
  <c r="T566" i="1" s="1"/>
  <c r="Q567" i="1"/>
  <c r="S567" i="1" s="1"/>
  <c r="T567" i="1" s="1"/>
  <c r="Q568" i="1"/>
  <c r="S568" i="1" s="1"/>
  <c r="T568" i="1" s="1"/>
  <c r="Q569" i="1"/>
  <c r="S569" i="1" s="1"/>
  <c r="T569" i="1" s="1"/>
  <c r="Q570" i="1"/>
  <c r="S570" i="1" s="1"/>
  <c r="T570" i="1" s="1"/>
  <c r="Q571" i="1"/>
  <c r="S571" i="1" s="1"/>
  <c r="T571" i="1" s="1"/>
  <c r="Q572" i="1"/>
  <c r="S572" i="1" s="1"/>
  <c r="T572" i="1" s="1"/>
  <c r="Q573" i="1"/>
  <c r="S573" i="1" s="1"/>
  <c r="T573" i="1" s="1"/>
  <c r="Q574" i="1"/>
  <c r="S574" i="1" s="1"/>
  <c r="T574" i="1" s="1"/>
  <c r="Q575" i="1"/>
  <c r="S575" i="1" s="1"/>
  <c r="T575" i="1" s="1"/>
  <c r="Q576" i="1"/>
  <c r="S576" i="1" s="1"/>
  <c r="T576" i="1" s="1"/>
  <c r="Q577" i="1"/>
  <c r="S577" i="1" s="1"/>
  <c r="T577" i="1" s="1"/>
  <c r="Q578" i="1"/>
  <c r="S578" i="1" s="1"/>
  <c r="T578" i="1" s="1"/>
  <c r="Q579" i="1"/>
  <c r="S579" i="1" s="1"/>
  <c r="T579" i="1" s="1"/>
  <c r="Q580" i="1"/>
  <c r="S580" i="1" s="1"/>
  <c r="T580" i="1" s="1"/>
  <c r="Q581" i="1"/>
  <c r="S581" i="1" s="1"/>
  <c r="T581" i="1" s="1"/>
  <c r="Q582" i="1"/>
  <c r="S582" i="1" s="1"/>
  <c r="T582" i="1" s="1"/>
  <c r="Q583" i="1"/>
  <c r="S583" i="1" s="1"/>
  <c r="T583" i="1" s="1"/>
  <c r="Q584" i="1"/>
  <c r="S584" i="1" s="1"/>
  <c r="T584" i="1" s="1"/>
  <c r="Q585" i="1"/>
  <c r="S585" i="1" s="1"/>
  <c r="T585" i="1" s="1"/>
  <c r="Q586" i="1"/>
  <c r="S586" i="1" s="1"/>
  <c r="T586" i="1" s="1"/>
  <c r="Q587" i="1"/>
  <c r="S587" i="1" s="1"/>
  <c r="T587" i="1" s="1"/>
  <c r="Q588" i="1"/>
  <c r="S588" i="1" s="1"/>
  <c r="T588" i="1" s="1"/>
  <c r="Q589" i="1"/>
  <c r="S589" i="1" s="1"/>
  <c r="T589" i="1" s="1"/>
  <c r="Q590" i="1"/>
  <c r="S590" i="1" s="1"/>
  <c r="T590" i="1" s="1"/>
  <c r="Q591" i="1"/>
  <c r="S591" i="1" s="1"/>
  <c r="T591" i="1" s="1"/>
  <c r="Q592" i="1"/>
  <c r="S592" i="1" s="1"/>
  <c r="T592" i="1" s="1"/>
  <c r="Q593" i="1"/>
  <c r="S593" i="1" s="1"/>
  <c r="T593" i="1" s="1"/>
  <c r="Q594" i="1"/>
  <c r="S594" i="1" s="1"/>
  <c r="T594" i="1" s="1"/>
  <c r="Q595" i="1"/>
  <c r="S595" i="1" s="1"/>
  <c r="T595" i="1" s="1"/>
  <c r="Q596" i="1"/>
  <c r="S596" i="1" s="1"/>
  <c r="T596" i="1" s="1"/>
  <c r="Q597" i="1"/>
  <c r="S597" i="1" s="1"/>
  <c r="T597" i="1" s="1"/>
  <c r="Q598" i="1"/>
  <c r="S598" i="1" s="1"/>
  <c r="T598" i="1" s="1"/>
  <c r="Q599" i="1"/>
  <c r="S599" i="1" s="1"/>
  <c r="T599" i="1" s="1"/>
  <c r="Q600" i="1"/>
  <c r="S600" i="1" s="1"/>
  <c r="T600" i="1" s="1"/>
  <c r="Q601" i="1"/>
  <c r="S601" i="1" s="1"/>
  <c r="T601" i="1" s="1"/>
  <c r="Q602" i="1"/>
  <c r="S602" i="1" s="1"/>
  <c r="T602" i="1" s="1"/>
  <c r="Q603" i="1"/>
  <c r="S603" i="1" s="1"/>
  <c r="T603" i="1" s="1"/>
  <c r="Q604" i="1"/>
  <c r="S604" i="1" s="1"/>
  <c r="T604" i="1" s="1"/>
  <c r="Q605" i="1"/>
  <c r="S605" i="1" s="1"/>
  <c r="T605" i="1" s="1"/>
  <c r="Q606" i="1"/>
  <c r="S606" i="1" s="1"/>
  <c r="T606" i="1" s="1"/>
  <c r="Q607" i="1"/>
  <c r="S607" i="1" s="1"/>
  <c r="T607" i="1" s="1"/>
  <c r="Q608" i="1"/>
  <c r="S608" i="1" s="1"/>
  <c r="T608" i="1" s="1"/>
  <c r="Q609" i="1"/>
  <c r="S609" i="1" s="1"/>
  <c r="T609" i="1" s="1"/>
  <c r="Q610" i="1"/>
  <c r="S610" i="1" s="1"/>
  <c r="T610" i="1" s="1"/>
  <c r="Q611" i="1"/>
  <c r="S611" i="1" s="1"/>
  <c r="T611" i="1" s="1"/>
  <c r="Q612" i="1"/>
  <c r="S612" i="1" s="1"/>
  <c r="T612" i="1" s="1"/>
  <c r="Q613" i="1"/>
  <c r="S613" i="1" s="1"/>
  <c r="T613" i="1" s="1"/>
  <c r="Q614" i="1"/>
  <c r="S614" i="1" s="1"/>
  <c r="T614" i="1" s="1"/>
  <c r="Q615" i="1"/>
  <c r="S615" i="1" s="1"/>
  <c r="T615" i="1" s="1"/>
  <c r="Q616" i="1"/>
  <c r="S616" i="1" s="1"/>
  <c r="T616" i="1" s="1"/>
  <c r="Q617" i="1"/>
  <c r="S617" i="1" s="1"/>
  <c r="T617" i="1" s="1"/>
  <c r="Q618" i="1"/>
  <c r="S618" i="1" s="1"/>
  <c r="T618" i="1" s="1"/>
  <c r="Q619" i="1"/>
  <c r="S619" i="1" s="1"/>
  <c r="T619" i="1" s="1"/>
  <c r="Q620" i="1"/>
  <c r="S620" i="1" s="1"/>
  <c r="T620" i="1" s="1"/>
  <c r="Q621" i="1"/>
  <c r="S621" i="1" s="1"/>
  <c r="T621" i="1" s="1"/>
  <c r="Q622" i="1"/>
  <c r="S622" i="1" s="1"/>
  <c r="T622" i="1" s="1"/>
  <c r="Q623" i="1"/>
  <c r="S623" i="1" s="1"/>
  <c r="T623" i="1" s="1"/>
  <c r="Q624" i="1"/>
  <c r="S624" i="1" s="1"/>
  <c r="T624" i="1" s="1"/>
  <c r="Q625" i="1"/>
  <c r="S625" i="1" s="1"/>
  <c r="T625" i="1" s="1"/>
  <c r="Q626" i="1"/>
  <c r="S626" i="1" s="1"/>
  <c r="T626" i="1" s="1"/>
  <c r="Q627" i="1"/>
  <c r="S627" i="1" s="1"/>
  <c r="T627" i="1" s="1"/>
  <c r="Q628" i="1"/>
  <c r="S628" i="1" s="1"/>
  <c r="T628" i="1" s="1"/>
  <c r="Q629" i="1"/>
  <c r="S629" i="1" s="1"/>
  <c r="T629" i="1" s="1"/>
  <c r="Q630" i="1"/>
  <c r="S630" i="1" s="1"/>
  <c r="T630" i="1" s="1"/>
  <c r="Q631" i="1"/>
  <c r="S631" i="1" s="1"/>
  <c r="T631" i="1" s="1"/>
  <c r="Q632" i="1"/>
  <c r="S632" i="1" s="1"/>
  <c r="T632" i="1" s="1"/>
  <c r="Q633" i="1"/>
  <c r="S633" i="1" s="1"/>
  <c r="T633" i="1" s="1"/>
  <c r="Q634" i="1"/>
  <c r="S634" i="1" s="1"/>
  <c r="T634" i="1" s="1"/>
  <c r="Q635" i="1"/>
  <c r="S635" i="1" s="1"/>
  <c r="T635" i="1" s="1"/>
  <c r="Q636" i="1"/>
  <c r="S636" i="1" s="1"/>
  <c r="T636" i="1" s="1"/>
  <c r="Q637" i="1"/>
  <c r="S637" i="1" s="1"/>
  <c r="T637" i="1" s="1"/>
  <c r="Q638" i="1"/>
  <c r="S638" i="1" s="1"/>
  <c r="T638" i="1" s="1"/>
  <c r="Q639" i="1"/>
  <c r="S639" i="1" s="1"/>
  <c r="T639" i="1" s="1"/>
  <c r="Q640" i="1"/>
  <c r="S640" i="1" s="1"/>
  <c r="T640" i="1" s="1"/>
  <c r="Q641" i="1"/>
  <c r="S641" i="1" s="1"/>
  <c r="T641" i="1" s="1"/>
  <c r="Q642" i="1"/>
  <c r="S642" i="1" s="1"/>
  <c r="T642" i="1" s="1"/>
  <c r="Q643" i="1"/>
  <c r="S643" i="1" s="1"/>
  <c r="T643" i="1" s="1"/>
  <c r="Q644" i="1"/>
  <c r="S644" i="1" s="1"/>
  <c r="T644" i="1" s="1"/>
  <c r="Q645" i="1"/>
  <c r="S645" i="1" s="1"/>
  <c r="T645" i="1" s="1"/>
  <c r="Q646" i="1"/>
  <c r="S646" i="1" s="1"/>
  <c r="T646" i="1" s="1"/>
  <c r="Q647" i="1"/>
  <c r="S647" i="1" s="1"/>
  <c r="T647" i="1" s="1"/>
  <c r="Q648" i="1"/>
  <c r="S648" i="1" s="1"/>
  <c r="T648" i="1" s="1"/>
  <c r="Q649" i="1"/>
  <c r="S649" i="1" s="1"/>
  <c r="T649" i="1" s="1"/>
  <c r="Q650" i="1"/>
  <c r="S650" i="1" s="1"/>
  <c r="T650" i="1" s="1"/>
  <c r="Q651" i="1"/>
  <c r="S651" i="1" s="1"/>
  <c r="T651" i="1" s="1"/>
  <c r="Q652" i="1"/>
  <c r="S652" i="1" s="1"/>
  <c r="T652" i="1" s="1"/>
  <c r="Q653" i="1"/>
  <c r="S653" i="1" s="1"/>
  <c r="T653" i="1" s="1"/>
  <c r="Q654" i="1"/>
  <c r="S654" i="1" s="1"/>
  <c r="T654" i="1" s="1"/>
  <c r="Q655" i="1"/>
  <c r="S655" i="1" s="1"/>
  <c r="T655" i="1" s="1"/>
  <c r="Q656" i="1"/>
  <c r="S656" i="1" s="1"/>
  <c r="T656" i="1" s="1"/>
  <c r="Q657" i="1"/>
  <c r="S657" i="1" s="1"/>
  <c r="T657" i="1" s="1"/>
  <c r="Q658" i="1"/>
  <c r="S658" i="1" s="1"/>
  <c r="T658" i="1" s="1"/>
  <c r="Q659" i="1"/>
  <c r="S659" i="1" s="1"/>
  <c r="T659" i="1" s="1"/>
  <c r="Q660" i="1"/>
  <c r="S660" i="1" s="1"/>
  <c r="T660" i="1" s="1"/>
  <c r="Q661" i="1"/>
  <c r="S661" i="1" s="1"/>
  <c r="T661" i="1" s="1"/>
  <c r="Q662" i="1"/>
  <c r="S662" i="1" s="1"/>
  <c r="T662" i="1" s="1"/>
  <c r="Q663" i="1"/>
  <c r="S663" i="1" s="1"/>
  <c r="T663" i="1" s="1"/>
  <c r="Q664" i="1"/>
  <c r="S664" i="1" s="1"/>
  <c r="T664" i="1" s="1"/>
  <c r="Q665" i="1"/>
  <c r="S665" i="1" s="1"/>
  <c r="T665" i="1" s="1"/>
  <c r="Q666" i="1"/>
  <c r="S666" i="1" s="1"/>
  <c r="T666" i="1" s="1"/>
  <c r="Q667" i="1"/>
  <c r="S667" i="1" s="1"/>
  <c r="T667" i="1" s="1"/>
  <c r="Q668" i="1"/>
  <c r="S668" i="1" s="1"/>
  <c r="T668" i="1" s="1"/>
  <c r="Q669" i="1"/>
  <c r="S669" i="1" s="1"/>
  <c r="T669" i="1" s="1"/>
  <c r="Q670" i="1"/>
  <c r="S670" i="1" s="1"/>
  <c r="T670" i="1" s="1"/>
  <c r="Q671" i="1"/>
  <c r="S671" i="1" s="1"/>
  <c r="T671" i="1" s="1"/>
  <c r="Q672" i="1"/>
  <c r="S672" i="1" s="1"/>
  <c r="T672" i="1" s="1"/>
  <c r="Q673" i="1"/>
  <c r="S673" i="1" s="1"/>
  <c r="T673" i="1" s="1"/>
  <c r="Q674" i="1"/>
  <c r="S674" i="1" s="1"/>
  <c r="T674" i="1" s="1"/>
  <c r="Q675" i="1"/>
  <c r="S675" i="1" s="1"/>
  <c r="T675" i="1" s="1"/>
  <c r="Q676" i="1"/>
  <c r="S676" i="1" s="1"/>
  <c r="T676" i="1" s="1"/>
  <c r="Q677" i="1"/>
  <c r="S677" i="1" s="1"/>
  <c r="T677" i="1" s="1"/>
  <c r="Q678" i="1"/>
  <c r="S678" i="1" s="1"/>
  <c r="T678" i="1" s="1"/>
  <c r="Q679" i="1"/>
  <c r="S679" i="1" s="1"/>
  <c r="T679" i="1" s="1"/>
  <c r="Q680" i="1"/>
  <c r="S680" i="1" s="1"/>
  <c r="T680" i="1" s="1"/>
  <c r="Q681" i="1"/>
  <c r="S681" i="1" s="1"/>
  <c r="T681" i="1" s="1"/>
  <c r="Q682" i="1"/>
  <c r="S682" i="1" s="1"/>
  <c r="T682" i="1" s="1"/>
  <c r="Q683" i="1"/>
  <c r="S683" i="1" s="1"/>
  <c r="T683" i="1" s="1"/>
  <c r="Q684" i="1"/>
  <c r="S684" i="1" s="1"/>
  <c r="T684" i="1" s="1"/>
  <c r="Q685" i="1"/>
  <c r="S685" i="1" s="1"/>
  <c r="T685" i="1" s="1"/>
  <c r="Q686" i="1"/>
  <c r="S686" i="1" s="1"/>
  <c r="T686" i="1" s="1"/>
  <c r="Q687" i="1"/>
  <c r="S687" i="1" s="1"/>
  <c r="T687" i="1" s="1"/>
  <c r="Q688" i="1"/>
  <c r="S688" i="1" s="1"/>
  <c r="T688" i="1" s="1"/>
  <c r="Q689" i="1"/>
  <c r="S689" i="1" s="1"/>
  <c r="T689" i="1" s="1"/>
  <c r="Q690" i="1"/>
  <c r="S690" i="1" s="1"/>
  <c r="T690" i="1" s="1"/>
  <c r="Q691" i="1"/>
  <c r="S691" i="1" s="1"/>
  <c r="T691" i="1" s="1"/>
  <c r="Q692" i="1"/>
  <c r="S692" i="1" s="1"/>
  <c r="T692" i="1" s="1"/>
  <c r="Q693" i="1"/>
  <c r="S693" i="1" s="1"/>
  <c r="T693" i="1" s="1"/>
  <c r="Q694" i="1"/>
  <c r="S694" i="1" s="1"/>
  <c r="T694" i="1" s="1"/>
  <c r="Q695" i="1"/>
  <c r="S695" i="1" s="1"/>
  <c r="T695" i="1" s="1"/>
  <c r="Q696" i="1"/>
  <c r="S696" i="1" s="1"/>
  <c r="T696" i="1" s="1"/>
  <c r="Q697" i="1"/>
  <c r="S697" i="1" s="1"/>
  <c r="T697" i="1" s="1"/>
  <c r="Q698" i="1"/>
  <c r="S698" i="1" s="1"/>
  <c r="T698" i="1" s="1"/>
  <c r="Q699" i="1"/>
  <c r="S699" i="1" s="1"/>
  <c r="T699" i="1" s="1"/>
  <c r="Q700" i="1"/>
  <c r="S700" i="1" s="1"/>
  <c r="T700" i="1" s="1"/>
  <c r="Q701" i="1"/>
  <c r="S701" i="1" s="1"/>
  <c r="T701" i="1" s="1"/>
  <c r="Q702" i="1"/>
  <c r="S702" i="1" s="1"/>
  <c r="T702" i="1" s="1"/>
  <c r="Q703" i="1"/>
  <c r="S703" i="1" s="1"/>
  <c r="T703" i="1" s="1"/>
  <c r="Q704" i="1"/>
  <c r="S704" i="1" s="1"/>
  <c r="T704" i="1" s="1"/>
  <c r="Q705" i="1"/>
  <c r="S705" i="1" s="1"/>
  <c r="T705" i="1" s="1"/>
  <c r="Q706" i="1"/>
  <c r="S706" i="1" s="1"/>
  <c r="T706" i="1" s="1"/>
  <c r="Q707" i="1"/>
  <c r="S707" i="1" s="1"/>
  <c r="T707" i="1" s="1"/>
  <c r="Q708" i="1"/>
  <c r="S708" i="1" s="1"/>
  <c r="T708" i="1" s="1"/>
  <c r="Q709" i="1"/>
  <c r="S709" i="1" s="1"/>
  <c r="T709" i="1" s="1"/>
  <c r="Q710" i="1"/>
  <c r="S710" i="1" s="1"/>
  <c r="T710" i="1" s="1"/>
  <c r="Q711" i="1"/>
  <c r="S711" i="1" s="1"/>
  <c r="T711" i="1" s="1"/>
  <c r="Q712" i="1"/>
  <c r="S712" i="1" s="1"/>
  <c r="T712" i="1" s="1"/>
  <c r="Q713" i="1"/>
  <c r="S713" i="1" s="1"/>
  <c r="T713" i="1" s="1"/>
  <c r="Q714" i="1"/>
  <c r="S714" i="1" s="1"/>
  <c r="T714" i="1" s="1"/>
  <c r="Q715" i="1"/>
  <c r="S715" i="1" s="1"/>
  <c r="T715" i="1" s="1"/>
  <c r="Q716" i="1"/>
  <c r="S716" i="1" s="1"/>
  <c r="T716" i="1" s="1"/>
  <c r="Q717" i="1"/>
  <c r="S717" i="1" s="1"/>
  <c r="T717" i="1" s="1"/>
  <c r="Q718" i="1"/>
  <c r="S718" i="1" s="1"/>
  <c r="T718" i="1" s="1"/>
  <c r="Q719" i="1"/>
  <c r="S719" i="1" s="1"/>
  <c r="T719" i="1" s="1"/>
  <c r="Q720" i="1"/>
  <c r="S720" i="1" s="1"/>
  <c r="T720" i="1" s="1"/>
  <c r="Q721" i="1"/>
  <c r="S721" i="1" s="1"/>
  <c r="T721" i="1" s="1"/>
  <c r="Q722" i="1"/>
  <c r="S722" i="1" s="1"/>
  <c r="T722" i="1" s="1"/>
  <c r="Q723" i="1"/>
  <c r="S723" i="1" s="1"/>
  <c r="T723" i="1" s="1"/>
  <c r="Q724" i="1"/>
  <c r="S724" i="1" s="1"/>
  <c r="T724" i="1" s="1"/>
  <c r="Q725" i="1"/>
  <c r="S725" i="1" s="1"/>
  <c r="T725" i="1" s="1"/>
  <c r="Q726" i="1"/>
  <c r="S726" i="1" s="1"/>
  <c r="T726" i="1" s="1"/>
  <c r="Q727" i="1"/>
  <c r="S727" i="1" s="1"/>
  <c r="T727" i="1" s="1"/>
  <c r="Q728" i="1"/>
  <c r="S728" i="1" s="1"/>
  <c r="T728" i="1" s="1"/>
  <c r="Q729" i="1"/>
  <c r="S729" i="1" s="1"/>
  <c r="T729" i="1" s="1"/>
  <c r="Q730" i="1"/>
  <c r="S730" i="1" s="1"/>
  <c r="T730" i="1" s="1"/>
  <c r="Q731" i="1"/>
  <c r="S731" i="1" s="1"/>
  <c r="T731" i="1" s="1"/>
  <c r="Q732" i="1"/>
  <c r="S732" i="1" s="1"/>
  <c r="T732" i="1" s="1"/>
  <c r="Q733" i="1"/>
  <c r="S733" i="1" s="1"/>
  <c r="T733" i="1" s="1"/>
  <c r="Q734" i="1"/>
  <c r="S734" i="1" s="1"/>
  <c r="T734" i="1" s="1"/>
  <c r="Q735" i="1"/>
  <c r="S735" i="1" s="1"/>
  <c r="T735" i="1" s="1"/>
  <c r="Q736" i="1"/>
  <c r="S736" i="1" s="1"/>
  <c r="T736" i="1" s="1"/>
  <c r="Q737" i="1"/>
  <c r="S737" i="1" s="1"/>
  <c r="T737" i="1" s="1"/>
  <c r="Q738" i="1"/>
  <c r="S738" i="1" s="1"/>
  <c r="T738" i="1" s="1"/>
  <c r="Q739" i="1"/>
  <c r="S739" i="1" s="1"/>
  <c r="T739" i="1" s="1"/>
  <c r="Q740" i="1"/>
  <c r="S740" i="1" s="1"/>
  <c r="T740" i="1" s="1"/>
  <c r="Q741" i="1"/>
  <c r="S741" i="1" s="1"/>
  <c r="T741" i="1" s="1"/>
  <c r="Q742" i="1"/>
  <c r="S742" i="1" s="1"/>
  <c r="T742" i="1" s="1"/>
  <c r="Q743" i="1"/>
  <c r="S743" i="1" s="1"/>
  <c r="T743" i="1" s="1"/>
  <c r="Q744" i="1"/>
  <c r="S744" i="1" s="1"/>
  <c r="T744" i="1" s="1"/>
  <c r="Q745" i="1"/>
  <c r="S745" i="1" s="1"/>
  <c r="T745" i="1" s="1"/>
  <c r="Q746" i="1"/>
  <c r="S746" i="1" s="1"/>
  <c r="T746" i="1" s="1"/>
  <c r="Q747" i="1"/>
  <c r="S747" i="1" s="1"/>
  <c r="T747" i="1" s="1"/>
  <c r="Q748" i="1"/>
  <c r="S748" i="1" s="1"/>
  <c r="T748" i="1" s="1"/>
  <c r="Q749" i="1"/>
  <c r="S749" i="1" s="1"/>
  <c r="T749" i="1" s="1"/>
  <c r="Q750" i="1"/>
  <c r="S750" i="1" s="1"/>
  <c r="T750" i="1" s="1"/>
  <c r="Q751" i="1"/>
  <c r="S751" i="1" s="1"/>
  <c r="T751" i="1" s="1"/>
  <c r="Q752" i="1"/>
  <c r="S752" i="1" s="1"/>
  <c r="T752" i="1" s="1"/>
  <c r="Q753" i="1"/>
  <c r="S753" i="1" s="1"/>
  <c r="T753" i="1" s="1"/>
  <c r="Q754" i="1"/>
  <c r="S754" i="1" s="1"/>
  <c r="T754" i="1" s="1"/>
  <c r="Q755" i="1"/>
  <c r="S755" i="1" s="1"/>
  <c r="T755" i="1" s="1"/>
  <c r="Q756" i="1"/>
  <c r="S756" i="1" s="1"/>
  <c r="T756" i="1" s="1"/>
  <c r="Q757" i="1"/>
  <c r="S757" i="1" s="1"/>
  <c r="T757" i="1" s="1"/>
  <c r="Q758" i="1"/>
  <c r="S758" i="1" s="1"/>
  <c r="T758" i="1" s="1"/>
  <c r="Q759" i="1"/>
  <c r="S759" i="1" s="1"/>
  <c r="T759" i="1" s="1"/>
  <c r="Q760" i="1"/>
  <c r="S760" i="1" s="1"/>
  <c r="T760" i="1" s="1"/>
  <c r="Q761" i="1"/>
  <c r="S761" i="1" s="1"/>
  <c r="T761" i="1" s="1"/>
  <c r="Q762" i="1"/>
  <c r="S762" i="1" s="1"/>
  <c r="T762" i="1" s="1"/>
  <c r="Q763" i="1"/>
  <c r="S763" i="1" s="1"/>
  <c r="T763" i="1" s="1"/>
  <c r="Q764" i="1"/>
  <c r="S764" i="1" s="1"/>
  <c r="T764" i="1" s="1"/>
  <c r="Q765" i="1"/>
  <c r="S765" i="1" s="1"/>
  <c r="T765" i="1" s="1"/>
  <c r="Q766" i="1"/>
  <c r="S766" i="1" s="1"/>
  <c r="T766" i="1" s="1"/>
  <c r="Q767" i="1"/>
  <c r="S767" i="1" s="1"/>
  <c r="T767" i="1" s="1"/>
  <c r="Q768" i="1"/>
  <c r="S768" i="1" s="1"/>
  <c r="T768" i="1" s="1"/>
  <c r="Q769" i="1"/>
  <c r="S769" i="1" s="1"/>
  <c r="T769" i="1" s="1"/>
  <c r="Q770" i="1"/>
  <c r="S770" i="1" s="1"/>
  <c r="T770" i="1" s="1"/>
  <c r="Q771" i="1"/>
  <c r="S771" i="1" s="1"/>
  <c r="T771" i="1" s="1"/>
  <c r="Q772" i="1"/>
  <c r="S772" i="1" s="1"/>
  <c r="T772" i="1" s="1"/>
  <c r="Q773" i="1"/>
  <c r="S773" i="1" s="1"/>
  <c r="T773" i="1" s="1"/>
  <c r="Q774" i="1"/>
  <c r="S774" i="1" s="1"/>
  <c r="T774" i="1" s="1"/>
  <c r="Q775" i="1"/>
  <c r="S775" i="1" s="1"/>
  <c r="T775" i="1" s="1"/>
  <c r="Q776" i="1"/>
  <c r="S776" i="1" s="1"/>
  <c r="T776" i="1" s="1"/>
  <c r="Q777" i="1"/>
  <c r="S777" i="1" s="1"/>
  <c r="T777" i="1" s="1"/>
  <c r="Q778" i="1"/>
  <c r="S778" i="1" s="1"/>
  <c r="T778" i="1" s="1"/>
  <c r="Q779" i="1"/>
  <c r="S779" i="1" s="1"/>
  <c r="T779" i="1" s="1"/>
  <c r="Q780" i="1"/>
  <c r="S780" i="1" s="1"/>
  <c r="T780" i="1" s="1"/>
  <c r="Q781" i="1"/>
  <c r="S781" i="1" s="1"/>
  <c r="T781" i="1" s="1"/>
  <c r="Q782" i="1"/>
  <c r="S782" i="1" s="1"/>
  <c r="T782" i="1" s="1"/>
  <c r="Q783" i="1"/>
  <c r="S783" i="1" s="1"/>
  <c r="T783" i="1" s="1"/>
  <c r="Q784" i="1"/>
  <c r="S784" i="1" s="1"/>
  <c r="T784" i="1" s="1"/>
  <c r="Q785" i="1"/>
  <c r="S785" i="1" s="1"/>
  <c r="T785" i="1" s="1"/>
  <c r="Q786" i="1"/>
  <c r="S786" i="1" s="1"/>
  <c r="T786" i="1" s="1"/>
  <c r="Q787" i="1"/>
  <c r="S787" i="1" s="1"/>
  <c r="T787" i="1" s="1"/>
  <c r="Q788" i="1"/>
  <c r="S788" i="1" s="1"/>
  <c r="T788" i="1" s="1"/>
  <c r="Q789" i="1"/>
  <c r="S789" i="1" s="1"/>
  <c r="T789" i="1" s="1"/>
  <c r="Q790" i="1"/>
  <c r="S790" i="1" s="1"/>
  <c r="T790" i="1" s="1"/>
  <c r="Q791" i="1"/>
  <c r="S791" i="1" s="1"/>
  <c r="T791" i="1" s="1"/>
  <c r="Q792" i="1"/>
  <c r="S792" i="1" s="1"/>
  <c r="T792" i="1" s="1"/>
  <c r="Q793" i="1"/>
  <c r="S793" i="1" s="1"/>
  <c r="T793" i="1" s="1"/>
  <c r="Q794" i="1"/>
  <c r="S794" i="1" s="1"/>
  <c r="T794" i="1" s="1"/>
  <c r="Q795" i="1"/>
  <c r="S795" i="1" s="1"/>
  <c r="T795" i="1" s="1"/>
  <c r="Q796" i="1"/>
  <c r="S796" i="1" s="1"/>
  <c r="T796" i="1" s="1"/>
  <c r="Q797" i="1"/>
  <c r="S797" i="1" s="1"/>
  <c r="T797" i="1" s="1"/>
  <c r="Q798" i="1"/>
  <c r="S798" i="1" s="1"/>
  <c r="T798" i="1" s="1"/>
  <c r="Q799" i="1"/>
  <c r="S799" i="1" s="1"/>
  <c r="T799" i="1" s="1"/>
  <c r="Q800" i="1"/>
  <c r="S800" i="1" s="1"/>
  <c r="T800" i="1" s="1"/>
  <c r="Q801" i="1"/>
  <c r="S801" i="1" s="1"/>
  <c r="T801" i="1" s="1"/>
  <c r="Q802" i="1"/>
  <c r="S802" i="1" s="1"/>
  <c r="T802" i="1" s="1"/>
  <c r="Q803" i="1"/>
  <c r="S803" i="1" s="1"/>
  <c r="T803" i="1" s="1"/>
  <c r="Q804" i="1"/>
  <c r="S804" i="1" s="1"/>
  <c r="T804" i="1" s="1"/>
  <c r="Q805" i="1"/>
  <c r="S805" i="1" s="1"/>
  <c r="T805" i="1" s="1"/>
  <c r="Q806" i="1"/>
  <c r="S806" i="1" s="1"/>
  <c r="T806" i="1" s="1"/>
  <c r="Q807" i="1"/>
  <c r="S807" i="1" s="1"/>
  <c r="T807" i="1" s="1"/>
  <c r="Q808" i="1"/>
  <c r="S808" i="1" s="1"/>
  <c r="T808" i="1" s="1"/>
  <c r="Q809" i="1"/>
  <c r="S809" i="1" s="1"/>
  <c r="T809" i="1" s="1"/>
  <c r="Q810" i="1"/>
  <c r="S810" i="1" s="1"/>
  <c r="T810" i="1" s="1"/>
  <c r="Q811" i="1"/>
  <c r="S811" i="1" s="1"/>
  <c r="T811" i="1" s="1"/>
  <c r="Q812" i="1"/>
  <c r="S812" i="1" s="1"/>
  <c r="T812" i="1" s="1"/>
  <c r="Q813" i="1"/>
  <c r="S813" i="1" s="1"/>
  <c r="T813" i="1" s="1"/>
  <c r="Q814" i="1"/>
  <c r="S814" i="1" s="1"/>
  <c r="T814" i="1" s="1"/>
  <c r="Q815" i="1"/>
  <c r="S815" i="1" s="1"/>
  <c r="T815" i="1" s="1"/>
  <c r="Q816" i="1"/>
  <c r="S816" i="1" s="1"/>
  <c r="T816" i="1" s="1"/>
  <c r="Q817" i="1"/>
  <c r="S817" i="1" s="1"/>
  <c r="T817" i="1" s="1"/>
  <c r="Q818" i="1"/>
  <c r="S818" i="1" s="1"/>
  <c r="T818" i="1" s="1"/>
  <c r="Q819" i="1"/>
  <c r="S819" i="1" s="1"/>
  <c r="T819" i="1" s="1"/>
  <c r="Q820" i="1"/>
  <c r="S820" i="1" s="1"/>
  <c r="T820" i="1" s="1"/>
  <c r="Q821" i="1"/>
  <c r="S821" i="1" s="1"/>
  <c r="T821" i="1" s="1"/>
  <c r="Q822" i="1"/>
  <c r="S822" i="1" s="1"/>
  <c r="T822" i="1" s="1"/>
  <c r="Q823" i="1"/>
  <c r="S823" i="1" s="1"/>
  <c r="T823" i="1" s="1"/>
  <c r="Q824" i="1"/>
  <c r="S824" i="1" s="1"/>
  <c r="T824" i="1" s="1"/>
  <c r="Q825" i="1"/>
  <c r="S825" i="1" s="1"/>
  <c r="T825" i="1" s="1"/>
  <c r="Q826" i="1"/>
  <c r="S826" i="1" s="1"/>
  <c r="T826" i="1" s="1"/>
  <c r="Q827" i="1"/>
  <c r="S827" i="1" s="1"/>
  <c r="T827" i="1" s="1"/>
  <c r="Q828" i="1"/>
  <c r="S828" i="1" s="1"/>
  <c r="T828" i="1" s="1"/>
  <c r="Q829" i="1"/>
  <c r="S829" i="1" s="1"/>
  <c r="T829" i="1" s="1"/>
  <c r="Q830" i="1"/>
  <c r="S830" i="1" s="1"/>
  <c r="T830" i="1" s="1"/>
  <c r="Q831" i="1"/>
  <c r="S831" i="1" s="1"/>
  <c r="T831" i="1" s="1"/>
  <c r="Q832" i="1"/>
  <c r="S832" i="1" s="1"/>
  <c r="T832" i="1" s="1"/>
  <c r="Q833" i="1"/>
  <c r="S833" i="1" s="1"/>
  <c r="T833" i="1" s="1"/>
  <c r="Q834" i="1"/>
  <c r="S834" i="1" s="1"/>
  <c r="T834" i="1" s="1"/>
  <c r="Q835" i="1"/>
  <c r="S835" i="1" s="1"/>
  <c r="T835" i="1" s="1"/>
  <c r="Q836" i="1"/>
  <c r="S836" i="1" s="1"/>
  <c r="T836" i="1" s="1"/>
  <c r="Q837" i="1"/>
  <c r="S837" i="1" s="1"/>
  <c r="T837" i="1" s="1"/>
  <c r="Q838" i="1"/>
  <c r="S838" i="1" s="1"/>
  <c r="T838" i="1" s="1"/>
  <c r="Q839" i="1"/>
  <c r="S839" i="1" s="1"/>
  <c r="T839" i="1" s="1"/>
  <c r="Q840" i="1"/>
  <c r="S840" i="1" s="1"/>
  <c r="T840" i="1" s="1"/>
  <c r="Q841" i="1"/>
  <c r="S841" i="1" s="1"/>
  <c r="T841" i="1" s="1"/>
  <c r="Q842" i="1"/>
  <c r="S842" i="1" s="1"/>
  <c r="T842" i="1" s="1"/>
  <c r="Q843" i="1"/>
  <c r="S843" i="1" s="1"/>
  <c r="T843" i="1" s="1"/>
  <c r="Q844" i="1"/>
  <c r="S844" i="1" s="1"/>
  <c r="T844" i="1" s="1"/>
  <c r="Q845" i="1"/>
  <c r="S845" i="1" s="1"/>
  <c r="T845" i="1" s="1"/>
  <c r="Q846" i="1"/>
  <c r="S846" i="1" s="1"/>
  <c r="T846" i="1" s="1"/>
  <c r="Q847" i="1"/>
  <c r="S847" i="1" s="1"/>
  <c r="T847" i="1" s="1"/>
  <c r="Q848" i="1"/>
  <c r="S848" i="1" s="1"/>
  <c r="T848" i="1" s="1"/>
  <c r="Q849" i="1"/>
  <c r="S849" i="1" s="1"/>
  <c r="T849" i="1" s="1"/>
  <c r="Q850" i="1"/>
  <c r="S850" i="1" s="1"/>
  <c r="T850" i="1" s="1"/>
  <c r="Q851" i="1"/>
  <c r="S851" i="1" s="1"/>
  <c r="T851" i="1" s="1"/>
  <c r="Q852" i="1"/>
  <c r="S852" i="1" s="1"/>
  <c r="T852" i="1" s="1"/>
  <c r="Q853" i="1"/>
  <c r="S853" i="1" s="1"/>
  <c r="T853" i="1" s="1"/>
  <c r="Q854" i="1"/>
  <c r="S854" i="1" s="1"/>
  <c r="T854" i="1" s="1"/>
  <c r="Q855" i="1"/>
  <c r="S855" i="1" s="1"/>
  <c r="T855" i="1" s="1"/>
  <c r="Q856" i="1"/>
  <c r="S856" i="1" s="1"/>
  <c r="T856" i="1" s="1"/>
  <c r="Q857" i="1"/>
  <c r="S857" i="1" s="1"/>
  <c r="T857" i="1" s="1"/>
  <c r="Q858" i="1"/>
  <c r="S858" i="1" s="1"/>
  <c r="T858" i="1" s="1"/>
  <c r="Q859" i="1"/>
  <c r="S859" i="1" s="1"/>
  <c r="T859" i="1" s="1"/>
  <c r="Q860" i="1"/>
  <c r="S860" i="1" s="1"/>
  <c r="T860" i="1" s="1"/>
  <c r="Q861" i="1"/>
  <c r="S861" i="1" s="1"/>
  <c r="T861" i="1" s="1"/>
  <c r="Q862" i="1"/>
  <c r="S862" i="1" s="1"/>
  <c r="T862" i="1" s="1"/>
  <c r="Q863" i="1"/>
  <c r="S863" i="1" s="1"/>
  <c r="T863" i="1" s="1"/>
  <c r="Q864" i="1"/>
  <c r="S864" i="1" s="1"/>
  <c r="T864" i="1" s="1"/>
  <c r="Q865" i="1"/>
  <c r="S865" i="1" s="1"/>
  <c r="T865" i="1" s="1"/>
  <c r="Q866" i="1"/>
  <c r="S866" i="1" s="1"/>
  <c r="T866" i="1" s="1"/>
  <c r="Q867" i="1"/>
  <c r="S867" i="1" s="1"/>
  <c r="T867" i="1" s="1"/>
  <c r="Q868" i="1"/>
  <c r="S868" i="1" s="1"/>
  <c r="T868" i="1" s="1"/>
  <c r="Q869" i="1"/>
  <c r="S869" i="1" s="1"/>
  <c r="T869" i="1" s="1"/>
  <c r="Q870" i="1"/>
  <c r="S870" i="1" s="1"/>
  <c r="T870" i="1" s="1"/>
  <c r="Q871" i="1"/>
  <c r="S871" i="1" s="1"/>
  <c r="T871" i="1" s="1"/>
  <c r="Q872" i="1"/>
  <c r="S872" i="1" s="1"/>
  <c r="T872" i="1" s="1"/>
  <c r="Q873" i="1"/>
  <c r="S873" i="1" s="1"/>
  <c r="T873" i="1" s="1"/>
  <c r="Q874" i="1"/>
  <c r="S874" i="1" s="1"/>
  <c r="T874" i="1" s="1"/>
  <c r="Q875" i="1"/>
  <c r="S875" i="1" s="1"/>
  <c r="T875" i="1" s="1"/>
  <c r="Q876" i="1"/>
  <c r="S876" i="1" s="1"/>
  <c r="T876" i="1" s="1"/>
  <c r="Q877" i="1"/>
  <c r="S877" i="1" s="1"/>
  <c r="T877" i="1" s="1"/>
  <c r="Q878" i="1"/>
  <c r="S878" i="1" s="1"/>
  <c r="T878" i="1" s="1"/>
  <c r="Q879" i="1"/>
  <c r="S879" i="1" s="1"/>
  <c r="T879" i="1" s="1"/>
  <c r="Q880" i="1"/>
  <c r="S880" i="1" s="1"/>
  <c r="T880" i="1" s="1"/>
  <c r="Q881" i="1"/>
  <c r="S881" i="1" s="1"/>
  <c r="T881" i="1" s="1"/>
  <c r="Q882" i="1"/>
  <c r="S882" i="1" s="1"/>
  <c r="T882" i="1" s="1"/>
  <c r="Q883" i="1"/>
  <c r="S883" i="1" s="1"/>
  <c r="T883" i="1" s="1"/>
  <c r="Q884" i="1"/>
  <c r="S884" i="1" s="1"/>
  <c r="T884" i="1" s="1"/>
  <c r="Q885" i="1"/>
  <c r="S885" i="1" s="1"/>
  <c r="T885" i="1" s="1"/>
  <c r="Q886" i="1"/>
  <c r="S886" i="1" s="1"/>
  <c r="T886" i="1" s="1"/>
  <c r="Q887" i="1"/>
  <c r="S887" i="1" s="1"/>
  <c r="T887" i="1" s="1"/>
  <c r="Q888" i="1"/>
  <c r="S888" i="1" s="1"/>
  <c r="T888" i="1" s="1"/>
  <c r="Q889" i="1"/>
  <c r="S889" i="1" s="1"/>
  <c r="T889" i="1" s="1"/>
  <c r="Q890" i="1"/>
  <c r="S890" i="1" s="1"/>
  <c r="T890" i="1" s="1"/>
  <c r="Q891" i="1"/>
  <c r="S891" i="1" s="1"/>
  <c r="T891" i="1" s="1"/>
  <c r="Q892" i="1"/>
  <c r="S892" i="1" s="1"/>
  <c r="T892" i="1" s="1"/>
  <c r="Q893" i="1"/>
  <c r="S893" i="1" s="1"/>
  <c r="T893" i="1" s="1"/>
  <c r="Q894" i="1"/>
  <c r="S894" i="1" s="1"/>
  <c r="T894" i="1" s="1"/>
  <c r="Q895" i="1"/>
  <c r="S895" i="1" s="1"/>
  <c r="T895" i="1" s="1"/>
  <c r="Q896" i="1"/>
  <c r="S896" i="1" s="1"/>
  <c r="T896" i="1" s="1"/>
  <c r="Q897" i="1"/>
  <c r="S897" i="1" s="1"/>
  <c r="T897" i="1" s="1"/>
  <c r="Q898" i="1"/>
  <c r="S898" i="1" s="1"/>
  <c r="T898" i="1" s="1"/>
  <c r="Q899" i="1"/>
  <c r="S899" i="1" s="1"/>
  <c r="T899" i="1" s="1"/>
  <c r="Q900" i="1"/>
  <c r="S900" i="1" s="1"/>
  <c r="T900" i="1" s="1"/>
  <c r="Q901" i="1"/>
  <c r="S901" i="1" s="1"/>
  <c r="T901" i="1" s="1"/>
  <c r="Q902" i="1"/>
  <c r="S902" i="1" s="1"/>
  <c r="T902" i="1" s="1"/>
  <c r="Q903" i="1"/>
  <c r="S903" i="1" s="1"/>
  <c r="T903" i="1" s="1"/>
  <c r="Q904" i="1"/>
  <c r="S904" i="1" s="1"/>
  <c r="T904" i="1" s="1"/>
  <c r="Q905" i="1"/>
  <c r="S905" i="1" s="1"/>
  <c r="T905" i="1" s="1"/>
  <c r="Q906" i="1"/>
  <c r="S906" i="1" s="1"/>
  <c r="T906" i="1" s="1"/>
  <c r="Q907" i="1"/>
  <c r="S907" i="1" s="1"/>
  <c r="T907" i="1" s="1"/>
  <c r="Q908" i="1"/>
  <c r="S908" i="1" s="1"/>
  <c r="T908" i="1" s="1"/>
  <c r="Q909" i="1"/>
  <c r="S909" i="1" s="1"/>
  <c r="T909" i="1" s="1"/>
  <c r="Q910" i="1"/>
  <c r="S910" i="1" s="1"/>
  <c r="T910" i="1" s="1"/>
  <c r="Q911" i="1"/>
  <c r="S911" i="1" s="1"/>
  <c r="T911" i="1" s="1"/>
  <c r="Q912" i="1"/>
  <c r="S912" i="1" s="1"/>
  <c r="T912" i="1" s="1"/>
  <c r="Q913" i="1"/>
  <c r="S913" i="1" s="1"/>
  <c r="T913" i="1" s="1"/>
  <c r="Q914" i="1"/>
  <c r="S914" i="1" s="1"/>
  <c r="T914" i="1" s="1"/>
  <c r="Q915" i="1"/>
  <c r="S915" i="1" s="1"/>
  <c r="T915" i="1" s="1"/>
  <c r="Q916" i="1"/>
  <c r="S916" i="1" s="1"/>
  <c r="T916" i="1" s="1"/>
  <c r="Q917" i="1"/>
  <c r="S917" i="1" s="1"/>
  <c r="T917" i="1" s="1"/>
  <c r="Q918" i="1"/>
  <c r="S918" i="1" s="1"/>
  <c r="T918" i="1" s="1"/>
  <c r="Q919" i="1"/>
  <c r="S919" i="1" s="1"/>
  <c r="T919" i="1" s="1"/>
  <c r="Q920" i="1"/>
  <c r="S920" i="1" s="1"/>
  <c r="T920" i="1" s="1"/>
  <c r="Q921" i="1"/>
  <c r="S921" i="1" s="1"/>
  <c r="T921" i="1" s="1"/>
  <c r="Q922" i="1"/>
  <c r="S922" i="1" s="1"/>
  <c r="T922" i="1" s="1"/>
  <c r="Q923" i="1"/>
  <c r="S923" i="1" s="1"/>
  <c r="T923" i="1" s="1"/>
  <c r="Q924" i="1"/>
  <c r="S924" i="1" s="1"/>
  <c r="T924" i="1" s="1"/>
  <c r="Q925" i="1"/>
  <c r="S925" i="1" s="1"/>
  <c r="T925" i="1" s="1"/>
  <c r="Q926" i="1"/>
  <c r="S926" i="1" s="1"/>
  <c r="T926" i="1" s="1"/>
  <c r="Q927" i="1"/>
  <c r="S927" i="1" s="1"/>
  <c r="T927" i="1" s="1"/>
  <c r="Q928" i="1"/>
  <c r="S928" i="1" s="1"/>
  <c r="T928" i="1" s="1"/>
  <c r="Q929" i="1"/>
  <c r="S929" i="1" s="1"/>
  <c r="T929" i="1" s="1"/>
  <c r="Q930" i="1"/>
  <c r="S930" i="1" s="1"/>
  <c r="T930" i="1" s="1"/>
  <c r="Q931" i="1"/>
  <c r="S931" i="1" s="1"/>
  <c r="T931" i="1" s="1"/>
  <c r="Q932" i="1"/>
  <c r="S932" i="1" s="1"/>
  <c r="T932" i="1" s="1"/>
  <c r="Q933" i="1"/>
  <c r="S933" i="1" s="1"/>
  <c r="T933" i="1" s="1"/>
  <c r="Q934" i="1"/>
  <c r="S934" i="1" s="1"/>
  <c r="T934" i="1" s="1"/>
  <c r="Q935" i="1"/>
  <c r="S935" i="1" s="1"/>
  <c r="T935" i="1" s="1"/>
  <c r="Q936" i="1"/>
  <c r="S936" i="1" s="1"/>
  <c r="T936" i="1" s="1"/>
  <c r="Q937" i="1"/>
  <c r="S937" i="1" s="1"/>
  <c r="T937" i="1" s="1"/>
  <c r="Q938" i="1"/>
  <c r="S938" i="1" s="1"/>
  <c r="T938" i="1" s="1"/>
  <c r="Q939" i="1"/>
  <c r="S939" i="1" s="1"/>
  <c r="T939" i="1" s="1"/>
  <c r="Q940" i="1"/>
  <c r="S940" i="1" s="1"/>
  <c r="T940" i="1" s="1"/>
  <c r="Q941" i="1"/>
  <c r="S941" i="1" s="1"/>
  <c r="T941" i="1" s="1"/>
  <c r="Q942" i="1"/>
  <c r="S942" i="1" s="1"/>
  <c r="T942" i="1" s="1"/>
  <c r="Q943" i="1"/>
  <c r="S943" i="1" s="1"/>
  <c r="T943" i="1" s="1"/>
  <c r="Q944" i="1"/>
  <c r="S944" i="1" s="1"/>
  <c r="T944" i="1" s="1"/>
  <c r="Q945" i="1"/>
  <c r="S945" i="1" s="1"/>
  <c r="T945" i="1" s="1"/>
  <c r="Q946" i="1"/>
  <c r="S946" i="1" s="1"/>
  <c r="T946" i="1" s="1"/>
  <c r="Q947" i="1"/>
  <c r="S947" i="1" s="1"/>
  <c r="T947" i="1" s="1"/>
  <c r="Q948" i="1"/>
  <c r="S948" i="1" s="1"/>
  <c r="T948" i="1" s="1"/>
  <c r="Q949" i="1"/>
  <c r="S949" i="1" s="1"/>
  <c r="T949" i="1" s="1"/>
  <c r="Q950" i="1"/>
  <c r="S950" i="1" s="1"/>
  <c r="T950" i="1" s="1"/>
  <c r="Q951" i="1"/>
  <c r="S951" i="1" s="1"/>
  <c r="T951" i="1" s="1"/>
  <c r="Q952" i="1"/>
  <c r="S952" i="1" s="1"/>
  <c r="T952" i="1" s="1"/>
  <c r="Q953" i="1"/>
  <c r="S953" i="1" s="1"/>
  <c r="T953" i="1" s="1"/>
  <c r="Q954" i="1"/>
  <c r="S954" i="1" s="1"/>
  <c r="T954" i="1" s="1"/>
  <c r="Q955" i="1"/>
  <c r="S955" i="1" s="1"/>
  <c r="T955" i="1" s="1"/>
  <c r="Q956" i="1"/>
  <c r="S956" i="1" s="1"/>
  <c r="T956" i="1" s="1"/>
  <c r="Q957" i="1"/>
  <c r="S957" i="1" s="1"/>
  <c r="T957" i="1" s="1"/>
  <c r="Q958" i="1"/>
  <c r="S958" i="1" s="1"/>
  <c r="T958" i="1" s="1"/>
  <c r="Q959" i="1"/>
  <c r="S959" i="1" s="1"/>
  <c r="T959" i="1" s="1"/>
  <c r="Q960" i="1"/>
  <c r="S960" i="1" s="1"/>
  <c r="T960" i="1" s="1"/>
  <c r="Q961" i="1"/>
  <c r="S961" i="1" s="1"/>
  <c r="T961" i="1" s="1"/>
  <c r="Q962" i="1"/>
  <c r="S962" i="1" s="1"/>
  <c r="T962" i="1" s="1"/>
  <c r="Q963" i="1"/>
  <c r="S963" i="1" s="1"/>
  <c r="T963" i="1" s="1"/>
  <c r="Q964" i="1"/>
  <c r="S964" i="1" s="1"/>
  <c r="T964" i="1" s="1"/>
  <c r="Q965" i="1"/>
  <c r="S965" i="1" s="1"/>
  <c r="T965" i="1" s="1"/>
  <c r="Q966" i="1"/>
  <c r="S966" i="1" s="1"/>
  <c r="T966" i="1" s="1"/>
  <c r="Q967" i="1"/>
  <c r="S967" i="1" s="1"/>
  <c r="T967" i="1" s="1"/>
  <c r="Q968" i="1"/>
  <c r="S968" i="1" s="1"/>
  <c r="T968" i="1" s="1"/>
  <c r="Q969" i="1"/>
  <c r="S969" i="1" s="1"/>
  <c r="T969" i="1" s="1"/>
  <c r="Q970" i="1"/>
  <c r="S970" i="1" s="1"/>
  <c r="T970" i="1" s="1"/>
  <c r="Q971" i="1"/>
  <c r="S971" i="1" s="1"/>
  <c r="T971" i="1" s="1"/>
  <c r="Q972" i="1"/>
  <c r="S972" i="1" s="1"/>
  <c r="T972" i="1" s="1"/>
  <c r="Q973" i="1"/>
  <c r="S973" i="1" s="1"/>
  <c r="T973" i="1" s="1"/>
  <c r="Q974" i="1"/>
  <c r="S974" i="1" s="1"/>
  <c r="T974" i="1" s="1"/>
  <c r="Q975" i="1"/>
  <c r="S975" i="1" s="1"/>
  <c r="T975" i="1" s="1"/>
  <c r="Q976" i="1"/>
  <c r="S976" i="1" s="1"/>
  <c r="T976" i="1" s="1"/>
  <c r="Q977" i="1"/>
  <c r="S977" i="1" s="1"/>
  <c r="T977" i="1" s="1"/>
  <c r="Q978" i="1"/>
  <c r="S978" i="1" s="1"/>
  <c r="T978" i="1" s="1"/>
  <c r="Q979" i="1"/>
  <c r="S979" i="1" s="1"/>
  <c r="T979" i="1" s="1"/>
  <c r="Q980" i="1"/>
  <c r="S980" i="1" s="1"/>
  <c r="T980" i="1" s="1"/>
  <c r="Q981" i="1"/>
  <c r="S981" i="1" s="1"/>
  <c r="T981" i="1" s="1"/>
  <c r="Q982" i="1"/>
  <c r="S982" i="1" s="1"/>
  <c r="T982" i="1" s="1"/>
  <c r="Q983" i="1"/>
  <c r="S983" i="1" s="1"/>
  <c r="T983" i="1" s="1"/>
  <c r="Q984" i="1"/>
  <c r="S984" i="1" s="1"/>
  <c r="T984" i="1" s="1"/>
  <c r="Q985" i="1"/>
  <c r="S985" i="1" s="1"/>
  <c r="T985" i="1" s="1"/>
  <c r="Q986" i="1"/>
  <c r="S986" i="1" s="1"/>
  <c r="T986" i="1" s="1"/>
  <c r="Q987" i="1"/>
  <c r="S987" i="1" s="1"/>
  <c r="T987" i="1" s="1"/>
  <c r="Q988" i="1"/>
  <c r="S988" i="1" s="1"/>
  <c r="T988" i="1" s="1"/>
  <c r="Q989" i="1"/>
  <c r="S989" i="1" s="1"/>
  <c r="T989" i="1" s="1"/>
  <c r="Q990" i="1"/>
  <c r="S990" i="1" s="1"/>
  <c r="T990" i="1" s="1"/>
  <c r="Q991" i="1"/>
  <c r="S991" i="1" s="1"/>
  <c r="T991" i="1" s="1"/>
  <c r="Q992" i="1"/>
  <c r="S992" i="1" s="1"/>
  <c r="T992" i="1" s="1"/>
  <c r="Q993" i="1"/>
  <c r="S993" i="1" s="1"/>
  <c r="T993" i="1" s="1"/>
  <c r="Q994" i="1"/>
  <c r="S994" i="1" s="1"/>
  <c r="T994" i="1" s="1"/>
  <c r="Q995" i="1"/>
  <c r="S995" i="1" s="1"/>
  <c r="T995" i="1" s="1"/>
  <c r="Q996" i="1"/>
  <c r="S996" i="1" s="1"/>
  <c r="T996" i="1" s="1"/>
  <c r="Q997" i="1"/>
  <c r="S997" i="1" s="1"/>
  <c r="T997" i="1" s="1"/>
  <c r="Q998" i="1"/>
  <c r="S998" i="1" s="1"/>
  <c r="T998" i="1" s="1"/>
  <c r="Q999" i="1"/>
  <c r="S999" i="1" s="1"/>
  <c r="T999" i="1" s="1"/>
  <c r="Q1000" i="1"/>
  <c r="S1000" i="1" s="1"/>
  <c r="T1000" i="1" s="1"/>
  <c r="Q1001" i="1"/>
  <c r="S1001" i="1" s="1"/>
  <c r="T1001" i="1" s="1"/>
  <c r="Q1002" i="1"/>
  <c r="S1002" i="1" s="1"/>
  <c r="T1002" i="1" s="1"/>
  <c r="Q1003" i="1"/>
  <c r="S1003" i="1" s="1"/>
  <c r="T1003" i="1" s="1"/>
  <c r="Q1004" i="1"/>
  <c r="S1004" i="1" s="1"/>
  <c r="T1004" i="1" s="1"/>
  <c r="Q1005" i="1"/>
  <c r="S1005" i="1" s="1"/>
  <c r="T1005" i="1" s="1"/>
  <c r="Q1006" i="1"/>
  <c r="S1006" i="1" s="1"/>
  <c r="T1006" i="1" s="1"/>
  <c r="Q1007" i="1"/>
  <c r="S1007" i="1" s="1"/>
  <c r="T1007" i="1" s="1"/>
  <c r="Q1008" i="1"/>
  <c r="S1008" i="1" s="1"/>
  <c r="T1008" i="1" s="1"/>
  <c r="Q1009" i="1"/>
  <c r="S1009" i="1" s="1"/>
  <c r="T1009" i="1" s="1"/>
  <c r="Q1010" i="1"/>
  <c r="S1010" i="1" s="1"/>
  <c r="T1010" i="1" s="1"/>
  <c r="Q1011" i="1"/>
  <c r="S1011" i="1" s="1"/>
  <c r="T1011" i="1" s="1"/>
  <c r="Q1012" i="1"/>
  <c r="S1012" i="1" s="1"/>
  <c r="T1012" i="1" s="1"/>
  <c r="Q1013" i="1"/>
  <c r="S1013" i="1" s="1"/>
  <c r="T1013" i="1" s="1"/>
  <c r="Q1014" i="1"/>
  <c r="S1014" i="1" s="1"/>
  <c r="T1014" i="1" s="1"/>
  <c r="Q1015" i="1"/>
  <c r="S1015" i="1" s="1"/>
  <c r="T1015" i="1" s="1"/>
  <c r="Q1016" i="1"/>
  <c r="S1016" i="1" s="1"/>
  <c r="T1016" i="1" s="1"/>
  <c r="Q1017" i="1"/>
  <c r="S1017" i="1" s="1"/>
  <c r="T1017" i="1" s="1"/>
  <c r="Q1018" i="1"/>
  <c r="S1018" i="1" s="1"/>
  <c r="T1018" i="1" s="1"/>
  <c r="Q1019" i="1"/>
  <c r="S1019" i="1" s="1"/>
  <c r="T1019" i="1" s="1"/>
  <c r="Q1020" i="1"/>
  <c r="S1020" i="1" s="1"/>
  <c r="T1020" i="1" s="1"/>
  <c r="Q1021" i="1"/>
  <c r="S1021" i="1" s="1"/>
  <c r="T1021" i="1" s="1"/>
  <c r="Q1022" i="1"/>
  <c r="S1022" i="1" s="1"/>
  <c r="T1022" i="1" s="1"/>
  <c r="Q1023" i="1"/>
  <c r="S1023" i="1" s="1"/>
  <c r="T1023" i="1" s="1"/>
  <c r="Q1024" i="1"/>
  <c r="S1024" i="1" s="1"/>
  <c r="T1024" i="1" s="1"/>
  <c r="Q1025" i="1"/>
  <c r="S1025" i="1" s="1"/>
  <c r="T1025" i="1" s="1"/>
  <c r="Q1026" i="1"/>
  <c r="S1026" i="1" s="1"/>
  <c r="T1026" i="1" s="1"/>
  <c r="Q1027" i="1"/>
  <c r="S1027" i="1" s="1"/>
  <c r="T1027" i="1" s="1"/>
  <c r="Q1028" i="1"/>
  <c r="S1028" i="1" s="1"/>
  <c r="T1028" i="1" s="1"/>
  <c r="Q1029" i="1"/>
  <c r="S1029" i="1" s="1"/>
  <c r="T1029" i="1" s="1"/>
  <c r="Q1030" i="1"/>
  <c r="S1030" i="1" s="1"/>
  <c r="T1030" i="1" s="1"/>
  <c r="Q1031" i="1"/>
  <c r="S1031" i="1" s="1"/>
  <c r="T1031" i="1" s="1"/>
  <c r="Q1032" i="1"/>
  <c r="S1032" i="1" s="1"/>
  <c r="T1032" i="1" s="1"/>
  <c r="Q1033" i="1"/>
  <c r="S1033" i="1" s="1"/>
  <c r="T1033" i="1" s="1"/>
  <c r="Q1034" i="1"/>
  <c r="S1034" i="1" s="1"/>
  <c r="T1034" i="1" s="1"/>
  <c r="Q1035" i="1"/>
  <c r="S1035" i="1" s="1"/>
  <c r="T1035" i="1" s="1"/>
  <c r="Q1036" i="1"/>
  <c r="S1036" i="1" s="1"/>
  <c r="T1036" i="1" s="1"/>
  <c r="Q1037" i="1"/>
  <c r="S1037" i="1" s="1"/>
  <c r="T1037" i="1" s="1"/>
  <c r="Q1038" i="1"/>
  <c r="S1038" i="1" s="1"/>
  <c r="T1038" i="1" s="1"/>
  <c r="Q1039" i="1"/>
  <c r="S1039" i="1" s="1"/>
  <c r="T1039" i="1" s="1"/>
  <c r="Q1040" i="1"/>
  <c r="S1040" i="1" s="1"/>
  <c r="T1040" i="1" s="1"/>
  <c r="Q1041" i="1"/>
  <c r="S1041" i="1" s="1"/>
  <c r="T1041" i="1" s="1"/>
  <c r="Q1042" i="1"/>
  <c r="S1042" i="1" s="1"/>
  <c r="T1042" i="1" s="1"/>
  <c r="Q1043" i="1"/>
  <c r="S1043" i="1" s="1"/>
  <c r="T1043" i="1" s="1"/>
  <c r="Q1044" i="1"/>
  <c r="S1044" i="1" s="1"/>
  <c r="T1044" i="1" s="1"/>
  <c r="Q1045" i="1"/>
  <c r="S1045" i="1" s="1"/>
  <c r="T1045" i="1" s="1"/>
  <c r="Q1046" i="1"/>
  <c r="S1046" i="1" s="1"/>
  <c r="T1046" i="1" s="1"/>
  <c r="Q1047" i="1"/>
  <c r="S1047" i="1" s="1"/>
  <c r="T1047" i="1" s="1"/>
  <c r="Q1048" i="1"/>
  <c r="S1048" i="1" s="1"/>
  <c r="T1048" i="1" s="1"/>
  <c r="Q1049" i="1"/>
  <c r="S1049" i="1" s="1"/>
  <c r="T1049" i="1" s="1"/>
  <c r="Q1050" i="1"/>
  <c r="S1050" i="1" s="1"/>
  <c r="T1050" i="1" s="1"/>
  <c r="Q1051" i="1"/>
  <c r="S1051" i="1" s="1"/>
  <c r="T1051" i="1" s="1"/>
  <c r="Q1052" i="1"/>
  <c r="S1052" i="1" s="1"/>
  <c r="T1052" i="1" s="1"/>
  <c r="Q1053" i="1"/>
  <c r="S1053" i="1" s="1"/>
  <c r="T1053" i="1" s="1"/>
  <c r="Q1054" i="1"/>
  <c r="S1054" i="1" s="1"/>
  <c r="T1054" i="1" s="1"/>
  <c r="Q1055" i="1"/>
  <c r="S1055" i="1" s="1"/>
  <c r="T1055" i="1" s="1"/>
  <c r="Q1056" i="1"/>
  <c r="S1056" i="1" s="1"/>
  <c r="T1056" i="1" s="1"/>
  <c r="Q1057" i="1"/>
  <c r="S1057" i="1" s="1"/>
  <c r="T1057" i="1" s="1"/>
  <c r="Q1058" i="1"/>
  <c r="S1058" i="1" s="1"/>
  <c r="T1058" i="1" s="1"/>
  <c r="Q1059" i="1"/>
  <c r="S1059" i="1" s="1"/>
  <c r="T1059" i="1" s="1"/>
  <c r="Q1060" i="1"/>
  <c r="S1060" i="1" s="1"/>
  <c r="T1060" i="1" s="1"/>
  <c r="Q1061" i="1"/>
  <c r="S1061" i="1" s="1"/>
  <c r="T1061" i="1" s="1"/>
  <c r="Q1062" i="1"/>
  <c r="S1062" i="1" s="1"/>
  <c r="T1062" i="1" s="1"/>
  <c r="Q1063" i="1"/>
  <c r="S1063" i="1" s="1"/>
  <c r="T1063" i="1" s="1"/>
  <c r="Q1064" i="1"/>
  <c r="S1064" i="1" s="1"/>
  <c r="T1064" i="1" s="1"/>
  <c r="Q1065" i="1"/>
  <c r="S1065" i="1" s="1"/>
  <c r="T1065" i="1" s="1"/>
  <c r="Q1066" i="1"/>
  <c r="S1066" i="1" s="1"/>
  <c r="T1066" i="1" s="1"/>
  <c r="Q1067" i="1"/>
  <c r="S1067" i="1" s="1"/>
  <c r="T1067" i="1" s="1"/>
  <c r="Q1068" i="1"/>
  <c r="S1068" i="1" s="1"/>
  <c r="T1068" i="1" s="1"/>
  <c r="Q1069" i="1"/>
  <c r="S1069" i="1" s="1"/>
  <c r="T1069" i="1" s="1"/>
  <c r="Q1070" i="1"/>
  <c r="S1070" i="1" s="1"/>
  <c r="T1070" i="1" s="1"/>
  <c r="Q1071" i="1"/>
  <c r="S1071" i="1" s="1"/>
  <c r="T1071" i="1" s="1"/>
  <c r="Q1072" i="1"/>
  <c r="S1072" i="1" s="1"/>
  <c r="T1072" i="1" s="1"/>
  <c r="Q1073" i="1"/>
  <c r="S1073" i="1" s="1"/>
  <c r="T1073" i="1" s="1"/>
  <c r="Q1074" i="1"/>
  <c r="S1074" i="1" s="1"/>
  <c r="T1074" i="1" s="1"/>
  <c r="Q1075" i="1"/>
  <c r="S1075" i="1" s="1"/>
  <c r="T1075" i="1" s="1"/>
  <c r="Q1076" i="1"/>
  <c r="S1076" i="1" s="1"/>
  <c r="T1076" i="1" s="1"/>
  <c r="Q1077" i="1"/>
  <c r="S1077" i="1" s="1"/>
  <c r="T1077" i="1" s="1"/>
  <c r="Q1078" i="1"/>
  <c r="S1078" i="1" s="1"/>
  <c r="T1078" i="1" s="1"/>
  <c r="Q1079" i="1"/>
  <c r="S1079" i="1" s="1"/>
  <c r="T1079" i="1" s="1"/>
  <c r="Q1080" i="1"/>
  <c r="S1080" i="1" s="1"/>
  <c r="T1080" i="1" s="1"/>
  <c r="Q1081" i="1"/>
  <c r="S1081" i="1" s="1"/>
  <c r="T1081" i="1" s="1"/>
  <c r="Q1082" i="1"/>
  <c r="S1082" i="1" s="1"/>
  <c r="T1082" i="1" s="1"/>
  <c r="Q1083" i="1"/>
  <c r="S1083" i="1" s="1"/>
  <c r="T1083" i="1" s="1"/>
  <c r="Q1084" i="1"/>
  <c r="S1084" i="1" s="1"/>
  <c r="T1084" i="1" s="1"/>
  <c r="Q1085" i="1"/>
  <c r="S1085" i="1" s="1"/>
  <c r="T1085" i="1" s="1"/>
  <c r="Q1086" i="1"/>
  <c r="S1086" i="1" s="1"/>
  <c r="T1086" i="1" s="1"/>
  <c r="Q1087" i="1"/>
  <c r="S1087" i="1" s="1"/>
  <c r="T1087" i="1" s="1"/>
  <c r="Q1088" i="1"/>
  <c r="S1088" i="1" s="1"/>
  <c r="T1088" i="1" s="1"/>
  <c r="Q1089" i="1"/>
  <c r="S1089" i="1" s="1"/>
  <c r="T1089" i="1" s="1"/>
  <c r="Q1090" i="1"/>
  <c r="S1090" i="1" s="1"/>
  <c r="T1090" i="1" s="1"/>
  <c r="Q1091" i="1"/>
  <c r="S1091" i="1" s="1"/>
  <c r="T1091" i="1" s="1"/>
  <c r="Q1092" i="1"/>
  <c r="S1092" i="1" s="1"/>
  <c r="T1092" i="1" s="1"/>
  <c r="Q1093" i="1"/>
  <c r="S1093" i="1" s="1"/>
  <c r="T1093" i="1" s="1"/>
  <c r="Q1094" i="1"/>
  <c r="S1094" i="1" s="1"/>
  <c r="T1094" i="1" s="1"/>
  <c r="Q1095" i="1"/>
  <c r="S1095" i="1" s="1"/>
  <c r="T1095" i="1" s="1"/>
  <c r="Q1096" i="1"/>
  <c r="S1096" i="1" s="1"/>
  <c r="T1096" i="1" s="1"/>
  <c r="Q1097" i="1"/>
  <c r="S1097" i="1" s="1"/>
  <c r="T1097" i="1" s="1"/>
  <c r="Q1098" i="1"/>
  <c r="S1098" i="1" s="1"/>
  <c r="T1098" i="1" s="1"/>
  <c r="Q1099" i="1"/>
  <c r="S1099" i="1" s="1"/>
  <c r="T1099" i="1" s="1"/>
  <c r="Q1100" i="1"/>
  <c r="S1100" i="1" s="1"/>
  <c r="T1100" i="1" s="1"/>
  <c r="Q1101" i="1"/>
  <c r="S1101" i="1" s="1"/>
  <c r="T1101" i="1" s="1"/>
  <c r="Q1102" i="1"/>
  <c r="S1102" i="1" s="1"/>
  <c r="T1102" i="1" s="1"/>
  <c r="Q1103" i="1"/>
  <c r="S1103" i="1" s="1"/>
  <c r="T1103" i="1" s="1"/>
  <c r="Q1104" i="1"/>
  <c r="S1104" i="1" s="1"/>
  <c r="T1104" i="1" s="1"/>
  <c r="Q1105" i="1"/>
  <c r="S1105" i="1" s="1"/>
  <c r="T1105" i="1" s="1"/>
  <c r="Q1106" i="1"/>
  <c r="S1106" i="1" s="1"/>
  <c r="T1106" i="1" s="1"/>
  <c r="Q1107" i="1"/>
  <c r="S1107" i="1" s="1"/>
  <c r="T1107" i="1" s="1"/>
  <c r="Q1108" i="1"/>
  <c r="S1108" i="1" s="1"/>
  <c r="T1108" i="1" s="1"/>
  <c r="Q1109" i="1"/>
  <c r="S1109" i="1" s="1"/>
  <c r="T1109" i="1" s="1"/>
  <c r="Q1110" i="1"/>
  <c r="S1110" i="1" s="1"/>
  <c r="T1110" i="1" s="1"/>
  <c r="Q1111" i="1"/>
  <c r="S1111" i="1" s="1"/>
  <c r="T1111" i="1" s="1"/>
  <c r="Q1112" i="1"/>
  <c r="S1112" i="1" s="1"/>
  <c r="T1112" i="1" s="1"/>
  <c r="Q1113" i="1"/>
  <c r="S1113" i="1" s="1"/>
  <c r="T1113" i="1" s="1"/>
  <c r="Q1114" i="1"/>
  <c r="S1114" i="1" s="1"/>
  <c r="T1114" i="1" s="1"/>
  <c r="Q1115" i="1"/>
  <c r="S1115" i="1" s="1"/>
  <c r="T1115" i="1" s="1"/>
  <c r="Q1116" i="1"/>
  <c r="S1116" i="1" s="1"/>
  <c r="T1116" i="1" s="1"/>
  <c r="Q1117" i="1"/>
  <c r="S1117" i="1" s="1"/>
  <c r="T1117" i="1" s="1"/>
  <c r="Q1118" i="1"/>
  <c r="S1118" i="1" s="1"/>
  <c r="T1118" i="1" s="1"/>
  <c r="Q1119" i="1"/>
  <c r="S1119" i="1" s="1"/>
  <c r="T1119" i="1" s="1"/>
  <c r="Q1120" i="1"/>
  <c r="S1120" i="1" s="1"/>
  <c r="T1120" i="1" s="1"/>
  <c r="Q1121" i="1"/>
  <c r="S1121" i="1" s="1"/>
  <c r="T1121" i="1" s="1"/>
  <c r="Q1122" i="1"/>
  <c r="S1122" i="1" s="1"/>
  <c r="T1122" i="1" s="1"/>
  <c r="Q1123" i="1"/>
  <c r="S1123" i="1" s="1"/>
  <c r="T1123" i="1" s="1"/>
  <c r="Q1124" i="1"/>
  <c r="S1124" i="1" s="1"/>
  <c r="T1124" i="1" s="1"/>
  <c r="Q1125" i="1"/>
  <c r="S1125" i="1" s="1"/>
  <c r="T1125" i="1" s="1"/>
  <c r="Q1126" i="1"/>
  <c r="S1126" i="1" s="1"/>
  <c r="T1126" i="1" s="1"/>
  <c r="Q1127" i="1"/>
  <c r="S1127" i="1" s="1"/>
  <c r="T1127" i="1" s="1"/>
  <c r="Q1128" i="1"/>
  <c r="S1128" i="1" s="1"/>
  <c r="T1128" i="1" s="1"/>
  <c r="Q1129" i="1"/>
  <c r="S1129" i="1" s="1"/>
  <c r="T1129" i="1" s="1"/>
  <c r="Q1130" i="1"/>
  <c r="S1130" i="1" s="1"/>
  <c r="T1130" i="1" s="1"/>
  <c r="Q1131" i="1"/>
  <c r="S1131" i="1" s="1"/>
  <c r="T1131" i="1" s="1"/>
  <c r="Q1132" i="1"/>
  <c r="S1132" i="1" s="1"/>
  <c r="T1132" i="1" s="1"/>
  <c r="Q1133" i="1"/>
  <c r="S1133" i="1" s="1"/>
  <c r="T1133" i="1" s="1"/>
  <c r="Q1134" i="1"/>
  <c r="S1134" i="1" s="1"/>
  <c r="T1134" i="1" s="1"/>
  <c r="Q1135" i="1"/>
  <c r="S1135" i="1" s="1"/>
  <c r="T1135" i="1" s="1"/>
  <c r="Q1136" i="1"/>
  <c r="S1136" i="1" s="1"/>
  <c r="T1136" i="1" s="1"/>
  <c r="Q1137" i="1"/>
  <c r="S1137" i="1" s="1"/>
  <c r="T1137" i="1" s="1"/>
  <c r="Q1138" i="1"/>
  <c r="S1138" i="1" s="1"/>
  <c r="T1138" i="1" s="1"/>
  <c r="Q1139" i="1"/>
  <c r="S1139" i="1" s="1"/>
  <c r="T1139" i="1" s="1"/>
  <c r="Q1140" i="1"/>
  <c r="S1140" i="1" s="1"/>
  <c r="T1140" i="1" s="1"/>
  <c r="Q1141" i="1"/>
  <c r="S1141" i="1" s="1"/>
  <c r="T1141" i="1" s="1"/>
  <c r="Q1142" i="1"/>
  <c r="S1142" i="1" s="1"/>
  <c r="T1142" i="1" s="1"/>
  <c r="Q1143" i="1"/>
  <c r="S1143" i="1" s="1"/>
  <c r="T1143" i="1" s="1"/>
  <c r="Q1144" i="1"/>
  <c r="S1144" i="1" s="1"/>
  <c r="T1144" i="1" s="1"/>
  <c r="Q1145" i="1"/>
  <c r="S1145" i="1" s="1"/>
  <c r="T1145" i="1" s="1"/>
  <c r="Q1146" i="1"/>
  <c r="S1146" i="1" s="1"/>
  <c r="T1146" i="1" s="1"/>
  <c r="Q1147" i="1"/>
  <c r="S1147" i="1" s="1"/>
  <c r="T1147" i="1" s="1"/>
  <c r="Q1148" i="1"/>
  <c r="S1148" i="1" s="1"/>
  <c r="T1148" i="1" s="1"/>
  <c r="Q1149" i="1"/>
  <c r="S1149" i="1" s="1"/>
  <c r="T1149" i="1" s="1"/>
  <c r="Q1150" i="1"/>
  <c r="S1150" i="1" s="1"/>
  <c r="T1150" i="1" s="1"/>
  <c r="Q1151" i="1"/>
  <c r="S1151" i="1" s="1"/>
  <c r="T1151" i="1" s="1"/>
  <c r="Q1152" i="1"/>
  <c r="S1152" i="1" s="1"/>
  <c r="T1152" i="1" s="1"/>
  <c r="Q1153" i="1"/>
  <c r="S1153" i="1" s="1"/>
  <c r="T1153" i="1" s="1"/>
  <c r="Q1154" i="1"/>
  <c r="S1154" i="1" s="1"/>
  <c r="T1154" i="1" s="1"/>
  <c r="Q1155" i="1"/>
  <c r="S1155" i="1" s="1"/>
  <c r="T1155" i="1" s="1"/>
  <c r="Q1156" i="1"/>
  <c r="S1156" i="1" s="1"/>
  <c r="T1156" i="1" s="1"/>
  <c r="Q1157" i="1"/>
  <c r="S1157" i="1" s="1"/>
  <c r="T1157" i="1" s="1"/>
  <c r="Q1158" i="1"/>
  <c r="S1158" i="1" s="1"/>
  <c r="T1158" i="1" s="1"/>
  <c r="Q1159" i="1"/>
  <c r="S1159" i="1" s="1"/>
  <c r="T1159" i="1" s="1"/>
  <c r="Q1160" i="1"/>
  <c r="S1160" i="1" s="1"/>
  <c r="T1160" i="1" s="1"/>
  <c r="Q1161" i="1"/>
  <c r="S1161" i="1" s="1"/>
  <c r="T1161" i="1" s="1"/>
  <c r="Q1162" i="1"/>
  <c r="S1162" i="1" s="1"/>
  <c r="T1162" i="1" s="1"/>
  <c r="Q1163" i="1"/>
  <c r="S1163" i="1" s="1"/>
  <c r="T1163" i="1" s="1"/>
  <c r="Q1164" i="1"/>
  <c r="S1164" i="1" s="1"/>
  <c r="T1164" i="1" s="1"/>
  <c r="Q1165" i="1"/>
  <c r="S1165" i="1" s="1"/>
  <c r="T1165" i="1" s="1"/>
  <c r="Q1166" i="1"/>
  <c r="S1166" i="1" s="1"/>
  <c r="T1166" i="1" s="1"/>
  <c r="Q1167" i="1"/>
  <c r="S1167" i="1" s="1"/>
  <c r="T1167" i="1" s="1"/>
  <c r="Q1168" i="1"/>
  <c r="S1168" i="1" s="1"/>
  <c r="T1168" i="1" s="1"/>
  <c r="Q1169" i="1"/>
  <c r="S1169" i="1" s="1"/>
  <c r="T1169" i="1" s="1"/>
  <c r="Q1170" i="1"/>
  <c r="S1170" i="1" s="1"/>
  <c r="T1170" i="1" s="1"/>
  <c r="Q1171" i="1"/>
  <c r="S1171" i="1" s="1"/>
  <c r="T1171" i="1" s="1"/>
  <c r="Q1172" i="1"/>
  <c r="S1172" i="1" s="1"/>
  <c r="T1172" i="1" s="1"/>
  <c r="Q1173" i="1"/>
  <c r="S1173" i="1" s="1"/>
  <c r="T1173" i="1" s="1"/>
  <c r="Q1174" i="1"/>
  <c r="S1174" i="1" s="1"/>
  <c r="T1174" i="1" s="1"/>
  <c r="Q1175" i="1"/>
  <c r="S1175" i="1" s="1"/>
  <c r="T1175" i="1" s="1"/>
  <c r="Q1176" i="1"/>
  <c r="S1176" i="1" s="1"/>
  <c r="T1176" i="1" s="1"/>
  <c r="Q1177" i="1"/>
  <c r="S1177" i="1" s="1"/>
  <c r="T1177" i="1" s="1"/>
  <c r="Q1178" i="1"/>
  <c r="S1178" i="1" s="1"/>
  <c r="T1178" i="1" s="1"/>
  <c r="Q1179" i="1"/>
  <c r="S1179" i="1" s="1"/>
  <c r="T1179" i="1" s="1"/>
  <c r="Q1180" i="1"/>
  <c r="S1180" i="1" s="1"/>
  <c r="T1180" i="1" s="1"/>
  <c r="Q1181" i="1"/>
  <c r="S1181" i="1" s="1"/>
  <c r="T1181" i="1" s="1"/>
  <c r="Q1182" i="1"/>
  <c r="S1182" i="1" s="1"/>
  <c r="T1182" i="1" s="1"/>
  <c r="Q1183" i="1"/>
  <c r="S1183" i="1" s="1"/>
  <c r="T1183" i="1" s="1"/>
  <c r="Q1184" i="1"/>
  <c r="S1184" i="1" s="1"/>
  <c r="T1184" i="1" s="1"/>
  <c r="Q1185" i="1"/>
  <c r="S1185" i="1" s="1"/>
  <c r="T1185" i="1" s="1"/>
  <c r="Q1186" i="1"/>
  <c r="S1186" i="1" s="1"/>
  <c r="T1186" i="1" s="1"/>
  <c r="Q1187" i="1"/>
  <c r="S1187" i="1" s="1"/>
  <c r="T1187" i="1" s="1"/>
  <c r="Q1188" i="1"/>
  <c r="S1188" i="1" s="1"/>
  <c r="T1188" i="1" s="1"/>
  <c r="Q1189" i="1"/>
  <c r="S1189" i="1" s="1"/>
  <c r="T1189" i="1" s="1"/>
  <c r="Q1190" i="1"/>
  <c r="S1190" i="1" s="1"/>
  <c r="T1190" i="1" s="1"/>
  <c r="Q1191" i="1"/>
  <c r="S1191" i="1" s="1"/>
  <c r="T1191" i="1" s="1"/>
  <c r="Q1192" i="1"/>
  <c r="S1192" i="1" s="1"/>
  <c r="T1192" i="1" s="1"/>
  <c r="Q1193" i="1"/>
  <c r="S1193" i="1" s="1"/>
  <c r="T1193" i="1" s="1"/>
  <c r="Q1194" i="1"/>
  <c r="S1194" i="1" s="1"/>
  <c r="T1194" i="1" s="1"/>
  <c r="Q1195" i="1"/>
  <c r="S1195" i="1" s="1"/>
  <c r="T1195" i="1" s="1"/>
  <c r="Q1196" i="1"/>
  <c r="S1196" i="1" s="1"/>
  <c r="T1196" i="1" s="1"/>
  <c r="Q1197" i="1"/>
  <c r="S1197" i="1" s="1"/>
  <c r="T1197" i="1" s="1"/>
  <c r="Q1198" i="1"/>
  <c r="S1198" i="1" s="1"/>
  <c r="T1198" i="1" s="1"/>
  <c r="Q1199" i="1"/>
  <c r="S1199" i="1" s="1"/>
  <c r="T1199" i="1" s="1"/>
  <c r="Q1200" i="1"/>
  <c r="S1200" i="1" s="1"/>
  <c r="T1200" i="1" s="1"/>
  <c r="Q1201" i="1"/>
  <c r="S1201" i="1" s="1"/>
  <c r="T1201" i="1" s="1"/>
  <c r="Q1202" i="1"/>
  <c r="S1202" i="1" s="1"/>
  <c r="T1202" i="1" s="1"/>
  <c r="Q1203" i="1"/>
  <c r="S1203" i="1" s="1"/>
  <c r="T1203" i="1" s="1"/>
  <c r="Q1204" i="1"/>
  <c r="S1204" i="1" s="1"/>
  <c r="T1204" i="1" s="1"/>
  <c r="Q1205" i="1"/>
  <c r="S1205" i="1" s="1"/>
  <c r="T1205" i="1" s="1"/>
  <c r="Q1206" i="1"/>
  <c r="S1206" i="1" s="1"/>
  <c r="T1206" i="1" s="1"/>
  <c r="Q1207" i="1"/>
  <c r="S1207" i="1" s="1"/>
  <c r="T1207" i="1" s="1"/>
  <c r="Q1208" i="1"/>
  <c r="S1208" i="1" s="1"/>
  <c r="T1208" i="1" s="1"/>
  <c r="Q1209" i="1"/>
  <c r="S1209" i="1" s="1"/>
  <c r="T1209" i="1" s="1"/>
  <c r="Q1210" i="1"/>
  <c r="S1210" i="1" s="1"/>
  <c r="T1210" i="1" s="1"/>
  <c r="Q1211" i="1"/>
  <c r="S1211" i="1" s="1"/>
  <c r="T1211" i="1" s="1"/>
  <c r="Q1212" i="1"/>
  <c r="S1212" i="1" s="1"/>
  <c r="T1212" i="1" s="1"/>
  <c r="Q1213" i="1"/>
  <c r="S1213" i="1" s="1"/>
  <c r="T1213" i="1" s="1"/>
  <c r="Q1214" i="1"/>
  <c r="S1214" i="1" s="1"/>
  <c r="T1214" i="1" s="1"/>
  <c r="Q1215" i="1"/>
  <c r="S1215" i="1" s="1"/>
  <c r="T1215" i="1" s="1"/>
  <c r="Q1216" i="1"/>
  <c r="S1216" i="1" s="1"/>
  <c r="T1216" i="1" s="1"/>
  <c r="Q1217" i="1"/>
  <c r="S1217" i="1" s="1"/>
  <c r="T1217" i="1" s="1"/>
  <c r="Q1218" i="1"/>
  <c r="S1218" i="1" s="1"/>
  <c r="T1218" i="1" s="1"/>
  <c r="Q1219" i="1"/>
  <c r="S1219" i="1" s="1"/>
  <c r="T1219" i="1" s="1"/>
  <c r="Q1220" i="1"/>
  <c r="S1220" i="1" s="1"/>
  <c r="T1220" i="1" s="1"/>
  <c r="Q1221" i="1"/>
  <c r="S1221" i="1" s="1"/>
  <c r="T1221" i="1" s="1"/>
  <c r="Q1222" i="1"/>
  <c r="S1222" i="1" s="1"/>
  <c r="T1222" i="1" s="1"/>
  <c r="Q1223" i="1"/>
  <c r="S1223" i="1" s="1"/>
  <c r="T1223" i="1" s="1"/>
  <c r="Q1224" i="1"/>
  <c r="S1224" i="1" s="1"/>
  <c r="T1224" i="1" s="1"/>
  <c r="Q1225" i="1"/>
  <c r="S1225" i="1" s="1"/>
  <c r="T1225" i="1" s="1"/>
  <c r="Q1226" i="1"/>
  <c r="S1226" i="1" s="1"/>
  <c r="T1226" i="1" s="1"/>
  <c r="Q1227" i="1"/>
  <c r="S1227" i="1" s="1"/>
  <c r="T1227" i="1" s="1"/>
  <c r="Q1228" i="1"/>
  <c r="S1228" i="1" s="1"/>
  <c r="T1228" i="1" s="1"/>
  <c r="Q1229" i="1"/>
  <c r="S1229" i="1" s="1"/>
  <c r="T1229" i="1" s="1"/>
  <c r="Q1230" i="1"/>
  <c r="S1230" i="1" s="1"/>
  <c r="T1230" i="1" s="1"/>
  <c r="Q1231" i="1"/>
  <c r="S1231" i="1" s="1"/>
  <c r="T1231" i="1" s="1"/>
  <c r="Q1232" i="1"/>
  <c r="S1232" i="1" s="1"/>
  <c r="T1232" i="1" s="1"/>
  <c r="Q1233" i="1"/>
  <c r="S1233" i="1" s="1"/>
  <c r="T1233" i="1" s="1"/>
  <c r="Q1234" i="1"/>
  <c r="S1234" i="1" s="1"/>
  <c r="T1234" i="1" s="1"/>
  <c r="Q1235" i="1"/>
  <c r="S1235" i="1" s="1"/>
  <c r="T1235" i="1" s="1"/>
  <c r="Q1236" i="1"/>
  <c r="S1236" i="1" s="1"/>
  <c r="T1236" i="1" s="1"/>
  <c r="Q1237" i="1"/>
  <c r="S1237" i="1" s="1"/>
  <c r="T1237" i="1" s="1"/>
  <c r="Q1238" i="1"/>
  <c r="S1238" i="1" s="1"/>
  <c r="T1238" i="1" s="1"/>
  <c r="Q1239" i="1"/>
  <c r="S1239" i="1" s="1"/>
  <c r="T1239" i="1" s="1"/>
  <c r="Q1240" i="1"/>
  <c r="S1240" i="1" s="1"/>
  <c r="T1240" i="1" s="1"/>
  <c r="Q1241" i="1"/>
  <c r="S1241" i="1" s="1"/>
  <c r="T1241" i="1" s="1"/>
  <c r="Q1242" i="1"/>
  <c r="S1242" i="1" s="1"/>
  <c r="T1242" i="1" s="1"/>
  <c r="Q1243" i="1"/>
  <c r="S1243" i="1" s="1"/>
  <c r="T1243" i="1" s="1"/>
  <c r="Q1244" i="1"/>
  <c r="S1244" i="1" s="1"/>
  <c r="T1244" i="1" s="1"/>
  <c r="Q1245" i="1"/>
  <c r="S1245" i="1" s="1"/>
  <c r="T1245" i="1" s="1"/>
  <c r="Q1246" i="1"/>
  <c r="S1246" i="1" s="1"/>
  <c r="T1246" i="1" s="1"/>
  <c r="Q1247" i="1"/>
  <c r="S1247" i="1" s="1"/>
  <c r="T1247" i="1" s="1"/>
  <c r="Q1248" i="1"/>
  <c r="S1248" i="1" s="1"/>
  <c r="T1248" i="1" s="1"/>
  <c r="Q1249" i="1"/>
  <c r="S1249" i="1" s="1"/>
  <c r="T1249" i="1" s="1"/>
  <c r="Q1250" i="1"/>
  <c r="S1250" i="1" s="1"/>
  <c r="T1250" i="1" s="1"/>
  <c r="Q1251" i="1"/>
  <c r="S1251" i="1" s="1"/>
  <c r="T1251" i="1" s="1"/>
  <c r="Q1252" i="1"/>
  <c r="S1252" i="1" s="1"/>
  <c r="T1252" i="1" s="1"/>
  <c r="Q1253" i="1"/>
  <c r="S1253" i="1" s="1"/>
  <c r="T1253" i="1" s="1"/>
  <c r="Q1254" i="1"/>
  <c r="S1254" i="1" s="1"/>
  <c r="T1254" i="1" s="1"/>
  <c r="Q1255" i="1"/>
  <c r="S1255" i="1" s="1"/>
  <c r="T1255" i="1" s="1"/>
  <c r="Q1256" i="1"/>
  <c r="S1256" i="1" s="1"/>
  <c r="T1256" i="1" s="1"/>
  <c r="Q1257" i="1"/>
  <c r="S1257" i="1" s="1"/>
  <c r="T1257" i="1" s="1"/>
  <c r="Q1258" i="1"/>
  <c r="S1258" i="1" s="1"/>
  <c r="T1258" i="1" s="1"/>
  <c r="Q1259" i="1"/>
  <c r="S1259" i="1" s="1"/>
  <c r="T1259" i="1" s="1"/>
  <c r="Q1260" i="1"/>
  <c r="S1260" i="1" s="1"/>
  <c r="T1260" i="1" s="1"/>
  <c r="Q1261" i="1"/>
  <c r="S1261" i="1" s="1"/>
  <c r="T1261" i="1" s="1"/>
  <c r="Q1262" i="1"/>
  <c r="S1262" i="1" s="1"/>
  <c r="T1262" i="1" s="1"/>
  <c r="Q1263" i="1"/>
  <c r="S1263" i="1" s="1"/>
  <c r="T1263" i="1" s="1"/>
  <c r="Q1264" i="1"/>
  <c r="S1264" i="1" s="1"/>
  <c r="T1264" i="1" s="1"/>
  <c r="Q1265" i="1"/>
  <c r="S1265" i="1" s="1"/>
  <c r="T1265" i="1" s="1"/>
  <c r="Q1266" i="1"/>
  <c r="S1266" i="1" s="1"/>
  <c r="T1266" i="1" s="1"/>
  <c r="Q1267" i="1"/>
  <c r="S1267" i="1" s="1"/>
  <c r="T1267" i="1" s="1"/>
  <c r="Q1268" i="1"/>
  <c r="S1268" i="1" s="1"/>
  <c r="T1268" i="1" s="1"/>
  <c r="Q1269" i="1"/>
  <c r="S1269" i="1" s="1"/>
  <c r="T1269" i="1" s="1"/>
  <c r="Q1270" i="1"/>
  <c r="S1270" i="1" s="1"/>
  <c r="T1270" i="1" s="1"/>
  <c r="Q1271" i="1"/>
  <c r="S1271" i="1" s="1"/>
  <c r="T1271" i="1" s="1"/>
  <c r="Q1272" i="1"/>
  <c r="S1272" i="1" s="1"/>
  <c r="T1272" i="1" s="1"/>
  <c r="Q1273" i="1"/>
  <c r="S1273" i="1" s="1"/>
  <c r="T1273" i="1" s="1"/>
  <c r="Q1274" i="1"/>
  <c r="S1274" i="1" s="1"/>
  <c r="T1274" i="1" s="1"/>
  <c r="Q1275" i="1"/>
  <c r="S1275" i="1" s="1"/>
  <c r="T1275" i="1" s="1"/>
  <c r="Q1276" i="1"/>
  <c r="S1276" i="1" s="1"/>
  <c r="T1276" i="1" s="1"/>
  <c r="Q1277" i="1"/>
  <c r="S1277" i="1" s="1"/>
  <c r="T1277" i="1" s="1"/>
  <c r="Q1278" i="1"/>
  <c r="S1278" i="1" s="1"/>
  <c r="T1278" i="1" s="1"/>
  <c r="Q1279" i="1"/>
  <c r="S1279" i="1" s="1"/>
  <c r="T1279" i="1" s="1"/>
  <c r="Q1280" i="1"/>
  <c r="S1280" i="1" s="1"/>
  <c r="T1280" i="1" s="1"/>
  <c r="Q1281" i="1"/>
  <c r="S1281" i="1" s="1"/>
  <c r="T1281" i="1" s="1"/>
  <c r="Q1282" i="1"/>
  <c r="S1282" i="1" s="1"/>
  <c r="T1282" i="1" s="1"/>
  <c r="Q1283" i="1"/>
  <c r="S1283" i="1" s="1"/>
  <c r="T1283" i="1" s="1"/>
  <c r="Q1284" i="1"/>
  <c r="S1284" i="1" s="1"/>
  <c r="T1284" i="1" s="1"/>
  <c r="Q1285" i="1"/>
  <c r="S1285" i="1" s="1"/>
  <c r="T1285" i="1" s="1"/>
  <c r="Q1286" i="1"/>
  <c r="S1286" i="1" s="1"/>
  <c r="T1286" i="1" s="1"/>
  <c r="Q1287" i="1"/>
  <c r="S1287" i="1" s="1"/>
  <c r="T1287" i="1" s="1"/>
  <c r="Q1288" i="1"/>
  <c r="S1288" i="1" s="1"/>
  <c r="T1288" i="1" s="1"/>
  <c r="Q1289" i="1"/>
  <c r="S1289" i="1" s="1"/>
  <c r="T1289" i="1" s="1"/>
  <c r="Q1290" i="1"/>
  <c r="S1290" i="1" s="1"/>
  <c r="T1290" i="1" s="1"/>
  <c r="Q1291" i="1"/>
  <c r="S1291" i="1" s="1"/>
  <c r="T1291" i="1" s="1"/>
  <c r="Q1292" i="1"/>
  <c r="S1292" i="1" s="1"/>
  <c r="T1292" i="1" s="1"/>
  <c r="Q1293" i="1"/>
  <c r="S1293" i="1" s="1"/>
  <c r="T1293" i="1" s="1"/>
  <c r="Q1294" i="1"/>
  <c r="S1294" i="1" s="1"/>
  <c r="T1294" i="1" s="1"/>
  <c r="Q1295" i="1"/>
  <c r="S1295" i="1" s="1"/>
  <c r="T1295" i="1" s="1"/>
  <c r="Q1296" i="1"/>
  <c r="S1296" i="1" s="1"/>
  <c r="T1296" i="1" s="1"/>
  <c r="Q1297" i="1"/>
  <c r="S1297" i="1" s="1"/>
  <c r="T1297" i="1" s="1"/>
  <c r="Q1298" i="1"/>
  <c r="S1298" i="1" s="1"/>
  <c r="T1298" i="1" s="1"/>
  <c r="Q1299" i="1"/>
  <c r="S1299" i="1" s="1"/>
  <c r="T1299" i="1" s="1"/>
  <c r="Q1300" i="1"/>
  <c r="S1300" i="1" s="1"/>
  <c r="T1300" i="1" s="1"/>
  <c r="Q1301" i="1"/>
  <c r="S1301" i="1" s="1"/>
  <c r="T1301" i="1" s="1"/>
  <c r="Q1302" i="1"/>
  <c r="S1302" i="1" s="1"/>
  <c r="T1302" i="1" s="1"/>
  <c r="Q1303" i="1"/>
  <c r="S1303" i="1" s="1"/>
  <c r="T1303" i="1" s="1"/>
  <c r="Q1304" i="1"/>
  <c r="S1304" i="1" s="1"/>
  <c r="T1304" i="1" s="1"/>
  <c r="Q1305" i="1"/>
  <c r="S1305" i="1" s="1"/>
  <c r="T1305" i="1" s="1"/>
  <c r="Q1306" i="1"/>
  <c r="S1306" i="1" s="1"/>
  <c r="T1306" i="1" s="1"/>
  <c r="Q1307" i="1"/>
  <c r="S1307" i="1" s="1"/>
  <c r="T1307" i="1" s="1"/>
  <c r="Q1308" i="1"/>
  <c r="S1308" i="1" s="1"/>
  <c r="T1308" i="1" s="1"/>
  <c r="Q1309" i="1"/>
  <c r="S1309" i="1" s="1"/>
  <c r="T1309" i="1" s="1"/>
  <c r="Q1310" i="1"/>
  <c r="S1310" i="1" s="1"/>
  <c r="T1310" i="1" s="1"/>
  <c r="Q1311" i="1"/>
  <c r="S1311" i="1" s="1"/>
  <c r="T1311" i="1" s="1"/>
  <c r="Q1312" i="1"/>
  <c r="S1312" i="1" s="1"/>
  <c r="T1312" i="1" s="1"/>
  <c r="Q1313" i="1"/>
  <c r="S1313" i="1" s="1"/>
  <c r="T1313" i="1" s="1"/>
  <c r="Q1314" i="1"/>
  <c r="S1314" i="1" s="1"/>
  <c r="T1314" i="1" s="1"/>
  <c r="Q1315" i="1"/>
  <c r="S1315" i="1" s="1"/>
  <c r="T1315" i="1" s="1"/>
  <c r="Q1316" i="1"/>
  <c r="S1316" i="1" s="1"/>
  <c r="T1316" i="1" s="1"/>
  <c r="Q1317" i="1"/>
  <c r="S1317" i="1" s="1"/>
  <c r="T1317" i="1" s="1"/>
  <c r="Q1318" i="1"/>
  <c r="S1318" i="1" s="1"/>
  <c r="T1318" i="1" s="1"/>
  <c r="Q1319" i="1"/>
  <c r="S1319" i="1" s="1"/>
  <c r="T1319" i="1" s="1"/>
  <c r="Q1320" i="1"/>
  <c r="S1320" i="1" s="1"/>
  <c r="T1320" i="1" s="1"/>
  <c r="Q1321" i="1"/>
  <c r="S1321" i="1" s="1"/>
  <c r="T1321" i="1" s="1"/>
  <c r="Q1322" i="1"/>
  <c r="S1322" i="1" s="1"/>
  <c r="T1322" i="1" s="1"/>
  <c r="Q1323" i="1"/>
  <c r="S1323" i="1" s="1"/>
  <c r="T1323" i="1" s="1"/>
  <c r="Q1324" i="1"/>
  <c r="S1324" i="1" s="1"/>
  <c r="T1324" i="1" s="1"/>
  <c r="Q1325" i="1"/>
  <c r="S1325" i="1" s="1"/>
  <c r="T1325" i="1" s="1"/>
  <c r="Q1326" i="1"/>
  <c r="S1326" i="1" s="1"/>
  <c r="T1326" i="1" s="1"/>
  <c r="Q1327" i="1"/>
  <c r="S1327" i="1" s="1"/>
  <c r="T1327" i="1" s="1"/>
  <c r="Q1328" i="1"/>
  <c r="S1328" i="1" s="1"/>
  <c r="T1328" i="1" s="1"/>
  <c r="Q1329" i="1"/>
  <c r="S1329" i="1" s="1"/>
  <c r="T1329" i="1" s="1"/>
  <c r="Q1330" i="1"/>
  <c r="S1330" i="1" s="1"/>
  <c r="T1330" i="1" s="1"/>
  <c r="Q1331" i="1"/>
  <c r="S1331" i="1" s="1"/>
  <c r="T1331" i="1" s="1"/>
  <c r="Q1332" i="1"/>
  <c r="S1332" i="1" s="1"/>
  <c r="T1332" i="1" s="1"/>
  <c r="Q1333" i="1"/>
  <c r="S1333" i="1" s="1"/>
  <c r="T1333" i="1" s="1"/>
  <c r="Q1334" i="1"/>
  <c r="S1334" i="1" s="1"/>
  <c r="T1334" i="1" s="1"/>
  <c r="Q1335" i="1"/>
  <c r="S1335" i="1" s="1"/>
  <c r="T1335" i="1" s="1"/>
  <c r="Q1336" i="1"/>
  <c r="S1336" i="1" s="1"/>
  <c r="T1336" i="1" s="1"/>
  <c r="Q1337" i="1"/>
  <c r="S1337" i="1" s="1"/>
  <c r="T1337" i="1" s="1"/>
  <c r="Q1338" i="1"/>
  <c r="S1338" i="1" s="1"/>
  <c r="T1338" i="1" s="1"/>
  <c r="Q1340" i="1"/>
  <c r="S1340" i="1" s="1"/>
  <c r="T1340" i="1" s="1"/>
  <c r="Q1341" i="1"/>
  <c r="S1341" i="1" s="1"/>
  <c r="T1341" i="1" s="1"/>
  <c r="Q1342" i="1"/>
  <c r="S1342" i="1" s="1"/>
  <c r="T1342" i="1" s="1"/>
  <c r="Q1343" i="1"/>
  <c r="S1343" i="1" s="1"/>
  <c r="T1343" i="1" s="1"/>
  <c r="Q1344" i="1"/>
  <c r="S1344" i="1" s="1"/>
  <c r="T1344" i="1" s="1"/>
  <c r="Q1345" i="1"/>
  <c r="S1345" i="1" s="1"/>
  <c r="T1345" i="1" s="1"/>
  <c r="Q1346" i="1"/>
  <c r="S1346" i="1" s="1"/>
  <c r="T1346" i="1" s="1"/>
  <c r="Q1347" i="1"/>
  <c r="S1347" i="1" s="1"/>
  <c r="T1347" i="1" s="1"/>
  <c r="Q1348" i="1"/>
  <c r="S1348" i="1" s="1"/>
  <c r="T1348" i="1" s="1"/>
  <c r="Q1349" i="1"/>
  <c r="S1349" i="1" s="1"/>
  <c r="T1349" i="1" s="1"/>
  <c r="Q1350" i="1"/>
  <c r="S1350" i="1" s="1"/>
  <c r="T1350" i="1" s="1"/>
  <c r="Q1351" i="1"/>
  <c r="S1351" i="1" s="1"/>
  <c r="T1351" i="1" s="1"/>
  <c r="Q1352" i="1"/>
  <c r="S1352" i="1" s="1"/>
  <c r="T1352" i="1" s="1"/>
  <c r="Q1353" i="1"/>
  <c r="S1353" i="1" s="1"/>
  <c r="T1353" i="1" s="1"/>
  <c r="Q1354" i="1"/>
  <c r="S1354" i="1" s="1"/>
  <c r="T1354" i="1" s="1"/>
  <c r="Q1355" i="1"/>
  <c r="S1355" i="1" s="1"/>
  <c r="T1355" i="1" s="1"/>
  <c r="Q1356" i="1"/>
  <c r="S1356" i="1" s="1"/>
  <c r="T1356" i="1" s="1"/>
  <c r="Q1357" i="1"/>
  <c r="S1357" i="1" s="1"/>
  <c r="T1357" i="1" s="1"/>
  <c r="Q1358" i="1"/>
  <c r="S1358" i="1" s="1"/>
  <c r="T1358" i="1" s="1"/>
  <c r="Q1359" i="1"/>
  <c r="S1359" i="1" s="1"/>
  <c r="T1359" i="1" s="1"/>
  <c r="Q1360" i="1"/>
  <c r="S1360" i="1" s="1"/>
  <c r="T1360" i="1" s="1"/>
  <c r="Q1361" i="1"/>
  <c r="S1361" i="1" s="1"/>
  <c r="T1361" i="1" s="1"/>
  <c r="Q1362" i="1"/>
  <c r="S1362" i="1" s="1"/>
  <c r="T1362" i="1" s="1"/>
  <c r="Q1363" i="1"/>
  <c r="S1363" i="1" s="1"/>
  <c r="T1363" i="1" s="1"/>
  <c r="Q1364" i="1"/>
  <c r="S1364" i="1" s="1"/>
  <c r="T1364" i="1" s="1"/>
  <c r="Q1365" i="1"/>
  <c r="S1365" i="1" s="1"/>
  <c r="T1365" i="1" s="1"/>
  <c r="Q1366" i="1"/>
  <c r="S1366" i="1" s="1"/>
  <c r="T1366" i="1" s="1"/>
  <c r="Q1367" i="1"/>
  <c r="S1367" i="1" s="1"/>
  <c r="T1367" i="1" s="1"/>
  <c r="Q1368" i="1"/>
  <c r="S1368" i="1" s="1"/>
  <c r="T1368" i="1" s="1"/>
  <c r="Q1369" i="1"/>
  <c r="S1369" i="1" s="1"/>
  <c r="T1369" i="1" s="1"/>
  <c r="Q1370" i="1"/>
  <c r="S1370" i="1" s="1"/>
  <c r="T1370" i="1" s="1"/>
  <c r="Q1371" i="1"/>
  <c r="S1371" i="1" s="1"/>
  <c r="T1371" i="1" s="1"/>
  <c r="Q1372" i="1"/>
  <c r="S1372" i="1" s="1"/>
  <c r="T1372" i="1" s="1"/>
  <c r="Q1373" i="1"/>
  <c r="S1373" i="1" s="1"/>
  <c r="T1373" i="1" s="1"/>
  <c r="Q1374" i="1"/>
  <c r="S1374" i="1" s="1"/>
  <c r="T1374" i="1" s="1"/>
  <c r="Q1375" i="1"/>
  <c r="S1375" i="1" s="1"/>
  <c r="T1375" i="1" s="1"/>
  <c r="Q1376" i="1"/>
  <c r="S1376" i="1" s="1"/>
  <c r="T1376" i="1" s="1"/>
  <c r="Q1377" i="1"/>
  <c r="S1377" i="1" s="1"/>
  <c r="T1377" i="1" s="1"/>
  <c r="Q1378" i="1"/>
  <c r="S1378" i="1" s="1"/>
  <c r="T1378" i="1" s="1"/>
  <c r="Q1379" i="1"/>
  <c r="S1379" i="1" s="1"/>
  <c r="T1379" i="1" s="1"/>
  <c r="Q1380" i="1"/>
  <c r="S1380" i="1" s="1"/>
  <c r="T1380" i="1" s="1"/>
  <c r="Q1381" i="1"/>
  <c r="S1381" i="1" s="1"/>
  <c r="T1381" i="1" s="1"/>
  <c r="Q1382" i="1"/>
  <c r="S1382" i="1" s="1"/>
  <c r="T1382" i="1" s="1"/>
  <c r="Q1383" i="1"/>
  <c r="S1383" i="1" s="1"/>
  <c r="T1383" i="1" s="1"/>
  <c r="Q1384" i="1"/>
  <c r="S1384" i="1" s="1"/>
  <c r="T1384" i="1" s="1"/>
  <c r="Q1385" i="1"/>
  <c r="S1385" i="1" s="1"/>
  <c r="T1385" i="1" s="1"/>
  <c r="Q1386" i="1"/>
  <c r="S1386" i="1" s="1"/>
  <c r="T1386" i="1" s="1"/>
  <c r="Q1387" i="1"/>
  <c r="S1387" i="1" s="1"/>
  <c r="T1387" i="1" s="1"/>
  <c r="Q1388" i="1"/>
  <c r="S1388" i="1" s="1"/>
  <c r="T1388" i="1" s="1"/>
  <c r="Q1389" i="1"/>
  <c r="S1389" i="1" s="1"/>
  <c r="T1389" i="1" s="1"/>
  <c r="Q1390" i="1"/>
  <c r="S1390" i="1" s="1"/>
  <c r="T1390" i="1" s="1"/>
  <c r="Q1391" i="1"/>
  <c r="S1391" i="1" s="1"/>
  <c r="T1391" i="1" s="1"/>
  <c r="Q1392" i="1"/>
  <c r="S1392" i="1" s="1"/>
  <c r="T1392" i="1" s="1"/>
  <c r="Q1393" i="1"/>
  <c r="S1393" i="1" s="1"/>
  <c r="T1393" i="1" s="1"/>
  <c r="Q1394" i="1"/>
  <c r="S1394" i="1" s="1"/>
  <c r="T1394" i="1" s="1"/>
  <c r="Q1395" i="1"/>
  <c r="S1395" i="1" s="1"/>
  <c r="T1395" i="1" s="1"/>
  <c r="Q1396" i="1"/>
  <c r="S1396" i="1" s="1"/>
  <c r="T1396" i="1" s="1"/>
  <c r="Q1397" i="1"/>
  <c r="S1397" i="1" s="1"/>
  <c r="T1397" i="1" s="1"/>
  <c r="Q1398" i="1"/>
  <c r="S1398" i="1" s="1"/>
  <c r="T1398" i="1" s="1"/>
  <c r="Q1399" i="1"/>
  <c r="S1399" i="1" s="1"/>
  <c r="T1399" i="1" s="1"/>
  <c r="Q1400" i="1"/>
  <c r="S1400" i="1" s="1"/>
  <c r="T1400" i="1" s="1"/>
  <c r="Q1401" i="1"/>
  <c r="S1401" i="1" s="1"/>
  <c r="T1401" i="1" s="1"/>
  <c r="Q1402" i="1"/>
  <c r="S1402" i="1" s="1"/>
  <c r="T1402" i="1" s="1"/>
  <c r="Q1403" i="1"/>
  <c r="S1403" i="1" s="1"/>
  <c r="T1403" i="1" s="1"/>
  <c r="Q1404" i="1"/>
  <c r="S1404" i="1" s="1"/>
  <c r="T1404" i="1" s="1"/>
  <c r="Q1405" i="1"/>
  <c r="S1405" i="1" s="1"/>
  <c r="T1405" i="1" s="1"/>
  <c r="Q1406" i="1"/>
  <c r="S1406" i="1" s="1"/>
  <c r="T1406" i="1" s="1"/>
  <c r="Q1407" i="1"/>
  <c r="S1407" i="1" s="1"/>
  <c r="T1407" i="1" s="1"/>
  <c r="Q1408" i="1"/>
  <c r="S1408" i="1" s="1"/>
  <c r="T1408" i="1" s="1"/>
  <c r="Q1409" i="1"/>
  <c r="S1409" i="1" s="1"/>
  <c r="T1409" i="1" s="1"/>
  <c r="Q1410" i="1"/>
  <c r="S1410" i="1" s="1"/>
  <c r="T1410" i="1" s="1"/>
  <c r="Q1411" i="1"/>
  <c r="S1411" i="1" s="1"/>
  <c r="T1411" i="1" s="1"/>
  <c r="Q1412" i="1"/>
  <c r="S1412" i="1" s="1"/>
  <c r="T1412" i="1" s="1"/>
  <c r="Q1413" i="1"/>
  <c r="S1413" i="1" s="1"/>
  <c r="T1413" i="1" s="1"/>
  <c r="Q1414" i="1"/>
  <c r="S1414" i="1" s="1"/>
  <c r="T1414" i="1" s="1"/>
  <c r="Q1415" i="1"/>
  <c r="S1415" i="1" s="1"/>
  <c r="T1415" i="1" s="1"/>
  <c r="Q1416" i="1"/>
  <c r="S1416" i="1" s="1"/>
  <c r="T1416" i="1" s="1"/>
  <c r="Q1417" i="1"/>
  <c r="S1417" i="1" s="1"/>
  <c r="T1417" i="1" s="1"/>
  <c r="Q1418" i="1"/>
  <c r="S1418" i="1" s="1"/>
  <c r="T1418" i="1" s="1"/>
  <c r="Q1419" i="1"/>
  <c r="S1419" i="1" s="1"/>
  <c r="T1419" i="1" s="1"/>
  <c r="Q1420" i="1"/>
  <c r="S1420" i="1" s="1"/>
  <c r="T1420" i="1" s="1"/>
  <c r="Q1421" i="1"/>
  <c r="S1421" i="1" s="1"/>
  <c r="T1421" i="1" s="1"/>
  <c r="Q1422" i="1"/>
  <c r="S1422" i="1" s="1"/>
  <c r="T1422" i="1" s="1"/>
  <c r="Q1423" i="1"/>
  <c r="S1423" i="1" s="1"/>
  <c r="T1423" i="1" s="1"/>
  <c r="Q1424" i="1"/>
  <c r="S1424" i="1" s="1"/>
  <c r="T1424" i="1" s="1"/>
  <c r="Q1425" i="1"/>
  <c r="S1425" i="1" s="1"/>
  <c r="T1425" i="1" s="1"/>
  <c r="Q1426" i="1"/>
  <c r="S1426" i="1" s="1"/>
  <c r="T1426" i="1" s="1"/>
  <c r="Q1427" i="1"/>
  <c r="S1427" i="1" s="1"/>
  <c r="T1427" i="1" s="1"/>
  <c r="Q1428" i="1"/>
  <c r="S1428" i="1" s="1"/>
  <c r="T1428" i="1" s="1"/>
  <c r="Q1429" i="1"/>
  <c r="S1429" i="1" s="1"/>
  <c r="T1429" i="1" s="1"/>
  <c r="Q1430" i="1"/>
  <c r="S1430" i="1" s="1"/>
  <c r="T1430" i="1" s="1"/>
  <c r="Q1431" i="1"/>
  <c r="S1431" i="1" s="1"/>
  <c r="T1431" i="1" s="1"/>
  <c r="Q1432" i="1"/>
  <c r="S1432" i="1" s="1"/>
  <c r="T1432" i="1" s="1"/>
  <c r="Q1433" i="1"/>
  <c r="S1433" i="1" s="1"/>
  <c r="T1433" i="1" s="1"/>
  <c r="Q1434" i="1"/>
  <c r="S1434" i="1" s="1"/>
  <c r="T1434" i="1" s="1"/>
  <c r="Q1435" i="1"/>
  <c r="S1435" i="1" s="1"/>
  <c r="T1435" i="1" s="1"/>
  <c r="Q1436" i="1"/>
  <c r="S1436" i="1" s="1"/>
  <c r="T1436" i="1" s="1"/>
  <c r="Q1437" i="1"/>
  <c r="S1437" i="1" s="1"/>
  <c r="T1437" i="1" s="1"/>
  <c r="Q1438" i="1"/>
  <c r="S1438" i="1" s="1"/>
  <c r="T1438" i="1" s="1"/>
  <c r="Q1439" i="1"/>
  <c r="S1439" i="1" s="1"/>
  <c r="T1439" i="1" s="1"/>
  <c r="Q1440" i="1"/>
  <c r="S1440" i="1" s="1"/>
  <c r="T1440" i="1" s="1"/>
  <c r="Q1441" i="1"/>
  <c r="S1441" i="1" s="1"/>
  <c r="T1441" i="1" s="1"/>
  <c r="Q1442" i="1"/>
  <c r="S1442" i="1" s="1"/>
  <c r="T1442" i="1" s="1"/>
  <c r="Q1443" i="1"/>
  <c r="S1443" i="1" s="1"/>
  <c r="T1443" i="1" s="1"/>
  <c r="Q1444" i="1"/>
  <c r="S1444" i="1" s="1"/>
  <c r="T1444" i="1" s="1"/>
  <c r="Q1445" i="1"/>
  <c r="S1445" i="1" s="1"/>
  <c r="T1445" i="1" s="1"/>
  <c r="Q1446" i="1"/>
  <c r="S1446" i="1" s="1"/>
  <c r="T1446" i="1" s="1"/>
  <c r="Q1447" i="1"/>
  <c r="S1447" i="1" s="1"/>
  <c r="T1447" i="1" s="1"/>
  <c r="Q1448" i="1"/>
  <c r="S1448" i="1" s="1"/>
  <c r="T1448" i="1" s="1"/>
  <c r="Q1449" i="1"/>
  <c r="S1449" i="1" s="1"/>
  <c r="T1449" i="1" s="1"/>
  <c r="Q1450" i="1"/>
  <c r="S1450" i="1" s="1"/>
  <c r="T1450" i="1" s="1"/>
  <c r="Q1451" i="1"/>
  <c r="S1451" i="1" s="1"/>
  <c r="T1451" i="1" s="1"/>
  <c r="Q1452" i="1"/>
  <c r="S1452" i="1" s="1"/>
  <c r="T1452" i="1" s="1"/>
  <c r="Q1453" i="1"/>
  <c r="S1453" i="1" s="1"/>
  <c r="T1453" i="1" s="1"/>
  <c r="Q1454" i="1"/>
  <c r="S1454" i="1" s="1"/>
  <c r="T1454" i="1" s="1"/>
  <c r="Q1455" i="1"/>
  <c r="S1455" i="1" s="1"/>
  <c r="T1455" i="1" s="1"/>
  <c r="Q1456" i="1"/>
  <c r="S1456" i="1" s="1"/>
  <c r="T1456" i="1" s="1"/>
  <c r="Q1457" i="1"/>
  <c r="S1457" i="1" s="1"/>
  <c r="T1457" i="1" s="1"/>
  <c r="Q1458" i="1"/>
  <c r="S1458" i="1" s="1"/>
  <c r="T1458" i="1" s="1"/>
  <c r="Q1459" i="1"/>
  <c r="S1459" i="1" s="1"/>
  <c r="T1459" i="1" s="1"/>
  <c r="Q1460" i="1"/>
  <c r="S1460" i="1" s="1"/>
  <c r="T1460" i="1" s="1"/>
  <c r="Q1461" i="1"/>
  <c r="S1461" i="1" s="1"/>
  <c r="T1461" i="1" s="1"/>
  <c r="Q1462" i="1"/>
  <c r="S1462" i="1" s="1"/>
  <c r="T1462" i="1" s="1"/>
  <c r="Q1463" i="1"/>
  <c r="S1463" i="1" s="1"/>
  <c r="T1463" i="1" s="1"/>
  <c r="Q1464" i="1"/>
  <c r="S1464" i="1" s="1"/>
  <c r="T1464" i="1" s="1"/>
  <c r="Q1465" i="1"/>
  <c r="S1465" i="1" s="1"/>
  <c r="T1465" i="1" s="1"/>
  <c r="Q1466" i="1"/>
  <c r="S1466" i="1" s="1"/>
  <c r="T1466" i="1" s="1"/>
  <c r="Q1467" i="1"/>
  <c r="S1467" i="1" s="1"/>
  <c r="T1467" i="1" s="1"/>
  <c r="Q1468" i="1"/>
  <c r="S1468" i="1" s="1"/>
  <c r="T1468" i="1" s="1"/>
  <c r="Q1469" i="1"/>
  <c r="S1469" i="1" s="1"/>
  <c r="T1469" i="1" s="1"/>
  <c r="Q1470" i="1"/>
  <c r="S1470" i="1" s="1"/>
  <c r="T1470" i="1" s="1"/>
  <c r="Q1471" i="1"/>
  <c r="S1471" i="1" s="1"/>
  <c r="T1471" i="1" s="1"/>
  <c r="Q1472" i="1"/>
  <c r="S1472" i="1" s="1"/>
  <c r="T1472" i="1" s="1"/>
  <c r="Q1473" i="1"/>
  <c r="S1473" i="1" s="1"/>
  <c r="T1473" i="1" s="1"/>
  <c r="Q1474" i="1"/>
  <c r="S1474" i="1" s="1"/>
  <c r="T1474" i="1" s="1"/>
  <c r="Q1475" i="1"/>
  <c r="S1475" i="1" s="1"/>
  <c r="T1475" i="1" s="1"/>
  <c r="Q1476" i="1"/>
  <c r="S1476" i="1" s="1"/>
  <c r="T1476" i="1" s="1"/>
  <c r="Q1477" i="1"/>
  <c r="S1477" i="1" s="1"/>
  <c r="T1477" i="1" s="1"/>
  <c r="Q1478" i="1"/>
  <c r="S1478" i="1" s="1"/>
  <c r="T1478" i="1" s="1"/>
  <c r="Q1479" i="1"/>
  <c r="S1479" i="1" s="1"/>
  <c r="T1479" i="1" s="1"/>
  <c r="Q1480" i="1"/>
  <c r="S1480" i="1" s="1"/>
  <c r="T1480" i="1" s="1"/>
  <c r="Q1481" i="1"/>
  <c r="S1481" i="1" s="1"/>
  <c r="T1481" i="1" s="1"/>
  <c r="Q1482" i="1"/>
  <c r="S1482" i="1" s="1"/>
  <c r="T1482" i="1" s="1"/>
  <c r="Q1483" i="1"/>
  <c r="S1483" i="1" s="1"/>
  <c r="T1483" i="1" s="1"/>
  <c r="Q1484" i="1"/>
  <c r="S1484" i="1" s="1"/>
  <c r="T1484" i="1" s="1"/>
  <c r="Q1485" i="1"/>
  <c r="S1485" i="1" s="1"/>
  <c r="T1485" i="1" s="1"/>
  <c r="Q1486" i="1"/>
  <c r="S1486" i="1" s="1"/>
  <c r="T1486" i="1" s="1"/>
  <c r="Q1487" i="1"/>
  <c r="S1487" i="1" s="1"/>
  <c r="T1487" i="1" s="1"/>
  <c r="Q1488" i="1"/>
  <c r="S1488" i="1" s="1"/>
  <c r="T1488" i="1" s="1"/>
  <c r="Q1489" i="1"/>
  <c r="S1489" i="1" s="1"/>
  <c r="T1489" i="1" s="1"/>
  <c r="Q1490" i="1"/>
  <c r="S1490" i="1" s="1"/>
  <c r="T1490" i="1" s="1"/>
  <c r="Q1491" i="1"/>
  <c r="S1491" i="1" s="1"/>
  <c r="T1491" i="1" s="1"/>
  <c r="Q1492" i="1"/>
  <c r="S1492" i="1" s="1"/>
  <c r="T1492" i="1" s="1"/>
  <c r="Q1493" i="1"/>
  <c r="S1493" i="1" s="1"/>
  <c r="T1493" i="1" s="1"/>
  <c r="Q1494" i="1"/>
  <c r="S1494" i="1" s="1"/>
  <c r="T1494" i="1" s="1"/>
  <c r="Q1495" i="1"/>
  <c r="S1495" i="1" s="1"/>
  <c r="T1495" i="1" s="1"/>
  <c r="Q1496" i="1"/>
  <c r="S1496" i="1" s="1"/>
  <c r="T1496" i="1" s="1"/>
  <c r="Q1497" i="1"/>
  <c r="S1497" i="1" s="1"/>
  <c r="T1497" i="1" s="1"/>
  <c r="Q1498" i="1"/>
  <c r="S1498" i="1" s="1"/>
  <c r="T1498" i="1" s="1"/>
  <c r="Q1499" i="1"/>
  <c r="S1499" i="1" s="1"/>
  <c r="T1499" i="1" s="1"/>
  <c r="Q1500" i="1"/>
  <c r="S1500" i="1" s="1"/>
  <c r="T1500" i="1" s="1"/>
  <c r="Q1501" i="1"/>
  <c r="S1501" i="1" s="1"/>
  <c r="T1501" i="1" s="1"/>
  <c r="Q1502" i="1"/>
  <c r="S1502" i="1" s="1"/>
  <c r="T1502" i="1" s="1"/>
  <c r="Q1503" i="1"/>
  <c r="S1503" i="1" s="1"/>
  <c r="T1503" i="1" s="1"/>
  <c r="Q1504" i="1"/>
  <c r="S1504" i="1" s="1"/>
  <c r="T1504" i="1" s="1"/>
  <c r="Q1505" i="1"/>
  <c r="S1505" i="1" s="1"/>
  <c r="T1505" i="1" s="1"/>
  <c r="Q1506" i="1"/>
  <c r="S1506" i="1" s="1"/>
  <c r="T1506" i="1" s="1"/>
  <c r="Q1507" i="1"/>
  <c r="S1507" i="1" s="1"/>
  <c r="T1507" i="1" s="1"/>
  <c r="Q1508" i="1"/>
  <c r="S1508" i="1" s="1"/>
  <c r="T1508" i="1" s="1"/>
  <c r="Q1509" i="1"/>
  <c r="S1509" i="1" s="1"/>
  <c r="T1509" i="1" s="1"/>
  <c r="Q1510" i="1"/>
  <c r="S1510" i="1" s="1"/>
  <c r="T1510" i="1" s="1"/>
  <c r="Q1511" i="1"/>
  <c r="S1511" i="1" s="1"/>
  <c r="T1511" i="1" s="1"/>
  <c r="Q1512" i="1"/>
  <c r="S1512" i="1" s="1"/>
  <c r="T1512" i="1" s="1"/>
  <c r="Q1513" i="1"/>
  <c r="S1513" i="1" s="1"/>
  <c r="T1513" i="1" s="1"/>
  <c r="Q1514" i="1"/>
  <c r="S1514" i="1" s="1"/>
  <c r="T1514" i="1" s="1"/>
  <c r="Q1515" i="1"/>
  <c r="S1515" i="1" s="1"/>
  <c r="T1515" i="1" s="1"/>
  <c r="Q1516" i="1"/>
  <c r="S1516" i="1" s="1"/>
  <c r="T1516" i="1" s="1"/>
  <c r="Q1517" i="1"/>
  <c r="S1517" i="1" s="1"/>
  <c r="T1517" i="1" s="1"/>
  <c r="Q1518" i="1"/>
  <c r="S1518" i="1" s="1"/>
  <c r="T1518" i="1" s="1"/>
  <c r="Q1519" i="1"/>
  <c r="S1519" i="1" s="1"/>
  <c r="T1519" i="1" s="1"/>
  <c r="Q1520" i="1"/>
  <c r="S1520" i="1" s="1"/>
  <c r="T1520" i="1" s="1"/>
  <c r="Q1521" i="1"/>
  <c r="S1521" i="1" s="1"/>
  <c r="T1521" i="1" s="1"/>
  <c r="Q1522" i="1"/>
  <c r="S1522" i="1" s="1"/>
  <c r="T1522" i="1" s="1"/>
  <c r="Q1523" i="1"/>
  <c r="S1523" i="1" s="1"/>
  <c r="T1523" i="1" s="1"/>
  <c r="Q1524" i="1"/>
  <c r="S1524" i="1" s="1"/>
  <c r="T1524" i="1" s="1"/>
  <c r="Q1525" i="1"/>
  <c r="S1525" i="1" s="1"/>
  <c r="T1525" i="1" s="1"/>
  <c r="Q1526" i="1"/>
  <c r="S1526" i="1" s="1"/>
  <c r="T1526" i="1" s="1"/>
  <c r="Q1527" i="1"/>
  <c r="S1527" i="1" s="1"/>
  <c r="T1527" i="1" s="1"/>
  <c r="Q1528" i="1"/>
  <c r="S1528" i="1" s="1"/>
  <c r="T1528" i="1" s="1"/>
  <c r="Q1529" i="1"/>
  <c r="S1529" i="1" s="1"/>
  <c r="T1529" i="1" s="1"/>
  <c r="Q1530" i="1"/>
  <c r="S1530" i="1" s="1"/>
  <c r="T1530" i="1" s="1"/>
  <c r="Q1531" i="1"/>
  <c r="S1531" i="1" s="1"/>
  <c r="T1531" i="1" s="1"/>
  <c r="Q1532" i="1"/>
  <c r="S1532" i="1" s="1"/>
  <c r="T1532" i="1" s="1"/>
  <c r="Q1533" i="1"/>
  <c r="S1533" i="1" s="1"/>
  <c r="T1533" i="1" s="1"/>
  <c r="Q1534" i="1"/>
  <c r="S1534" i="1" s="1"/>
  <c r="T1534" i="1" s="1"/>
  <c r="Q1535" i="1"/>
  <c r="S1535" i="1" s="1"/>
  <c r="T1535" i="1" s="1"/>
  <c r="Q1536" i="1"/>
  <c r="S1536" i="1" s="1"/>
  <c r="T1536" i="1" s="1"/>
  <c r="Q1537" i="1"/>
  <c r="S1537" i="1" s="1"/>
  <c r="T1537" i="1" s="1"/>
  <c r="Q1538" i="1"/>
  <c r="S1538" i="1" s="1"/>
  <c r="T1538" i="1" s="1"/>
  <c r="Q1539" i="1"/>
  <c r="S1539" i="1" s="1"/>
  <c r="T1539" i="1" s="1"/>
  <c r="Q1540" i="1"/>
  <c r="S1540" i="1" s="1"/>
  <c r="T1540" i="1" s="1"/>
  <c r="Q1541" i="1"/>
  <c r="S1541" i="1" s="1"/>
  <c r="T1541" i="1" s="1"/>
  <c r="Q1542" i="1"/>
  <c r="S1542" i="1" s="1"/>
  <c r="T1542" i="1" s="1"/>
  <c r="Q1543" i="1"/>
  <c r="S1543" i="1" s="1"/>
  <c r="T1543" i="1" s="1"/>
  <c r="Q1544" i="1"/>
  <c r="S1544" i="1" s="1"/>
  <c r="T1544" i="1" s="1"/>
  <c r="Q1545" i="1"/>
  <c r="S1545" i="1" s="1"/>
  <c r="T1545" i="1" s="1"/>
  <c r="Q1546" i="1"/>
  <c r="S1546" i="1" s="1"/>
  <c r="T1546" i="1" s="1"/>
  <c r="Q1547" i="1"/>
  <c r="S1547" i="1" s="1"/>
  <c r="T1547" i="1" s="1"/>
  <c r="Q1548" i="1"/>
  <c r="S1548" i="1" s="1"/>
  <c r="T1548" i="1" s="1"/>
  <c r="Q1549" i="1"/>
  <c r="S1549" i="1" s="1"/>
  <c r="T1549" i="1" s="1"/>
  <c r="Q1550" i="1"/>
  <c r="S1550" i="1" s="1"/>
  <c r="T1550" i="1" s="1"/>
  <c r="Q1551" i="1"/>
  <c r="S1551" i="1" s="1"/>
  <c r="T1551" i="1" s="1"/>
  <c r="Q1552" i="1"/>
  <c r="S1552" i="1" s="1"/>
  <c r="T1552" i="1" s="1"/>
  <c r="Q1553" i="1"/>
  <c r="S1553" i="1" s="1"/>
  <c r="T1553" i="1" s="1"/>
  <c r="Q1554" i="1"/>
  <c r="S1554" i="1" s="1"/>
  <c r="T1554" i="1" s="1"/>
  <c r="Q1555" i="1"/>
  <c r="S1555" i="1" s="1"/>
  <c r="T1555" i="1" s="1"/>
  <c r="Q1556" i="1"/>
  <c r="S1556" i="1" s="1"/>
  <c r="T1556" i="1" s="1"/>
  <c r="Q1557" i="1"/>
  <c r="S1557" i="1" s="1"/>
  <c r="T1557" i="1" s="1"/>
  <c r="Q1558" i="1"/>
  <c r="S1558" i="1" s="1"/>
  <c r="T1558" i="1" s="1"/>
  <c r="Q1559" i="1"/>
  <c r="S1559" i="1" s="1"/>
  <c r="T1559" i="1" s="1"/>
  <c r="Q1560" i="1"/>
  <c r="S1560" i="1" s="1"/>
  <c r="T1560" i="1" s="1"/>
  <c r="Q1561" i="1"/>
  <c r="S1561" i="1" s="1"/>
  <c r="T1561" i="1" s="1"/>
  <c r="Q1562" i="1"/>
  <c r="S1562" i="1" s="1"/>
  <c r="T1562" i="1" s="1"/>
  <c r="Q1563" i="1"/>
  <c r="S1563" i="1" s="1"/>
  <c r="T1563" i="1" s="1"/>
  <c r="Q1564" i="1"/>
  <c r="S1564" i="1" s="1"/>
  <c r="T1564" i="1" s="1"/>
  <c r="Q1565" i="1"/>
  <c r="S1565" i="1" s="1"/>
  <c r="T1565" i="1" s="1"/>
  <c r="Q1566" i="1"/>
  <c r="S1566" i="1" s="1"/>
  <c r="T1566" i="1" s="1"/>
  <c r="Q1567" i="1"/>
  <c r="S1567" i="1" s="1"/>
  <c r="T1567" i="1" s="1"/>
  <c r="Q1568" i="1"/>
  <c r="S1568" i="1" s="1"/>
  <c r="T1568" i="1" s="1"/>
  <c r="Q1569" i="1"/>
  <c r="S1569" i="1" s="1"/>
  <c r="T1569" i="1" s="1"/>
  <c r="Q1570" i="1"/>
  <c r="S1570" i="1" s="1"/>
  <c r="T1570" i="1" s="1"/>
  <c r="Q1571" i="1"/>
  <c r="S1571" i="1" s="1"/>
  <c r="T1571" i="1" s="1"/>
  <c r="Q1572" i="1"/>
  <c r="S1572" i="1" s="1"/>
  <c r="T1572" i="1" s="1"/>
  <c r="Q1573" i="1"/>
  <c r="S1573" i="1" s="1"/>
  <c r="T1573" i="1" s="1"/>
  <c r="Q1574" i="1"/>
  <c r="S1574" i="1" s="1"/>
  <c r="T1574" i="1" s="1"/>
  <c r="Q1575" i="1"/>
  <c r="S1575" i="1" s="1"/>
  <c r="T1575" i="1" s="1"/>
  <c r="Q1576" i="1"/>
  <c r="S1576" i="1" s="1"/>
  <c r="T1576" i="1" s="1"/>
  <c r="Q1577" i="1"/>
  <c r="S1577" i="1" s="1"/>
  <c r="T1577" i="1" s="1"/>
  <c r="Q1578" i="1"/>
  <c r="S1578" i="1" s="1"/>
  <c r="T1578" i="1" s="1"/>
  <c r="Q1579" i="1"/>
  <c r="S1579" i="1" s="1"/>
  <c r="T1579" i="1" s="1"/>
  <c r="Q1580" i="1"/>
  <c r="S1580" i="1" s="1"/>
  <c r="T1580" i="1" s="1"/>
  <c r="Q1581" i="1"/>
  <c r="S1581" i="1" s="1"/>
  <c r="T1581" i="1" s="1"/>
  <c r="Q1582" i="1"/>
  <c r="S1582" i="1" s="1"/>
  <c r="T1582" i="1" s="1"/>
  <c r="Q1583" i="1"/>
  <c r="S1583" i="1" s="1"/>
  <c r="T1583" i="1" s="1"/>
  <c r="Q1584" i="1"/>
  <c r="S1584" i="1" s="1"/>
  <c r="T1584" i="1" s="1"/>
  <c r="Q1585" i="1"/>
  <c r="S1585" i="1" s="1"/>
  <c r="T1585" i="1" s="1"/>
  <c r="Q1586" i="1"/>
  <c r="S1586" i="1" s="1"/>
  <c r="T1586" i="1" s="1"/>
  <c r="Q1587" i="1"/>
  <c r="S1587" i="1" s="1"/>
  <c r="T1587" i="1" s="1"/>
  <c r="Q1588" i="1"/>
  <c r="S1588" i="1" s="1"/>
  <c r="T1588" i="1" s="1"/>
  <c r="Q1589" i="1"/>
  <c r="S1589" i="1" s="1"/>
  <c r="T1589" i="1" s="1"/>
  <c r="Q1590" i="1"/>
  <c r="S1590" i="1" s="1"/>
  <c r="T1590" i="1" s="1"/>
  <c r="Q1591" i="1"/>
  <c r="S1591" i="1" s="1"/>
  <c r="T1591" i="1" s="1"/>
  <c r="Q1592" i="1"/>
  <c r="S1592" i="1" s="1"/>
  <c r="T1592" i="1" s="1"/>
  <c r="Q1593" i="1"/>
  <c r="S1593" i="1" s="1"/>
  <c r="T1593" i="1" s="1"/>
  <c r="Q1594" i="1"/>
  <c r="S1594" i="1" s="1"/>
  <c r="T1594" i="1" s="1"/>
  <c r="Q1595" i="1"/>
  <c r="S1595" i="1" s="1"/>
  <c r="T1595" i="1" s="1"/>
  <c r="Q1596" i="1"/>
  <c r="S1596" i="1" s="1"/>
  <c r="T1596" i="1" s="1"/>
  <c r="Q1597" i="1"/>
  <c r="S1597" i="1" s="1"/>
  <c r="T1597" i="1" s="1"/>
  <c r="Q1598" i="1"/>
  <c r="S1598" i="1" s="1"/>
  <c r="T1598" i="1" s="1"/>
  <c r="Q1599" i="1"/>
  <c r="S1599" i="1" s="1"/>
  <c r="T1599" i="1" s="1"/>
  <c r="Q1600" i="1"/>
  <c r="S1600" i="1" s="1"/>
  <c r="T1600" i="1" s="1"/>
  <c r="Q1601" i="1"/>
  <c r="S1601" i="1" s="1"/>
  <c r="T1601" i="1" s="1"/>
  <c r="Q1602" i="1"/>
  <c r="S1602" i="1" s="1"/>
  <c r="T1602" i="1" s="1"/>
  <c r="Q1603" i="1"/>
  <c r="S1603" i="1" s="1"/>
  <c r="T1603" i="1" s="1"/>
  <c r="Q1604" i="1"/>
  <c r="S1604" i="1" s="1"/>
  <c r="T1604" i="1" s="1"/>
  <c r="Q1605" i="1"/>
  <c r="S1605" i="1" s="1"/>
  <c r="T1605" i="1" s="1"/>
  <c r="Q1606" i="1"/>
  <c r="S1606" i="1" s="1"/>
  <c r="T1606" i="1" s="1"/>
  <c r="Q1607" i="1"/>
  <c r="S1607" i="1" s="1"/>
  <c r="T1607" i="1" s="1"/>
  <c r="Q1608" i="1"/>
  <c r="S1608" i="1" s="1"/>
  <c r="T1608" i="1" s="1"/>
  <c r="Q1609" i="1"/>
  <c r="S1609" i="1" s="1"/>
  <c r="T1609" i="1" s="1"/>
  <c r="Q1610" i="1"/>
  <c r="S1610" i="1" s="1"/>
  <c r="T1610" i="1" s="1"/>
  <c r="Q1611" i="1"/>
  <c r="S1611" i="1" s="1"/>
  <c r="T1611" i="1" s="1"/>
  <c r="Q1612" i="1"/>
  <c r="S1612" i="1" s="1"/>
  <c r="T1612" i="1" s="1"/>
  <c r="Q1613" i="1"/>
  <c r="S1613" i="1" s="1"/>
  <c r="T1613" i="1" s="1"/>
  <c r="Q1614" i="1"/>
  <c r="S1614" i="1" s="1"/>
  <c r="T1614" i="1" s="1"/>
  <c r="Q1615" i="1"/>
  <c r="S1615" i="1" s="1"/>
  <c r="T1615" i="1" s="1"/>
  <c r="Q1616" i="1"/>
  <c r="S1616" i="1" s="1"/>
  <c r="T1616" i="1" s="1"/>
  <c r="Q1617" i="1"/>
  <c r="S1617" i="1" s="1"/>
  <c r="T1617" i="1" s="1"/>
  <c r="Q1618" i="1"/>
  <c r="S1618" i="1" s="1"/>
  <c r="T1618" i="1" s="1"/>
  <c r="Q1619" i="1"/>
  <c r="S1619" i="1" s="1"/>
  <c r="T1619" i="1" s="1"/>
  <c r="Q1620" i="1"/>
  <c r="S1620" i="1" s="1"/>
  <c r="T1620" i="1" s="1"/>
  <c r="Q1621" i="1"/>
  <c r="S1621" i="1" s="1"/>
  <c r="T1621" i="1" s="1"/>
  <c r="Q1622" i="1"/>
  <c r="S1622" i="1" s="1"/>
  <c r="T1622" i="1" s="1"/>
  <c r="Q1623" i="1"/>
  <c r="S1623" i="1" s="1"/>
  <c r="T1623" i="1" s="1"/>
  <c r="Q1624" i="1"/>
  <c r="S1624" i="1" s="1"/>
  <c r="T1624" i="1" s="1"/>
  <c r="Q1625" i="1"/>
  <c r="S1625" i="1" s="1"/>
  <c r="T1625" i="1" s="1"/>
  <c r="Q1626" i="1"/>
  <c r="S1626" i="1" s="1"/>
  <c r="T1626" i="1" s="1"/>
  <c r="Q1627" i="1"/>
  <c r="S1627" i="1" s="1"/>
  <c r="T1627" i="1" s="1"/>
  <c r="Q1628" i="1"/>
  <c r="S1628" i="1" s="1"/>
  <c r="T1628" i="1" s="1"/>
  <c r="Q1629" i="1"/>
  <c r="S1629" i="1" s="1"/>
  <c r="T1629" i="1" s="1"/>
  <c r="Q1630" i="1"/>
  <c r="S1630" i="1" s="1"/>
  <c r="T1630" i="1" s="1"/>
  <c r="Q1631" i="1"/>
  <c r="S1631" i="1" s="1"/>
  <c r="T1631" i="1" s="1"/>
  <c r="Q1632" i="1"/>
  <c r="S1632" i="1" s="1"/>
  <c r="T1632" i="1" s="1"/>
  <c r="Q1633" i="1"/>
  <c r="S1633" i="1" s="1"/>
  <c r="T1633" i="1" s="1"/>
  <c r="Q1634" i="1"/>
  <c r="S1634" i="1" s="1"/>
  <c r="T1634" i="1" s="1"/>
  <c r="Q1635" i="1"/>
  <c r="S1635" i="1" s="1"/>
  <c r="T1635" i="1" s="1"/>
  <c r="Q1636" i="1"/>
  <c r="S1636" i="1" s="1"/>
  <c r="T1636" i="1" s="1"/>
  <c r="Q1637" i="1"/>
  <c r="S1637" i="1" s="1"/>
  <c r="T1637" i="1" s="1"/>
  <c r="Q1638" i="1"/>
  <c r="S1638" i="1" s="1"/>
  <c r="T1638" i="1" s="1"/>
  <c r="Q1639" i="1"/>
  <c r="S1639" i="1" s="1"/>
  <c r="T1639" i="1" s="1"/>
  <c r="Q1640" i="1"/>
  <c r="S1640" i="1" s="1"/>
  <c r="T1640" i="1" s="1"/>
  <c r="Q1641" i="1"/>
  <c r="S1641" i="1" s="1"/>
  <c r="T1641" i="1" s="1"/>
  <c r="Q1642" i="1"/>
  <c r="S1642" i="1" s="1"/>
  <c r="T1642" i="1" s="1"/>
  <c r="Q1643" i="1"/>
  <c r="S1643" i="1" s="1"/>
  <c r="T1643" i="1" s="1"/>
  <c r="Q1644" i="1"/>
  <c r="S1644" i="1" s="1"/>
  <c r="T1644" i="1" s="1"/>
  <c r="Q1645" i="1"/>
  <c r="S1645" i="1" s="1"/>
  <c r="T1645" i="1" s="1"/>
  <c r="Q1646" i="1"/>
  <c r="S1646" i="1" s="1"/>
  <c r="T1646" i="1" s="1"/>
  <c r="Q1647" i="1"/>
  <c r="S1647" i="1" s="1"/>
  <c r="T1647" i="1" s="1"/>
  <c r="Q1648" i="1"/>
  <c r="S1648" i="1" s="1"/>
  <c r="T1648" i="1" s="1"/>
  <c r="Q1649" i="1"/>
  <c r="S1649" i="1" s="1"/>
  <c r="T1649" i="1" s="1"/>
  <c r="Q1650" i="1"/>
  <c r="S1650" i="1" s="1"/>
  <c r="T1650" i="1" s="1"/>
  <c r="Q1651" i="1"/>
  <c r="S1651" i="1" s="1"/>
  <c r="T1651" i="1" s="1"/>
  <c r="Q1652" i="1"/>
  <c r="S1652" i="1" s="1"/>
  <c r="T1652" i="1" s="1"/>
  <c r="Q1653" i="1"/>
  <c r="S1653" i="1" s="1"/>
  <c r="T1653" i="1" s="1"/>
  <c r="Q1654" i="1"/>
  <c r="S1654" i="1" s="1"/>
  <c r="T1654" i="1" s="1"/>
  <c r="Q1655" i="1"/>
  <c r="S1655" i="1" s="1"/>
  <c r="T1655" i="1" s="1"/>
  <c r="Q1656" i="1"/>
  <c r="S1656" i="1" s="1"/>
  <c r="T1656" i="1" s="1"/>
  <c r="Q1657" i="1"/>
  <c r="S1657" i="1" s="1"/>
  <c r="T1657" i="1" s="1"/>
  <c r="Q1658" i="1"/>
  <c r="S1658" i="1" s="1"/>
  <c r="T1658" i="1" s="1"/>
  <c r="Q1659" i="1"/>
  <c r="S1659" i="1" s="1"/>
  <c r="T1659" i="1" s="1"/>
  <c r="Q1660" i="1"/>
  <c r="S1660" i="1" s="1"/>
  <c r="T1660" i="1" s="1"/>
  <c r="Q1661" i="1"/>
  <c r="S1661" i="1" s="1"/>
  <c r="T1661" i="1" s="1"/>
  <c r="Q1662" i="1"/>
  <c r="S1662" i="1" s="1"/>
  <c r="T1662" i="1" s="1"/>
  <c r="Q1663" i="1"/>
  <c r="S1663" i="1" s="1"/>
  <c r="T1663" i="1" s="1"/>
  <c r="Q1664" i="1"/>
  <c r="S1664" i="1" s="1"/>
  <c r="T1664" i="1" s="1"/>
  <c r="Q1665" i="1"/>
  <c r="S1665" i="1" s="1"/>
  <c r="T1665" i="1" s="1"/>
  <c r="Q1666" i="1"/>
  <c r="S1666" i="1" s="1"/>
  <c r="T1666" i="1" s="1"/>
  <c r="Q1667" i="1"/>
  <c r="S1667" i="1" s="1"/>
  <c r="T1667" i="1" s="1"/>
  <c r="Q1668" i="1"/>
  <c r="S1668" i="1" s="1"/>
  <c r="T1668" i="1" s="1"/>
  <c r="Q1669" i="1"/>
  <c r="S1669" i="1" s="1"/>
  <c r="T1669" i="1" s="1"/>
  <c r="Q1670" i="1"/>
  <c r="S1670" i="1" s="1"/>
  <c r="T1670" i="1" s="1"/>
  <c r="Q1671" i="1"/>
  <c r="S1671" i="1" s="1"/>
  <c r="T1671" i="1" s="1"/>
  <c r="Q1672" i="1"/>
  <c r="S1672" i="1" s="1"/>
  <c r="T1672" i="1" s="1"/>
  <c r="Q1673" i="1"/>
  <c r="S1673" i="1" s="1"/>
  <c r="T1673" i="1" s="1"/>
  <c r="Q1674" i="1"/>
  <c r="S1674" i="1" s="1"/>
  <c r="T1674" i="1" s="1"/>
  <c r="Q1675" i="1"/>
  <c r="S1675" i="1" s="1"/>
  <c r="T1675" i="1" s="1"/>
  <c r="Q1676" i="1"/>
  <c r="S1676" i="1" s="1"/>
  <c r="T1676" i="1" s="1"/>
  <c r="Q1677" i="1"/>
  <c r="S1677" i="1" s="1"/>
  <c r="T1677" i="1" s="1"/>
  <c r="Q1678" i="1"/>
  <c r="S1678" i="1" s="1"/>
  <c r="T1678" i="1" s="1"/>
  <c r="Q1679" i="1"/>
  <c r="S1679" i="1" s="1"/>
  <c r="T1679" i="1" s="1"/>
  <c r="Q1680" i="1"/>
  <c r="S1680" i="1" s="1"/>
  <c r="T1680" i="1" s="1"/>
  <c r="Q1681" i="1"/>
  <c r="S1681" i="1" s="1"/>
  <c r="T1681" i="1" s="1"/>
  <c r="Q1682" i="1"/>
  <c r="S1682" i="1" s="1"/>
  <c r="T1682" i="1" s="1"/>
  <c r="Q1683" i="1"/>
  <c r="S1683" i="1" s="1"/>
  <c r="T1683" i="1" s="1"/>
  <c r="Q1684" i="1"/>
  <c r="S1684" i="1" s="1"/>
  <c r="T1684" i="1" s="1"/>
  <c r="Q1685" i="1"/>
  <c r="S1685" i="1" s="1"/>
  <c r="T1685" i="1" s="1"/>
  <c r="Q1686" i="1"/>
  <c r="S1686" i="1" s="1"/>
  <c r="T1686" i="1" s="1"/>
  <c r="Q1687" i="1"/>
  <c r="S1687" i="1" s="1"/>
  <c r="T1687" i="1" s="1"/>
  <c r="Q1688" i="1"/>
  <c r="S1688" i="1" s="1"/>
  <c r="T1688" i="1" s="1"/>
  <c r="Q1689" i="1"/>
  <c r="S1689" i="1" s="1"/>
  <c r="T1689" i="1" s="1"/>
  <c r="Q1690" i="1"/>
  <c r="S1690" i="1" s="1"/>
  <c r="T1690" i="1" s="1"/>
  <c r="Q1691" i="1"/>
  <c r="S1691" i="1" s="1"/>
  <c r="T1691" i="1" s="1"/>
  <c r="Q1692" i="1"/>
  <c r="S1692" i="1" s="1"/>
  <c r="T1692" i="1" s="1"/>
  <c r="Q1693" i="1"/>
  <c r="S1693" i="1" s="1"/>
  <c r="T1693" i="1" s="1"/>
  <c r="Q1694" i="1"/>
  <c r="S1694" i="1" s="1"/>
  <c r="T1694" i="1" s="1"/>
  <c r="Q1695" i="1"/>
  <c r="S1695" i="1" s="1"/>
  <c r="T1695" i="1" s="1"/>
  <c r="Q1696" i="1"/>
  <c r="S1696" i="1" s="1"/>
  <c r="T1696" i="1" s="1"/>
  <c r="Q1697" i="1"/>
  <c r="S1697" i="1" s="1"/>
  <c r="T1697" i="1" s="1"/>
  <c r="Q1698" i="1"/>
  <c r="S1698" i="1" s="1"/>
  <c r="T1698" i="1" s="1"/>
  <c r="Q1699" i="1"/>
  <c r="S1699" i="1" s="1"/>
  <c r="T1699" i="1" s="1"/>
  <c r="Q1700" i="1"/>
  <c r="S1700" i="1" s="1"/>
  <c r="T1700" i="1" s="1"/>
  <c r="Q1701" i="1"/>
  <c r="S1701" i="1" s="1"/>
  <c r="T1701" i="1" s="1"/>
  <c r="Q1702" i="1"/>
  <c r="S1702" i="1" s="1"/>
  <c r="T1702" i="1" s="1"/>
  <c r="Q1703" i="1"/>
  <c r="S1703" i="1" s="1"/>
  <c r="T1703" i="1" s="1"/>
  <c r="Q1704" i="1"/>
  <c r="S1704" i="1" s="1"/>
  <c r="T1704" i="1" s="1"/>
  <c r="Q1705" i="1"/>
  <c r="S1705" i="1" s="1"/>
  <c r="T1705" i="1" s="1"/>
  <c r="Q1706" i="1"/>
  <c r="S1706" i="1" s="1"/>
  <c r="T1706" i="1" s="1"/>
  <c r="Q1707" i="1"/>
  <c r="S1707" i="1" s="1"/>
  <c r="T1707" i="1" s="1"/>
  <c r="Q1708" i="1"/>
  <c r="S1708" i="1" s="1"/>
  <c r="T1708" i="1" s="1"/>
  <c r="Q1709" i="1"/>
  <c r="S1709" i="1" s="1"/>
  <c r="T1709" i="1" s="1"/>
  <c r="Q1710" i="1"/>
  <c r="S1710" i="1" s="1"/>
  <c r="T1710" i="1" s="1"/>
  <c r="Q1711" i="1"/>
  <c r="S1711" i="1" s="1"/>
  <c r="T1711" i="1" s="1"/>
  <c r="Q1712" i="1"/>
  <c r="S1712" i="1" s="1"/>
  <c r="T1712" i="1" s="1"/>
  <c r="Q1713" i="1"/>
  <c r="S1713" i="1" s="1"/>
  <c r="T1713" i="1" s="1"/>
  <c r="Q1714" i="1"/>
  <c r="S1714" i="1" s="1"/>
  <c r="T1714" i="1" s="1"/>
  <c r="Q1715" i="1"/>
  <c r="S1715" i="1" s="1"/>
  <c r="T1715" i="1" s="1"/>
  <c r="Q1716" i="1"/>
  <c r="S1716" i="1" s="1"/>
  <c r="T1716" i="1" s="1"/>
  <c r="Q1717" i="1"/>
  <c r="S1717" i="1" s="1"/>
  <c r="T1717" i="1" s="1"/>
  <c r="Q1718" i="1"/>
  <c r="S1718" i="1" s="1"/>
  <c r="T1718" i="1" s="1"/>
  <c r="Q1719" i="1"/>
  <c r="S1719" i="1" s="1"/>
  <c r="T1719" i="1" s="1"/>
  <c r="Q1720" i="1"/>
  <c r="S1720" i="1" s="1"/>
  <c r="T1720" i="1" s="1"/>
  <c r="Q1721" i="1"/>
  <c r="S1721" i="1" s="1"/>
  <c r="T1721" i="1" s="1"/>
  <c r="Q1722" i="1"/>
  <c r="S1722" i="1" s="1"/>
  <c r="T1722" i="1" s="1"/>
  <c r="Q1723" i="1"/>
  <c r="S1723" i="1" s="1"/>
  <c r="T1723" i="1" s="1"/>
  <c r="Q1724" i="1"/>
  <c r="S1724" i="1" s="1"/>
  <c r="T1724" i="1" s="1"/>
  <c r="Q1725" i="1"/>
  <c r="S1725" i="1" s="1"/>
  <c r="T1725" i="1" s="1"/>
  <c r="Q1726" i="1"/>
  <c r="S1726" i="1" s="1"/>
  <c r="T1726" i="1" s="1"/>
  <c r="Q1727" i="1"/>
  <c r="S1727" i="1" s="1"/>
  <c r="T1727" i="1" s="1"/>
  <c r="Q1728" i="1"/>
  <c r="S1728" i="1" s="1"/>
  <c r="T1728" i="1" s="1"/>
  <c r="Q1729" i="1"/>
  <c r="S1729" i="1" s="1"/>
  <c r="T1729" i="1" s="1"/>
  <c r="Q1730" i="1"/>
  <c r="S1730" i="1" s="1"/>
  <c r="T1730" i="1" s="1"/>
  <c r="Q1731" i="1"/>
  <c r="S1731" i="1" s="1"/>
  <c r="T1731" i="1" s="1"/>
  <c r="Q1732" i="1"/>
  <c r="S1732" i="1" s="1"/>
  <c r="T1732" i="1" s="1"/>
  <c r="Q1733" i="1"/>
  <c r="S1733" i="1" s="1"/>
  <c r="T1733" i="1" s="1"/>
  <c r="Q1734" i="1"/>
  <c r="S1734" i="1" s="1"/>
  <c r="T1734" i="1" s="1"/>
  <c r="Q1735" i="1"/>
  <c r="S1735" i="1" s="1"/>
  <c r="T1735" i="1" s="1"/>
  <c r="Q1736" i="1"/>
  <c r="S1736" i="1" s="1"/>
  <c r="T1736" i="1" s="1"/>
  <c r="Q1737" i="1"/>
  <c r="S1737" i="1" s="1"/>
  <c r="T1737" i="1" s="1"/>
  <c r="Q1738" i="1"/>
  <c r="S1738" i="1" s="1"/>
  <c r="T1738" i="1" s="1"/>
  <c r="Q1739" i="1"/>
  <c r="S1739" i="1" s="1"/>
  <c r="T1739" i="1" s="1"/>
  <c r="Q1740" i="1"/>
  <c r="S1740" i="1" s="1"/>
  <c r="T1740" i="1" s="1"/>
  <c r="Q1741" i="1"/>
  <c r="S1741" i="1" s="1"/>
  <c r="T1741" i="1" s="1"/>
  <c r="Q1742" i="1"/>
  <c r="S1742" i="1" s="1"/>
  <c r="T1742" i="1" s="1"/>
  <c r="Q1743" i="1"/>
  <c r="S1743" i="1" s="1"/>
  <c r="T1743" i="1" s="1"/>
  <c r="Q1744" i="1"/>
  <c r="S1744" i="1" s="1"/>
  <c r="T1744" i="1" s="1"/>
  <c r="Q1745" i="1"/>
  <c r="S1745" i="1" s="1"/>
  <c r="T1745" i="1" s="1"/>
  <c r="Q1746" i="1"/>
  <c r="S1746" i="1" s="1"/>
  <c r="T1746" i="1" s="1"/>
  <c r="Q1747" i="1"/>
  <c r="S1747" i="1" s="1"/>
  <c r="T1747" i="1" s="1"/>
  <c r="Q1748" i="1"/>
  <c r="S1748" i="1" s="1"/>
  <c r="T1748" i="1" s="1"/>
  <c r="Q1749" i="1"/>
  <c r="S1749" i="1" s="1"/>
  <c r="T1749" i="1" s="1"/>
  <c r="Q1750" i="1"/>
  <c r="S1750" i="1" s="1"/>
  <c r="T1750" i="1" s="1"/>
  <c r="Q1751" i="1"/>
  <c r="S1751" i="1" s="1"/>
  <c r="T1751" i="1" s="1"/>
  <c r="Q1752" i="1"/>
  <c r="S1752" i="1" s="1"/>
  <c r="T1752" i="1" s="1"/>
  <c r="Q1753" i="1"/>
  <c r="S1753" i="1" s="1"/>
  <c r="T1753" i="1" s="1"/>
  <c r="Q1754" i="1"/>
  <c r="S1754" i="1" s="1"/>
  <c r="T1754" i="1" s="1"/>
  <c r="Q1755" i="1"/>
  <c r="S1755" i="1" s="1"/>
  <c r="T1755" i="1" s="1"/>
  <c r="Q1756" i="1"/>
  <c r="S1756" i="1" s="1"/>
  <c r="T1756" i="1" s="1"/>
  <c r="Q1757" i="1"/>
  <c r="S1757" i="1" s="1"/>
  <c r="T1757" i="1" s="1"/>
  <c r="Q1758" i="1"/>
  <c r="S1758" i="1" s="1"/>
  <c r="T1758" i="1" s="1"/>
  <c r="Q1759" i="1"/>
  <c r="S1759" i="1" s="1"/>
  <c r="T1759" i="1" s="1"/>
  <c r="Q1760" i="1"/>
  <c r="S1760" i="1" s="1"/>
  <c r="T1760" i="1" s="1"/>
  <c r="Q1761" i="1"/>
  <c r="S1761" i="1" s="1"/>
  <c r="T1761" i="1" s="1"/>
  <c r="Q1762" i="1"/>
  <c r="S1762" i="1" s="1"/>
  <c r="T1762" i="1" s="1"/>
  <c r="Q1763" i="1"/>
  <c r="S1763" i="1" s="1"/>
  <c r="T1763" i="1" s="1"/>
  <c r="Q1764" i="1"/>
  <c r="S1764" i="1" s="1"/>
  <c r="T1764" i="1" s="1"/>
  <c r="Q1765" i="1"/>
  <c r="S1765" i="1" s="1"/>
  <c r="T1765" i="1" s="1"/>
  <c r="Q1766" i="1"/>
  <c r="S1766" i="1" s="1"/>
  <c r="T1766" i="1" s="1"/>
  <c r="Q1767" i="1"/>
  <c r="S1767" i="1" s="1"/>
  <c r="T1767" i="1" s="1"/>
  <c r="Q1768" i="1"/>
  <c r="S1768" i="1" s="1"/>
  <c r="T1768" i="1" s="1"/>
  <c r="Q1769" i="1"/>
  <c r="S1769" i="1" s="1"/>
  <c r="T1769" i="1" s="1"/>
  <c r="Q1770" i="1"/>
  <c r="S1770" i="1" s="1"/>
  <c r="T1770" i="1" s="1"/>
  <c r="Q1771" i="1"/>
  <c r="S1771" i="1" s="1"/>
  <c r="T1771" i="1" s="1"/>
  <c r="Q1772" i="1"/>
  <c r="S1772" i="1" s="1"/>
  <c r="T1772" i="1" s="1"/>
  <c r="Q1773" i="1"/>
  <c r="S1773" i="1" s="1"/>
  <c r="T1773" i="1" s="1"/>
  <c r="Q1774" i="1"/>
  <c r="S1774" i="1" s="1"/>
  <c r="T1774" i="1" s="1"/>
  <c r="Q1775" i="1"/>
  <c r="S1775" i="1" s="1"/>
  <c r="T1775" i="1" s="1"/>
  <c r="Q1776" i="1"/>
  <c r="S1776" i="1" s="1"/>
  <c r="T1776" i="1" s="1"/>
  <c r="Q1777" i="1"/>
  <c r="S1777" i="1" s="1"/>
  <c r="T1777" i="1" s="1"/>
  <c r="Q1778" i="1"/>
  <c r="S1778" i="1" s="1"/>
  <c r="T1778" i="1" s="1"/>
  <c r="Q1779" i="1"/>
  <c r="S1779" i="1" s="1"/>
  <c r="T1779" i="1" s="1"/>
  <c r="Q1780" i="1"/>
  <c r="S1780" i="1" s="1"/>
  <c r="T1780" i="1" s="1"/>
  <c r="Q1781" i="1"/>
  <c r="S1781" i="1" s="1"/>
  <c r="T1781" i="1" s="1"/>
  <c r="Q1782" i="1"/>
  <c r="S1782" i="1" s="1"/>
  <c r="T1782" i="1" s="1"/>
  <c r="Q1783" i="1"/>
  <c r="S1783" i="1" s="1"/>
  <c r="T1783" i="1" s="1"/>
  <c r="Q1784" i="1"/>
  <c r="S1784" i="1" s="1"/>
  <c r="T1784" i="1" s="1"/>
  <c r="Q1785" i="1"/>
  <c r="S1785" i="1" s="1"/>
  <c r="T1785" i="1" s="1"/>
  <c r="Q1786" i="1"/>
  <c r="S1786" i="1" s="1"/>
  <c r="T1786" i="1" s="1"/>
  <c r="Q1787" i="1"/>
  <c r="S1787" i="1" s="1"/>
  <c r="T1787" i="1" s="1"/>
  <c r="Q1788" i="1"/>
  <c r="S1788" i="1" s="1"/>
  <c r="T1788" i="1" s="1"/>
  <c r="Q1789" i="1"/>
  <c r="S1789" i="1" s="1"/>
  <c r="T1789" i="1" s="1"/>
  <c r="Q1790" i="1"/>
  <c r="S1790" i="1" s="1"/>
  <c r="T1790" i="1" s="1"/>
  <c r="Q1791" i="1"/>
  <c r="S1791" i="1" s="1"/>
  <c r="T1791" i="1" s="1"/>
  <c r="Q1792" i="1"/>
  <c r="S1792" i="1" s="1"/>
  <c r="T1792" i="1" s="1"/>
  <c r="Q1793" i="1"/>
  <c r="S1793" i="1" s="1"/>
  <c r="T1793" i="1" s="1"/>
  <c r="Q1794" i="1"/>
  <c r="S1794" i="1" s="1"/>
  <c r="T1794" i="1" s="1"/>
  <c r="Q1795" i="1"/>
  <c r="S1795" i="1" s="1"/>
  <c r="T1795" i="1" s="1"/>
  <c r="Q1796" i="1"/>
  <c r="S1796" i="1" s="1"/>
  <c r="T1796" i="1" s="1"/>
  <c r="Q1797" i="1"/>
  <c r="S1797" i="1" s="1"/>
  <c r="T1797" i="1" s="1"/>
  <c r="Q1798" i="1"/>
  <c r="S1798" i="1" s="1"/>
  <c r="T1798" i="1" s="1"/>
  <c r="Q1799" i="1"/>
  <c r="S1799" i="1" s="1"/>
  <c r="T1799" i="1" s="1"/>
  <c r="Q1800" i="1"/>
  <c r="S1800" i="1" s="1"/>
  <c r="T1800" i="1" s="1"/>
  <c r="Q1801" i="1"/>
  <c r="S1801" i="1" s="1"/>
  <c r="T1801" i="1" s="1"/>
  <c r="Q1802" i="1"/>
  <c r="S1802" i="1" s="1"/>
  <c r="T1802" i="1" s="1"/>
  <c r="Q1803" i="1"/>
  <c r="S1803" i="1" s="1"/>
  <c r="T1803" i="1" s="1"/>
  <c r="Q1804" i="1"/>
  <c r="S1804" i="1" s="1"/>
  <c r="T1804" i="1" s="1"/>
  <c r="Q1805" i="1"/>
  <c r="S1805" i="1" s="1"/>
  <c r="T1805" i="1" s="1"/>
  <c r="Q1806" i="1"/>
  <c r="S1806" i="1" s="1"/>
  <c r="T1806" i="1" s="1"/>
  <c r="Q1807" i="1"/>
  <c r="S1807" i="1" s="1"/>
  <c r="T1807" i="1" s="1"/>
  <c r="Q1808" i="1"/>
  <c r="S1808" i="1" s="1"/>
  <c r="T1808" i="1" s="1"/>
  <c r="Q1809" i="1"/>
  <c r="S1809" i="1" s="1"/>
  <c r="T1809" i="1" s="1"/>
  <c r="Q1810" i="1"/>
  <c r="S1810" i="1" s="1"/>
  <c r="T1810" i="1" s="1"/>
  <c r="Q1811" i="1"/>
  <c r="S1811" i="1" s="1"/>
  <c r="T1811" i="1" s="1"/>
  <c r="Q1812" i="1"/>
  <c r="S1812" i="1" s="1"/>
  <c r="T1812" i="1" s="1"/>
  <c r="Q1813" i="1"/>
  <c r="S1813" i="1" s="1"/>
  <c r="T1813" i="1" s="1"/>
  <c r="Q1814" i="1"/>
  <c r="S1814" i="1" s="1"/>
  <c r="T1814" i="1" s="1"/>
  <c r="Q1815" i="1"/>
  <c r="S1815" i="1" s="1"/>
  <c r="T1815" i="1" s="1"/>
  <c r="Q1816" i="1"/>
  <c r="S1816" i="1" s="1"/>
  <c r="T1816" i="1" s="1"/>
  <c r="Q1817" i="1"/>
  <c r="S1817" i="1" s="1"/>
  <c r="T1817" i="1" s="1"/>
  <c r="Q1818" i="1"/>
  <c r="S1818" i="1" s="1"/>
  <c r="T1818" i="1" s="1"/>
  <c r="Q1819" i="1"/>
  <c r="S1819" i="1" s="1"/>
  <c r="T1819" i="1" s="1"/>
  <c r="Q1820" i="1"/>
  <c r="S1820" i="1" s="1"/>
  <c r="T1820" i="1" s="1"/>
  <c r="Q1821" i="1"/>
  <c r="S1821" i="1" s="1"/>
  <c r="T1821" i="1" s="1"/>
  <c r="Q1822" i="1"/>
  <c r="S1822" i="1" s="1"/>
  <c r="T1822" i="1" s="1"/>
  <c r="Q1823" i="1"/>
  <c r="S1823" i="1" s="1"/>
  <c r="T1823" i="1" s="1"/>
  <c r="Q1824" i="1"/>
  <c r="S1824" i="1" s="1"/>
  <c r="T1824" i="1" s="1"/>
  <c r="Q1825" i="1"/>
  <c r="S1825" i="1" s="1"/>
  <c r="T1825" i="1" s="1"/>
  <c r="Q1826" i="1"/>
  <c r="S1826" i="1" s="1"/>
  <c r="T1826" i="1" s="1"/>
  <c r="Q1827" i="1"/>
  <c r="S1827" i="1" s="1"/>
  <c r="T1827" i="1" s="1"/>
  <c r="Q1828" i="1"/>
  <c r="S1828" i="1" s="1"/>
  <c r="T1828" i="1" s="1"/>
  <c r="Q1829" i="1"/>
  <c r="S1829" i="1" s="1"/>
  <c r="T1829" i="1" s="1"/>
  <c r="Q1830" i="1"/>
  <c r="S1830" i="1" s="1"/>
  <c r="T1830" i="1" s="1"/>
  <c r="Q1831" i="1"/>
  <c r="S1831" i="1" s="1"/>
  <c r="T1831" i="1" s="1"/>
  <c r="Q1832" i="1"/>
  <c r="S1832" i="1" s="1"/>
  <c r="T1832" i="1" s="1"/>
  <c r="Q1833" i="1"/>
  <c r="S1833" i="1" s="1"/>
  <c r="T1833" i="1" s="1"/>
  <c r="Q1834" i="1"/>
  <c r="S1834" i="1" s="1"/>
  <c r="T1834" i="1" s="1"/>
  <c r="Q1835" i="1"/>
  <c r="S1835" i="1" s="1"/>
  <c r="T1835" i="1" s="1"/>
  <c r="Q1836" i="1"/>
  <c r="S1836" i="1" s="1"/>
  <c r="T1836" i="1" s="1"/>
  <c r="Q1837" i="1"/>
  <c r="S1837" i="1" s="1"/>
  <c r="T1837" i="1" s="1"/>
  <c r="Q1838" i="1"/>
  <c r="S1838" i="1" s="1"/>
  <c r="T1838" i="1" s="1"/>
  <c r="Q1839" i="1"/>
  <c r="S1839" i="1" s="1"/>
  <c r="T1839" i="1" s="1"/>
  <c r="Q1840" i="1"/>
  <c r="S1840" i="1" s="1"/>
  <c r="T1840" i="1" s="1"/>
  <c r="Q1841" i="1"/>
  <c r="S1841" i="1" s="1"/>
  <c r="T1841" i="1" s="1"/>
  <c r="Q1842" i="1"/>
  <c r="S1842" i="1" s="1"/>
  <c r="T1842" i="1" s="1"/>
  <c r="Q1843" i="1"/>
  <c r="S1843" i="1" s="1"/>
  <c r="T1843" i="1" s="1"/>
  <c r="Q1844" i="1"/>
  <c r="S1844" i="1" s="1"/>
  <c r="T1844" i="1" s="1"/>
  <c r="Q1845" i="1"/>
  <c r="S1845" i="1" s="1"/>
  <c r="T1845" i="1" s="1"/>
  <c r="Q1846" i="1"/>
  <c r="S1846" i="1" s="1"/>
  <c r="T1846" i="1" s="1"/>
  <c r="Q1847" i="1"/>
  <c r="S1847" i="1" s="1"/>
  <c r="T1847" i="1" s="1"/>
  <c r="Q1848" i="1"/>
  <c r="S1848" i="1" s="1"/>
  <c r="T1848" i="1" s="1"/>
  <c r="Q1849" i="1"/>
  <c r="S1849" i="1" s="1"/>
  <c r="T1849" i="1" s="1"/>
  <c r="Q1850" i="1"/>
  <c r="S1850" i="1" s="1"/>
  <c r="T1850" i="1" s="1"/>
  <c r="Q1851" i="1"/>
  <c r="S1851" i="1" s="1"/>
  <c r="T1851" i="1" s="1"/>
  <c r="Q1852" i="1"/>
  <c r="S1852" i="1" s="1"/>
  <c r="T1852" i="1" s="1"/>
  <c r="Q1853" i="1"/>
  <c r="S1853" i="1" s="1"/>
  <c r="T1853" i="1" s="1"/>
  <c r="Q1854" i="1"/>
  <c r="S1854" i="1" s="1"/>
  <c r="T1854" i="1" s="1"/>
  <c r="Q1855" i="1"/>
  <c r="S1855" i="1" s="1"/>
  <c r="T1855" i="1" s="1"/>
  <c r="Q1856" i="1"/>
  <c r="S1856" i="1" s="1"/>
  <c r="T1856" i="1" s="1"/>
  <c r="Q1857" i="1"/>
  <c r="S1857" i="1" s="1"/>
  <c r="T1857" i="1" s="1"/>
  <c r="Q1858" i="1"/>
  <c r="S1858" i="1" s="1"/>
  <c r="T1858" i="1" s="1"/>
  <c r="Q1859" i="1"/>
  <c r="S1859" i="1" s="1"/>
  <c r="T1859" i="1" s="1"/>
  <c r="Q1860" i="1"/>
  <c r="S1860" i="1" s="1"/>
  <c r="T1860" i="1" s="1"/>
  <c r="Q1861" i="1"/>
  <c r="S1861" i="1" s="1"/>
  <c r="T1861" i="1" s="1"/>
  <c r="Q1862" i="1"/>
  <c r="S1862" i="1" s="1"/>
  <c r="T1862" i="1" s="1"/>
  <c r="Q1863" i="1"/>
  <c r="S1863" i="1" s="1"/>
  <c r="T1863" i="1" s="1"/>
  <c r="Q1864" i="1"/>
  <c r="S1864" i="1" s="1"/>
  <c r="T1864" i="1" s="1"/>
  <c r="Q1865" i="1"/>
  <c r="S1865" i="1" s="1"/>
  <c r="T1865" i="1" s="1"/>
  <c r="Q1866" i="1"/>
  <c r="S1866" i="1" s="1"/>
  <c r="T1866" i="1" s="1"/>
  <c r="Q1867" i="1"/>
  <c r="S1867" i="1" s="1"/>
  <c r="T1867" i="1" s="1"/>
  <c r="Q1868" i="1"/>
  <c r="S1868" i="1" s="1"/>
  <c r="T1868" i="1" s="1"/>
  <c r="Q1869" i="1"/>
  <c r="S1869" i="1" s="1"/>
  <c r="T1869" i="1" s="1"/>
  <c r="Q1870" i="1"/>
  <c r="S1870" i="1" s="1"/>
  <c r="T1870" i="1" s="1"/>
  <c r="Q1871" i="1"/>
  <c r="S1871" i="1" s="1"/>
  <c r="T1871" i="1" s="1"/>
  <c r="Q1872" i="1"/>
  <c r="S1872" i="1" s="1"/>
  <c r="T1872" i="1" s="1"/>
  <c r="Q1873" i="1"/>
  <c r="S1873" i="1" s="1"/>
  <c r="T1873" i="1" s="1"/>
  <c r="Q1874" i="1"/>
  <c r="S1874" i="1" s="1"/>
  <c r="T1874" i="1" s="1"/>
  <c r="Q1875" i="1"/>
  <c r="S1875" i="1" s="1"/>
  <c r="T1875" i="1" s="1"/>
  <c r="Q1876" i="1"/>
  <c r="S1876" i="1" s="1"/>
  <c r="T1876" i="1" s="1"/>
  <c r="Q1877" i="1"/>
  <c r="S1877" i="1" s="1"/>
  <c r="T1877" i="1" s="1"/>
  <c r="Q1878" i="1"/>
  <c r="S1878" i="1" s="1"/>
  <c r="T1878" i="1" s="1"/>
  <c r="Q1879" i="1"/>
  <c r="S1879" i="1" s="1"/>
  <c r="T1879" i="1" s="1"/>
  <c r="Q1880" i="1"/>
  <c r="S1880" i="1" s="1"/>
  <c r="T1880" i="1" s="1"/>
  <c r="Q1881" i="1"/>
  <c r="S1881" i="1" s="1"/>
  <c r="T1881" i="1" s="1"/>
  <c r="Q1882" i="1"/>
  <c r="S1882" i="1" s="1"/>
  <c r="T1882" i="1" s="1"/>
  <c r="Q1883" i="1"/>
  <c r="S1883" i="1" s="1"/>
  <c r="T1883" i="1" s="1"/>
  <c r="Q1884" i="1"/>
  <c r="S1884" i="1" s="1"/>
  <c r="T1884" i="1" s="1"/>
  <c r="Q1885" i="1"/>
  <c r="S1885" i="1" s="1"/>
  <c r="T1885" i="1" s="1"/>
  <c r="Q1886" i="1"/>
  <c r="S1886" i="1" s="1"/>
  <c r="T1886" i="1" s="1"/>
  <c r="Q1887" i="1"/>
  <c r="S1887" i="1" s="1"/>
  <c r="T1887" i="1" s="1"/>
  <c r="Q1888" i="1"/>
  <c r="S1888" i="1" s="1"/>
  <c r="T1888" i="1" s="1"/>
  <c r="Q1889" i="1"/>
  <c r="S1889" i="1" s="1"/>
  <c r="T1889" i="1" s="1"/>
  <c r="Q1890" i="1"/>
  <c r="S1890" i="1" s="1"/>
  <c r="T1890" i="1" s="1"/>
  <c r="Q1891" i="1"/>
  <c r="S1891" i="1" s="1"/>
  <c r="T1891" i="1" s="1"/>
  <c r="Q1892" i="1"/>
  <c r="S1892" i="1" s="1"/>
  <c r="T1892" i="1" s="1"/>
  <c r="Q1893" i="1"/>
  <c r="S1893" i="1" s="1"/>
  <c r="T1893" i="1" s="1"/>
  <c r="Q1894" i="1"/>
  <c r="S1894" i="1" s="1"/>
  <c r="T1894" i="1" s="1"/>
  <c r="Q1895" i="1"/>
  <c r="S1895" i="1" s="1"/>
  <c r="T1895" i="1" s="1"/>
  <c r="Q1896" i="1"/>
  <c r="S1896" i="1" s="1"/>
  <c r="T1896" i="1" s="1"/>
  <c r="Q1897" i="1"/>
  <c r="S1897" i="1" s="1"/>
  <c r="T1897" i="1" s="1"/>
  <c r="Q1898" i="1"/>
  <c r="S1898" i="1" s="1"/>
  <c r="T1898" i="1" s="1"/>
  <c r="Q1899" i="1"/>
  <c r="S1899" i="1" s="1"/>
  <c r="T1899" i="1" s="1"/>
  <c r="Q1900" i="1"/>
  <c r="S1900" i="1" s="1"/>
  <c r="T1900" i="1" s="1"/>
  <c r="Q1901" i="1"/>
  <c r="S1901" i="1" s="1"/>
  <c r="T1901" i="1" s="1"/>
  <c r="Q1902" i="1"/>
  <c r="S1902" i="1" s="1"/>
  <c r="T1902" i="1" s="1"/>
  <c r="Q1903" i="1"/>
  <c r="S1903" i="1" s="1"/>
  <c r="T1903" i="1" s="1"/>
  <c r="Q1904" i="1"/>
  <c r="S1904" i="1" s="1"/>
  <c r="T1904" i="1" s="1"/>
  <c r="Q1905" i="1"/>
  <c r="S1905" i="1" s="1"/>
  <c r="T1905" i="1" s="1"/>
  <c r="Q1906" i="1"/>
  <c r="S1906" i="1" s="1"/>
  <c r="T1906" i="1" s="1"/>
  <c r="Q1907" i="1"/>
  <c r="S1907" i="1" s="1"/>
  <c r="T1907" i="1" s="1"/>
  <c r="Q1908" i="1"/>
  <c r="S1908" i="1" s="1"/>
  <c r="T1908" i="1" s="1"/>
  <c r="Q1909" i="1"/>
  <c r="S1909" i="1" s="1"/>
  <c r="T1909" i="1" s="1"/>
  <c r="Q1910" i="1"/>
  <c r="S1910" i="1" s="1"/>
  <c r="T1910" i="1" s="1"/>
  <c r="Q1911" i="1"/>
  <c r="S1911" i="1" s="1"/>
  <c r="T1911" i="1" s="1"/>
  <c r="Q1912" i="1"/>
  <c r="S1912" i="1" s="1"/>
  <c r="T1912" i="1" s="1"/>
  <c r="Q1913" i="1"/>
  <c r="S1913" i="1" s="1"/>
  <c r="T1913" i="1" s="1"/>
  <c r="Q1914" i="1"/>
  <c r="S1914" i="1" s="1"/>
  <c r="T1914" i="1" s="1"/>
  <c r="Q1915" i="1"/>
  <c r="S1915" i="1" s="1"/>
  <c r="T1915" i="1" s="1"/>
  <c r="Q1916" i="1"/>
  <c r="S1916" i="1" s="1"/>
  <c r="T1916" i="1" s="1"/>
  <c r="Q1917" i="1"/>
  <c r="S1917" i="1" s="1"/>
  <c r="T1917" i="1" s="1"/>
  <c r="Q1918" i="1"/>
  <c r="S1918" i="1" s="1"/>
  <c r="T1918" i="1" s="1"/>
  <c r="Q1919" i="1"/>
  <c r="S1919" i="1" s="1"/>
  <c r="T1919" i="1" s="1"/>
  <c r="Q1920" i="1"/>
  <c r="S1920" i="1" s="1"/>
  <c r="T1920" i="1" s="1"/>
  <c r="Q1921" i="1"/>
  <c r="S1921" i="1" s="1"/>
  <c r="T1921" i="1" s="1"/>
  <c r="Q1922" i="1"/>
  <c r="S1922" i="1" s="1"/>
  <c r="T1922" i="1" s="1"/>
  <c r="Q1923" i="1"/>
  <c r="S1923" i="1" s="1"/>
  <c r="T1923" i="1" s="1"/>
  <c r="Q1924" i="1"/>
  <c r="S1924" i="1" s="1"/>
  <c r="T1924" i="1" s="1"/>
  <c r="Q1925" i="1"/>
  <c r="S1925" i="1" s="1"/>
  <c r="T1925" i="1" s="1"/>
  <c r="Q1926" i="1"/>
  <c r="S1926" i="1" s="1"/>
  <c r="T1926" i="1" s="1"/>
  <c r="Q1927" i="1"/>
  <c r="S1927" i="1" s="1"/>
  <c r="T1927" i="1" s="1"/>
  <c r="Q1928" i="1"/>
  <c r="S1928" i="1" s="1"/>
  <c r="T1928" i="1" s="1"/>
  <c r="Q1929" i="1"/>
  <c r="S1929" i="1" s="1"/>
  <c r="T1929" i="1" s="1"/>
  <c r="Q1930" i="1"/>
  <c r="S1930" i="1" s="1"/>
  <c r="T1930" i="1" s="1"/>
  <c r="Q1931" i="1"/>
  <c r="S1931" i="1" s="1"/>
  <c r="T1931" i="1" s="1"/>
  <c r="Q1932" i="1"/>
  <c r="S1932" i="1" s="1"/>
  <c r="T1932" i="1" s="1"/>
  <c r="Q1933" i="1"/>
  <c r="S1933" i="1" s="1"/>
  <c r="T1933" i="1" s="1"/>
  <c r="Q1934" i="1"/>
  <c r="S1934" i="1" s="1"/>
  <c r="T1934" i="1" s="1"/>
  <c r="Q1935" i="1"/>
  <c r="S1935" i="1" s="1"/>
  <c r="T1935" i="1" s="1"/>
  <c r="Q1936" i="1"/>
  <c r="S1936" i="1" s="1"/>
  <c r="T1936" i="1" s="1"/>
  <c r="Q1937" i="1"/>
  <c r="S1937" i="1" s="1"/>
  <c r="T1937" i="1" s="1"/>
  <c r="Q1938" i="1"/>
  <c r="S1938" i="1" s="1"/>
  <c r="T1938" i="1" s="1"/>
  <c r="Q1939" i="1"/>
  <c r="S1939" i="1" s="1"/>
  <c r="T1939" i="1" s="1"/>
  <c r="Q1940" i="1"/>
  <c r="S1940" i="1" s="1"/>
  <c r="T1940" i="1" s="1"/>
  <c r="Q1941" i="1"/>
  <c r="S1941" i="1" s="1"/>
  <c r="T1941" i="1" s="1"/>
  <c r="Q1942" i="1"/>
  <c r="S1942" i="1" s="1"/>
  <c r="T1942" i="1" s="1"/>
  <c r="Q1943" i="1"/>
  <c r="S1943" i="1" s="1"/>
  <c r="T1943" i="1" s="1"/>
  <c r="Q1944" i="1"/>
  <c r="S1944" i="1" s="1"/>
  <c r="T1944" i="1" s="1"/>
  <c r="Q1945" i="1"/>
  <c r="S1945" i="1" s="1"/>
  <c r="T1945" i="1" s="1"/>
  <c r="Q1946" i="1"/>
  <c r="S1946" i="1" s="1"/>
  <c r="T1946" i="1" s="1"/>
  <c r="Q1947" i="1"/>
  <c r="S1947" i="1" s="1"/>
  <c r="T1947" i="1" s="1"/>
  <c r="Q1948" i="1"/>
  <c r="S1948" i="1" s="1"/>
  <c r="T1948" i="1" s="1"/>
  <c r="Q1949" i="1"/>
  <c r="S1949" i="1" s="1"/>
  <c r="T1949" i="1" s="1"/>
  <c r="Q1950" i="1"/>
  <c r="S1950" i="1" s="1"/>
  <c r="T1950" i="1" s="1"/>
  <c r="Q1951" i="1"/>
  <c r="S1951" i="1" s="1"/>
  <c r="T1951" i="1" s="1"/>
  <c r="Q1952" i="1"/>
  <c r="S1952" i="1" s="1"/>
  <c r="T1952" i="1" s="1"/>
  <c r="Q1953" i="1"/>
  <c r="S1953" i="1" s="1"/>
  <c r="T1953" i="1" s="1"/>
  <c r="Q1954" i="1"/>
  <c r="S1954" i="1" s="1"/>
  <c r="T1954" i="1" s="1"/>
  <c r="Q1955" i="1"/>
  <c r="S1955" i="1" s="1"/>
  <c r="T1955" i="1" s="1"/>
  <c r="Q1956" i="1"/>
  <c r="S1956" i="1" s="1"/>
  <c r="T1956" i="1" s="1"/>
  <c r="Q1957" i="1"/>
  <c r="S1957" i="1" s="1"/>
  <c r="T1957" i="1" s="1"/>
  <c r="Q1958" i="1"/>
  <c r="S1958" i="1" s="1"/>
  <c r="T1958" i="1" s="1"/>
  <c r="Q1959" i="1"/>
  <c r="S1959" i="1" s="1"/>
  <c r="T1959" i="1" s="1"/>
  <c r="Q1960" i="1"/>
  <c r="S1960" i="1" s="1"/>
  <c r="T1960" i="1" s="1"/>
  <c r="Q1961" i="1"/>
  <c r="S1961" i="1" s="1"/>
  <c r="T1961" i="1" s="1"/>
  <c r="Q1962" i="1"/>
  <c r="S1962" i="1" s="1"/>
  <c r="T1962" i="1" s="1"/>
  <c r="Q1963" i="1"/>
  <c r="S1963" i="1" s="1"/>
  <c r="T1963" i="1" s="1"/>
  <c r="Q1964" i="1"/>
  <c r="S1964" i="1" s="1"/>
  <c r="T1964" i="1" s="1"/>
  <c r="Q1965" i="1"/>
  <c r="S1965" i="1" s="1"/>
  <c r="T1965" i="1" s="1"/>
  <c r="Q1966" i="1"/>
  <c r="S1966" i="1" s="1"/>
  <c r="T1966" i="1" s="1"/>
  <c r="Q1967" i="1"/>
  <c r="S1967" i="1" s="1"/>
  <c r="T1967" i="1" s="1"/>
  <c r="Q1968" i="1"/>
  <c r="S1968" i="1" s="1"/>
  <c r="T1968" i="1" s="1"/>
  <c r="Q1969" i="1"/>
  <c r="S1969" i="1" s="1"/>
  <c r="T1969" i="1" s="1"/>
  <c r="Q1970" i="1"/>
  <c r="S1970" i="1" s="1"/>
  <c r="T1970" i="1" s="1"/>
  <c r="Q1971" i="1"/>
  <c r="S1971" i="1" s="1"/>
  <c r="T1971" i="1" s="1"/>
  <c r="Q1972" i="1"/>
  <c r="S1972" i="1" s="1"/>
  <c r="T1972" i="1" s="1"/>
  <c r="Q1973" i="1"/>
  <c r="S1973" i="1" s="1"/>
  <c r="T1973" i="1" s="1"/>
  <c r="Q1974" i="1"/>
  <c r="S1974" i="1" s="1"/>
  <c r="T1974" i="1" s="1"/>
  <c r="Q1975" i="1"/>
  <c r="S1975" i="1" s="1"/>
  <c r="T1975" i="1" s="1"/>
  <c r="Q1976" i="1"/>
  <c r="S1976" i="1" s="1"/>
  <c r="T1976" i="1" s="1"/>
  <c r="Q1977" i="1"/>
  <c r="S1977" i="1" s="1"/>
  <c r="T1977" i="1" s="1"/>
  <c r="Q1978" i="1"/>
  <c r="S1978" i="1" s="1"/>
  <c r="T1978" i="1" s="1"/>
  <c r="Q1979" i="1"/>
  <c r="S1979" i="1" s="1"/>
  <c r="T1979" i="1" s="1"/>
  <c r="Q1980" i="1"/>
  <c r="S1980" i="1" s="1"/>
  <c r="T1980" i="1" s="1"/>
  <c r="Q1981" i="1"/>
  <c r="S1981" i="1" s="1"/>
  <c r="T1981" i="1" s="1"/>
  <c r="Q1982" i="1"/>
  <c r="S1982" i="1" s="1"/>
  <c r="T1982" i="1" s="1"/>
  <c r="Q1983" i="1"/>
  <c r="S1983" i="1" s="1"/>
  <c r="T1983" i="1" s="1"/>
  <c r="Q1984" i="1"/>
  <c r="S1984" i="1" s="1"/>
  <c r="T1984" i="1" s="1"/>
  <c r="Q1985" i="1"/>
  <c r="S1985" i="1" s="1"/>
  <c r="T1985" i="1" s="1"/>
  <c r="Q1986" i="1"/>
  <c r="S1986" i="1" s="1"/>
  <c r="T1986" i="1" s="1"/>
  <c r="Q1987" i="1"/>
  <c r="S1987" i="1" s="1"/>
  <c r="T1987" i="1" s="1"/>
  <c r="Q1988" i="1"/>
  <c r="S1988" i="1" s="1"/>
  <c r="T1988" i="1" s="1"/>
  <c r="Q1989" i="1"/>
  <c r="S1989" i="1" s="1"/>
  <c r="T1989" i="1" s="1"/>
  <c r="Q1990" i="1"/>
  <c r="S1990" i="1" s="1"/>
  <c r="T1990" i="1" s="1"/>
  <c r="Q1991" i="1"/>
  <c r="S1991" i="1" s="1"/>
  <c r="T1991" i="1" s="1"/>
  <c r="Q1992" i="1"/>
  <c r="S1992" i="1" s="1"/>
  <c r="T1992" i="1" s="1"/>
  <c r="Q1993" i="1"/>
  <c r="S1993" i="1" s="1"/>
  <c r="T1993" i="1" s="1"/>
  <c r="Q1994" i="1"/>
  <c r="S1994" i="1" s="1"/>
  <c r="T1994" i="1" s="1"/>
  <c r="Q1995" i="1"/>
  <c r="S1995" i="1" s="1"/>
  <c r="T1995" i="1" s="1"/>
  <c r="Q1996" i="1"/>
  <c r="S1996" i="1" s="1"/>
  <c r="T1996" i="1" s="1"/>
  <c r="Q1997" i="1"/>
  <c r="S1997" i="1" s="1"/>
  <c r="T1997" i="1" s="1"/>
  <c r="Q1998" i="1"/>
  <c r="S1998" i="1" s="1"/>
  <c r="T1998" i="1" s="1"/>
  <c r="Q1999" i="1"/>
  <c r="S1999" i="1" s="1"/>
  <c r="T1999" i="1" s="1"/>
  <c r="Q2000" i="1"/>
  <c r="S2000" i="1" s="1"/>
  <c r="T2000" i="1" s="1"/>
  <c r="Q2001" i="1"/>
  <c r="S2001" i="1" s="1"/>
  <c r="T2001" i="1" s="1"/>
  <c r="Q2002" i="1"/>
  <c r="S2002" i="1" s="1"/>
  <c r="T2002" i="1" s="1"/>
  <c r="Q2003" i="1"/>
  <c r="S2003" i="1" s="1"/>
  <c r="T2003" i="1" s="1"/>
  <c r="Q2004" i="1"/>
  <c r="S2004" i="1" s="1"/>
  <c r="T2004" i="1" s="1"/>
  <c r="Q2005" i="1"/>
  <c r="S2005" i="1" s="1"/>
  <c r="T2005" i="1" s="1"/>
  <c r="Q2006" i="1"/>
  <c r="S2006" i="1" s="1"/>
  <c r="T2006" i="1" s="1"/>
  <c r="Q2007" i="1"/>
  <c r="S2007" i="1" s="1"/>
  <c r="T2007" i="1" s="1"/>
  <c r="Q2008" i="1"/>
  <c r="S2008" i="1" s="1"/>
  <c r="T2008" i="1" s="1"/>
  <c r="Q2009" i="1"/>
  <c r="S2009" i="1" s="1"/>
  <c r="T2009" i="1" s="1"/>
  <c r="Q2010" i="1"/>
  <c r="S2010" i="1" s="1"/>
  <c r="T2010" i="1" s="1"/>
  <c r="Q2011" i="1"/>
  <c r="S2011" i="1" s="1"/>
  <c r="T2011" i="1" s="1"/>
  <c r="Q2012" i="1"/>
  <c r="S2012" i="1" s="1"/>
  <c r="T2012" i="1" s="1"/>
  <c r="Q2013" i="1"/>
  <c r="S2013" i="1" s="1"/>
  <c r="T2013" i="1" s="1"/>
  <c r="Q2014" i="1"/>
  <c r="S2014" i="1" s="1"/>
  <c r="T2014" i="1" s="1"/>
  <c r="Q2015" i="1"/>
  <c r="S2015" i="1" s="1"/>
  <c r="T2015" i="1" s="1"/>
  <c r="Q2016" i="1"/>
  <c r="S2016" i="1" s="1"/>
  <c r="T2016" i="1" s="1"/>
  <c r="Q2017" i="1"/>
  <c r="S2017" i="1" s="1"/>
  <c r="T2017" i="1" s="1"/>
  <c r="Q2018" i="1"/>
  <c r="S2018" i="1" s="1"/>
  <c r="T2018" i="1" s="1"/>
  <c r="Q2019" i="1"/>
  <c r="S2019" i="1" s="1"/>
  <c r="T2019" i="1" s="1"/>
  <c r="Q2020" i="1"/>
  <c r="S2020" i="1" s="1"/>
  <c r="T2020" i="1" s="1"/>
  <c r="Q2021" i="1"/>
  <c r="S2021" i="1" s="1"/>
  <c r="T2021" i="1" s="1"/>
  <c r="Q2022" i="1"/>
  <c r="S2022" i="1" s="1"/>
  <c r="T2022" i="1" s="1"/>
  <c r="Q2023" i="1"/>
  <c r="S2023" i="1" s="1"/>
  <c r="T2023" i="1" s="1"/>
  <c r="Q2024" i="1"/>
  <c r="S2024" i="1" s="1"/>
  <c r="T2024" i="1" s="1"/>
  <c r="Q2025" i="1"/>
  <c r="S2025" i="1" s="1"/>
  <c r="T2025" i="1" s="1"/>
  <c r="Q2026" i="1"/>
  <c r="S2026" i="1" s="1"/>
  <c r="T2026" i="1" s="1"/>
  <c r="Q2027" i="1"/>
  <c r="S2027" i="1" s="1"/>
  <c r="T2027" i="1" s="1"/>
  <c r="Q2028" i="1"/>
  <c r="S2028" i="1" s="1"/>
  <c r="T2028" i="1" s="1"/>
  <c r="Q2029" i="1"/>
  <c r="S2029" i="1" s="1"/>
  <c r="T2029" i="1" s="1"/>
  <c r="Q2030" i="1"/>
  <c r="S2030" i="1" s="1"/>
  <c r="T2030" i="1" s="1"/>
  <c r="Q2031" i="1"/>
  <c r="S2031" i="1" s="1"/>
  <c r="T2031" i="1" s="1"/>
  <c r="Q2032" i="1"/>
  <c r="S2032" i="1" s="1"/>
  <c r="T2032" i="1" s="1"/>
  <c r="Q2033" i="1"/>
  <c r="S2033" i="1" s="1"/>
  <c r="T2033" i="1" s="1"/>
  <c r="Q2034" i="1"/>
  <c r="S2034" i="1" s="1"/>
  <c r="T2034" i="1" s="1"/>
  <c r="Q2035" i="1"/>
  <c r="S2035" i="1" s="1"/>
  <c r="T2035" i="1" s="1"/>
  <c r="Q2036" i="1"/>
  <c r="S2036" i="1" s="1"/>
  <c r="T2036" i="1" s="1"/>
  <c r="Q2037" i="1"/>
  <c r="S2037" i="1" s="1"/>
  <c r="T2037" i="1" s="1"/>
  <c r="Q2038" i="1"/>
  <c r="S2038" i="1" s="1"/>
  <c r="T2038" i="1" s="1"/>
  <c r="Q2039" i="1"/>
  <c r="S2039" i="1" s="1"/>
  <c r="T2039" i="1" s="1"/>
  <c r="Q2040" i="1"/>
  <c r="S2040" i="1" s="1"/>
  <c r="T2040" i="1" s="1"/>
  <c r="Q2041" i="1"/>
  <c r="S2041" i="1" s="1"/>
  <c r="T2041" i="1" s="1"/>
  <c r="Q2042" i="1"/>
  <c r="S2042" i="1" s="1"/>
  <c r="T2042" i="1" s="1"/>
  <c r="Q2043" i="1"/>
  <c r="S2043" i="1" s="1"/>
  <c r="T2043" i="1" s="1"/>
  <c r="Q2044" i="1"/>
  <c r="S2044" i="1" s="1"/>
  <c r="T2044" i="1" s="1"/>
  <c r="Q2045" i="1"/>
  <c r="S2045" i="1" s="1"/>
  <c r="T2045" i="1" s="1"/>
  <c r="Q2046" i="1"/>
  <c r="S2046" i="1" s="1"/>
  <c r="T2046" i="1" s="1"/>
  <c r="Q2047" i="1"/>
  <c r="S2047" i="1" s="1"/>
  <c r="T2047" i="1" s="1"/>
  <c r="Q2048" i="1"/>
  <c r="S2048" i="1" s="1"/>
  <c r="T2048" i="1" s="1"/>
  <c r="Q2049" i="1"/>
  <c r="S2049" i="1" s="1"/>
  <c r="T2049" i="1" s="1"/>
  <c r="Q2050" i="1"/>
  <c r="S2050" i="1" s="1"/>
  <c r="T2050" i="1" s="1"/>
  <c r="Q2051" i="1"/>
  <c r="S2051" i="1" s="1"/>
  <c r="T2051" i="1" s="1"/>
  <c r="Q2052" i="1"/>
  <c r="S2052" i="1" s="1"/>
  <c r="T2052" i="1" s="1"/>
  <c r="Q2053" i="1"/>
  <c r="S2053" i="1" s="1"/>
  <c r="T2053" i="1" s="1"/>
  <c r="Q2054" i="1"/>
  <c r="S2054" i="1" s="1"/>
  <c r="T2054" i="1" s="1"/>
  <c r="Q2055" i="1"/>
  <c r="S2055" i="1" s="1"/>
  <c r="T2055" i="1" s="1"/>
  <c r="Q2056" i="1"/>
  <c r="S2056" i="1" s="1"/>
  <c r="T2056" i="1" s="1"/>
  <c r="Q2057" i="1"/>
  <c r="S2057" i="1" s="1"/>
  <c r="T2057" i="1" s="1"/>
  <c r="Q2058" i="1"/>
  <c r="S2058" i="1" s="1"/>
  <c r="T2058" i="1" s="1"/>
  <c r="Q2059" i="1"/>
  <c r="S2059" i="1" s="1"/>
  <c r="T2059" i="1" s="1"/>
  <c r="Q2060" i="1"/>
  <c r="S2060" i="1" s="1"/>
  <c r="T2060" i="1" s="1"/>
  <c r="Q2061" i="1"/>
  <c r="S2061" i="1" s="1"/>
  <c r="T2061" i="1" s="1"/>
  <c r="Q2062" i="1"/>
  <c r="S2062" i="1" s="1"/>
  <c r="T2062" i="1" s="1"/>
  <c r="Q2063" i="1"/>
  <c r="S2063" i="1" s="1"/>
  <c r="T2063" i="1" s="1"/>
  <c r="Q2064" i="1"/>
  <c r="S2064" i="1" s="1"/>
  <c r="T2064" i="1" s="1"/>
  <c r="Q2065" i="1"/>
  <c r="S2065" i="1" s="1"/>
  <c r="T2065" i="1" s="1"/>
  <c r="Q2066" i="1"/>
  <c r="S2066" i="1" s="1"/>
  <c r="T2066" i="1" s="1"/>
  <c r="Q2067" i="1"/>
  <c r="S2067" i="1" s="1"/>
  <c r="T2067" i="1" s="1"/>
  <c r="Q2068" i="1"/>
  <c r="S2068" i="1" s="1"/>
  <c r="T2068" i="1" s="1"/>
  <c r="Q2069" i="1"/>
  <c r="S2069" i="1" s="1"/>
  <c r="T2069" i="1" s="1"/>
  <c r="Q2070" i="1"/>
  <c r="S2070" i="1" s="1"/>
  <c r="T2070" i="1" s="1"/>
  <c r="Q2071" i="1"/>
  <c r="S2071" i="1" s="1"/>
  <c r="T2071" i="1" s="1"/>
  <c r="Q2072" i="1"/>
  <c r="S2072" i="1" s="1"/>
  <c r="T2072" i="1" s="1"/>
  <c r="Q2073" i="1"/>
  <c r="S2073" i="1" s="1"/>
  <c r="T2073" i="1" s="1"/>
  <c r="Q2074" i="1"/>
  <c r="S2074" i="1" s="1"/>
  <c r="T2074" i="1" s="1"/>
  <c r="Q2075" i="1"/>
  <c r="S2075" i="1" s="1"/>
  <c r="T2075" i="1" s="1"/>
  <c r="Q2076" i="1"/>
  <c r="S2076" i="1" s="1"/>
  <c r="T2076" i="1" s="1"/>
  <c r="Q2077" i="1"/>
  <c r="S2077" i="1" s="1"/>
  <c r="T2077" i="1" s="1"/>
  <c r="Q2078" i="1"/>
  <c r="S2078" i="1" s="1"/>
  <c r="T2078" i="1" s="1"/>
  <c r="Q2079" i="1"/>
  <c r="S2079" i="1" s="1"/>
  <c r="T2079" i="1" s="1"/>
  <c r="Q2080" i="1"/>
  <c r="S2080" i="1" s="1"/>
  <c r="T2080" i="1" s="1"/>
  <c r="Q2081" i="1"/>
  <c r="S2081" i="1" s="1"/>
  <c r="T2081" i="1" s="1"/>
  <c r="Q2082" i="1"/>
  <c r="S2082" i="1" s="1"/>
  <c r="T2082" i="1" s="1"/>
  <c r="Q2083" i="1"/>
  <c r="S2083" i="1" s="1"/>
  <c r="T2083" i="1" s="1"/>
  <c r="Q2084" i="1"/>
  <c r="S2084" i="1" s="1"/>
  <c r="T2084" i="1" s="1"/>
  <c r="Q2085" i="1"/>
  <c r="S2085" i="1" s="1"/>
  <c r="T2085" i="1" s="1"/>
  <c r="Q2086" i="1"/>
  <c r="S2086" i="1" s="1"/>
  <c r="T2086" i="1" s="1"/>
  <c r="Q2087" i="1"/>
  <c r="S2087" i="1" s="1"/>
  <c r="T2087" i="1" s="1"/>
  <c r="Q2088" i="1"/>
  <c r="S2088" i="1" s="1"/>
  <c r="T2088" i="1" s="1"/>
  <c r="Q2089" i="1"/>
  <c r="S2089" i="1" s="1"/>
  <c r="T2089" i="1" s="1"/>
  <c r="Q2090" i="1"/>
  <c r="S2090" i="1" s="1"/>
  <c r="T2090" i="1" s="1"/>
  <c r="Q2091" i="1"/>
  <c r="S2091" i="1" s="1"/>
  <c r="T2091" i="1" s="1"/>
  <c r="Q2092" i="1"/>
  <c r="S2092" i="1" s="1"/>
  <c r="T2092" i="1" s="1"/>
  <c r="Q2093" i="1"/>
  <c r="S2093" i="1" s="1"/>
  <c r="T2093" i="1" s="1"/>
  <c r="Q2094" i="1"/>
  <c r="S2094" i="1" s="1"/>
  <c r="T2094" i="1" s="1"/>
  <c r="Q2095" i="1"/>
  <c r="S2095" i="1" s="1"/>
  <c r="T2095" i="1" s="1"/>
  <c r="Q2096" i="1"/>
  <c r="S2096" i="1" s="1"/>
  <c r="T2096" i="1" s="1"/>
  <c r="Q2097" i="1"/>
  <c r="S2097" i="1" s="1"/>
  <c r="T2097" i="1" s="1"/>
  <c r="Q2098" i="1"/>
  <c r="S2098" i="1" s="1"/>
  <c r="T2098" i="1" s="1"/>
  <c r="Q2099" i="1"/>
  <c r="S2099" i="1" s="1"/>
  <c r="T2099" i="1" s="1"/>
  <c r="Q2100" i="1"/>
  <c r="S2100" i="1" s="1"/>
  <c r="T2100" i="1" s="1"/>
  <c r="Q2101" i="1"/>
  <c r="S2101" i="1" s="1"/>
  <c r="T2101" i="1" s="1"/>
  <c r="Q2102" i="1"/>
  <c r="S2102" i="1" s="1"/>
  <c r="T2102" i="1" s="1"/>
  <c r="Q2103" i="1"/>
  <c r="S2103" i="1" s="1"/>
  <c r="T2103" i="1" s="1"/>
  <c r="Q2104" i="1"/>
  <c r="S2104" i="1" s="1"/>
  <c r="T2104" i="1" s="1"/>
  <c r="Q2105" i="1"/>
  <c r="S2105" i="1" s="1"/>
  <c r="T2105" i="1" s="1"/>
  <c r="Q2106" i="1"/>
  <c r="S2106" i="1" s="1"/>
  <c r="T2106" i="1" s="1"/>
  <c r="Q2107" i="1"/>
  <c r="S2107" i="1" s="1"/>
  <c r="T2107" i="1" s="1"/>
  <c r="Q2108" i="1"/>
  <c r="S2108" i="1" s="1"/>
  <c r="T2108" i="1" s="1"/>
  <c r="Q2109" i="1"/>
  <c r="S2109" i="1" s="1"/>
  <c r="T2109" i="1" s="1"/>
  <c r="Q2110" i="1"/>
  <c r="S2110" i="1" s="1"/>
  <c r="T2110" i="1" s="1"/>
  <c r="Q2111" i="1"/>
  <c r="S2111" i="1" s="1"/>
  <c r="T2111" i="1" s="1"/>
  <c r="Q2112" i="1"/>
  <c r="S2112" i="1" s="1"/>
  <c r="T2112" i="1" s="1"/>
  <c r="Q2113" i="1"/>
  <c r="S2113" i="1" s="1"/>
  <c r="T2113" i="1" s="1"/>
  <c r="Q2114" i="1"/>
  <c r="S2114" i="1" s="1"/>
  <c r="T2114" i="1" s="1"/>
  <c r="Q2115" i="1"/>
  <c r="S2115" i="1" s="1"/>
  <c r="T2115" i="1" s="1"/>
  <c r="Q2116" i="1"/>
  <c r="S2116" i="1" s="1"/>
  <c r="T2116" i="1" s="1"/>
  <c r="Q2117" i="1"/>
  <c r="S2117" i="1" s="1"/>
  <c r="T2117" i="1" s="1"/>
  <c r="Q2118" i="1"/>
  <c r="S2118" i="1" s="1"/>
  <c r="T2118" i="1" s="1"/>
  <c r="Q2119" i="1"/>
  <c r="S2119" i="1" s="1"/>
  <c r="T2119" i="1" s="1"/>
  <c r="Q2120" i="1"/>
  <c r="S2120" i="1" s="1"/>
  <c r="T2120" i="1" s="1"/>
  <c r="Q2121" i="1"/>
  <c r="S2121" i="1" s="1"/>
  <c r="T2121" i="1" s="1"/>
  <c r="Q2122" i="1"/>
  <c r="S2122" i="1" s="1"/>
  <c r="T2122" i="1" s="1"/>
  <c r="Q2123" i="1"/>
  <c r="S2123" i="1" s="1"/>
  <c r="T2123" i="1" s="1"/>
  <c r="Q2124" i="1"/>
  <c r="S2124" i="1" s="1"/>
  <c r="T2124" i="1" s="1"/>
  <c r="Q2125" i="1"/>
  <c r="S2125" i="1" s="1"/>
  <c r="T2125" i="1" s="1"/>
  <c r="Q2126" i="1"/>
  <c r="S2126" i="1" s="1"/>
  <c r="T2126" i="1" s="1"/>
  <c r="Q2127" i="1"/>
  <c r="S2127" i="1" s="1"/>
  <c r="T2127" i="1" s="1"/>
  <c r="Q2128" i="1"/>
  <c r="S2128" i="1" s="1"/>
  <c r="T2128" i="1" s="1"/>
  <c r="Q2129" i="1"/>
  <c r="S2129" i="1" s="1"/>
  <c r="T2129" i="1" s="1"/>
  <c r="Q2130" i="1"/>
  <c r="S2130" i="1" s="1"/>
  <c r="T2130" i="1" s="1"/>
  <c r="Q2131" i="1"/>
  <c r="S2131" i="1" s="1"/>
  <c r="T2131" i="1" s="1"/>
  <c r="Q2132" i="1"/>
  <c r="S2132" i="1" s="1"/>
  <c r="T2132" i="1" s="1"/>
  <c r="Q2133" i="1"/>
  <c r="S2133" i="1" s="1"/>
  <c r="T2133" i="1" s="1"/>
  <c r="Q2134" i="1"/>
  <c r="S2134" i="1" s="1"/>
  <c r="T2134" i="1" s="1"/>
  <c r="Q2135" i="1"/>
  <c r="S2135" i="1" s="1"/>
  <c r="T2135" i="1" s="1"/>
  <c r="Q2136" i="1"/>
  <c r="S2136" i="1" s="1"/>
  <c r="T2136" i="1" s="1"/>
  <c r="Q2137" i="1"/>
  <c r="S2137" i="1" s="1"/>
  <c r="T2137" i="1" s="1"/>
  <c r="Q2138" i="1"/>
  <c r="S2138" i="1" s="1"/>
  <c r="T2138" i="1" s="1"/>
  <c r="Q2139" i="1"/>
  <c r="S2139" i="1" s="1"/>
  <c r="T2139" i="1" s="1"/>
  <c r="Q2140" i="1"/>
  <c r="S2140" i="1" s="1"/>
  <c r="T2140" i="1" s="1"/>
  <c r="Q2141" i="1"/>
  <c r="S2141" i="1" s="1"/>
  <c r="T2141" i="1" s="1"/>
  <c r="Q2142" i="1"/>
  <c r="S2142" i="1" s="1"/>
  <c r="T2142" i="1" s="1"/>
  <c r="Q2143" i="1"/>
  <c r="S2143" i="1" s="1"/>
  <c r="T2143" i="1" s="1"/>
  <c r="Q2144" i="1"/>
  <c r="S2144" i="1" s="1"/>
  <c r="T2144" i="1" s="1"/>
  <c r="Q2145" i="1"/>
  <c r="S2145" i="1" s="1"/>
  <c r="T2145" i="1" s="1"/>
  <c r="Q2146" i="1"/>
  <c r="S2146" i="1" s="1"/>
  <c r="T2146" i="1" s="1"/>
  <c r="Q2147" i="1"/>
  <c r="S2147" i="1" s="1"/>
  <c r="T2147" i="1" s="1"/>
  <c r="Q2148" i="1"/>
  <c r="S2148" i="1" s="1"/>
  <c r="T2148" i="1" s="1"/>
  <c r="Q2149" i="1"/>
  <c r="S2149" i="1" s="1"/>
  <c r="T2149" i="1" s="1"/>
  <c r="Q2150" i="1"/>
  <c r="S2150" i="1" s="1"/>
  <c r="T2150" i="1" s="1"/>
  <c r="Q2151" i="1"/>
  <c r="S2151" i="1" s="1"/>
  <c r="T2151" i="1" s="1"/>
  <c r="Q2152" i="1"/>
  <c r="S2152" i="1" s="1"/>
  <c r="T2152" i="1" s="1"/>
  <c r="Q2153" i="1"/>
  <c r="S2153" i="1" s="1"/>
  <c r="T2153" i="1" s="1"/>
  <c r="Q2154" i="1"/>
  <c r="S2154" i="1" s="1"/>
  <c r="T2154" i="1" s="1"/>
  <c r="Q2155" i="1"/>
  <c r="S2155" i="1" s="1"/>
  <c r="T2155" i="1" s="1"/>
  <c r="Q2156" i="1"/>
  <c r="S2156" i="1" s="1"/>
  <c r="T2156" i="1" s="1"/>
  <c r="Q2157" i="1"/>
  <c r="S2157" i="1" s="1"/>
  <c r="T2157" i="1" s="1"/>
  <c r="Q2158" i="1"/>
  <c r="S2158" i="1" s="1"/>
  <c r="T2158" i="1" s="1"/>
  <c r="Q2159" i="1"/>
  <c r="S2159" i="1" s="1"/>
  <c r="T2159" i="1" s="1"/>
  <c r="Q2160" i="1"/>
  <c r="S2160" i="1" s="1"/>
  <c r="T2160" i="1" s="1"/>
  <c r="Q2161" i="1"/>
  <c r="S2161" i="1" s="1"/>
  <c r="T2161" i="1" s="1"/>
  <c r="Q2162" i="1"/>
  <c r="S2162" i="1" s="1"/>
  <c r="T2162" i="1" s="1"/>
  <c r="Q2163" i="1"/>
  <c r="S2163" i="1" s="1"/>
  <c r="T2163" i="1" s="1"/>
  <c r="Q2164" i="1"/>
  <c r="S2164" i="1" s="1"/>
  <c r="T2164" i="1" s="1"/>
  <c r="Q2165" i="1"/>
  <c r="S2165" i="1" s="1"/>
  <c r="T2165" i="1" s="1"/>
  <c r="Q2166" i="1"/>
  <c r="S2166" i="1" s="1"/>
  <c r="T2166" i="1" s="1"/>
  <c r="Q2167" i="1"/>
  <c r="S2167" i="1" s="1"/>
  <c r="T2167" i="1" s="1"/>
  <c r="Q2168" i="1"/>
  <c r="S2168" i="1" s="1"/>
  <c r="T2168" i="1" s="1"/>
  <c r="Q2169" i="1"/>
  <c r="S2169" i="1" s="1"/>
  <c r="T2169" i="1" s="1"/>
  <c r="Q2170" i="1"/>
  <c r="S2170" i="1" s="1"/>
  <c r="T2170" i="1" s="1"/>
  <c r="Q2171" i="1"/>
  <c r="S2171" i="1" s="1"/>
  <c r="T2171" i="1" s="1"/>
  <c r="Q2172" i="1"/>
  <c r="S2172" i="1" s="1"/>
  <c r="T2172" i="1" s="1"/>
  <c r="Q2173" i="1"/>
  <c r="S2173" i="1" s="1"/>
  <c r="T2173" i="1" s="1"/>
  <c r="Q2174" i="1"/>
  <c r="S2174" i="1" s="1"/>
  <c r="T2174" i="1" s="1"/>
  <c r="Q2175" i="1"/>
  <c r="S2175" i="1" s="1"/>
  <c r="T2175" i="1" s="1"/>
  <c r="Q2176" i="1"/>
  <c r="S2176" i="1" s="1"/>
  <c r="T2176" i="1" s="1"/>
  <c r="Q2177" i="1"/>
  <c r="S2177" i="1" s="1"/>
  <c r="T2177" i="1" s="1"/>
  <c r="Q2178" i="1"/>
  <c r="S2178" i="1" s="1"/>
  <c r="T2178" i="1" s="1"/>
  <c r="Q2179" i="1"/>
  <c r="S2179" i="1" s="1"/>
  <c r="T2179" i="1" s="1"/>
  <c r="Q2180" i="1"/>
  <c r="S2180" i="1" s="1"/>
  <c r="T2180" i="1" s="1"/>
  <c r="Q2181" i="1"/>
  <c r="S2181" i="1" s="1"/>
  <c r="T2181" i="1" s="1"/>
  <c r="Q2182" i="1"/>
  <c r="S2182" i="1" s="1"/>
  <c r="T2182" i="1" s="1"/>
  <c r="Q2183" i="1"/>
  <c r="S2183" i="1" s="1"/>
  <c r="T2183" i="1" s="1"/>
  <c r="Q2184" i="1"/>
  <c r="S2184" i="1" s="1"/>
  <c r="T2184" i="1" s="1"/>
  <c r="Q2185" i="1"/>
  <c r="S2185" i="1" s="1"/>
  <c r="T2185" i="1" s="1"/>
  <c r="Q2186" i="1"/>
  <c r="S2186" i="1" s="1"/>
  <c r="T2186" i="1" s="1"/>
  <c r="Q2187" i="1"/>
  <c r="S2187" i="1" s="1"/>
  <c r="T2187" i="1" s="1"/>
  <c r="Q2188" i="1"/>
  <c r="S2188" i="1" s="1"/>
  <c r="T2188" i="1" s="1"/>
  <c r="Q2189" i="1"/>
  <c r="S2189" i="1" s="1"/>
  <c r="T2189" i="1" s="1"/>
  <c r="Q2190" i="1"/>
  <c r="S2190" i="1" s="1"/>
  <c r="T2190" i="1" s="1"/>
  <c r="Q2191" i="1"/>
  <c r="S2191" i="1" s="1"/>
  <c r="T2191" i="1" s="1"/>
  <c r="Q2192" i="1"/>
  <c r="S2192" i="1" s="1"/>
  <c r="T2192" i="1" s="1"/>
  <c r="Q2193" i="1"/>
  <c r="S2193" i="1" s="1"/>
  <c r="T2193" i="1" s="1"/>
  <c r="Q2194" i="1"/>
  <c r="S2194" i="1" s="1"/>
  <c r="T2194" i="1" s="1"/>
  <c r="Q2195" i="1"/>
  <c r="S2195" i="1" s="1"/>
  <c r="T2195" i="1" s="1"/>
  <c r="Q2196" i="1"/>
  <c r="S2196" i="1" s="1"/>
  <c r="T2196" i="1" s="1"/>
  <c r="Q2197" i="1"/>
  <c r="S2197" i="1" s="1"/>
  <c r="T2197" i="1" s="1"/>
  <c r="Q2198" i="1"/>
  <c r="S2198" i="1" s="1"/>
  <c r="T2198" i="1" s="1"/>
  <c r="Q2199" i="1"/>
  <c r="S2199" i="1" s="1"/>
  <c r="T2199" i="1" s="1"/>
  <c r="Q2200" i="1"/>
  <c r="S2200" i="1" s="1"/>
  <c r="T2200" i="1" s="1"/>
  <c r="Q2201" i="1"/>
  <c r="S2201" i="1" s="1"/>
  <c r="T2201" i="1" s="1"/>
  <c r="Q2202" i="1"/>
  <c r="S2202" i="1" s="1"/>
  <c r="T2202" i="1" s="1"/>
  <c r="Q2203" i="1"/>
  <c r="S2203" i="1" s="1"/>
  <c r="T2203" i="1" s="1"/>
  <c r="Q2204" i="1"/>
  <c r="S2204" i="1" s="1"/>
  <c r="T2204" i="1" s="1"/>
  <c r="Q2205" i="1"/>
  <c r="S2205" i="1" s="1"/>
  <c r="T2205" i="1" s="1"/>
  <c r="Q2206" i="1"/>
  <c r="S2206" i="1" s="1"/>
  <c r="T2206" i="1" s="1"/>
  <c r="Q2207" i="1"/>
  <c r="S2207" i="1" s="1"/>
  <c r="T2207" i="1" s="1"/>
  <c r="Q2208" i="1"/>
  <c r="S2208" i="1" s="1"/>
  <c r="T2208" i="1" s="1"/>
  <c r="Q2209" i="1"/>
  <c r="S2209" i="1" s="1"/>
  <c r="T2209" i="1" s="1"/>
  <c r="Q2210" i="1"/>
  <c r="S2210" i="1" s="1"/>
  <c r="T2210" i="1" s="1"/>
  <c r="Q2211" i="1"/>
  <c r="S2211" i="1" s="1"/>
  <c r="T2211" i="1" s="1"/>
  <c r="Q2212" i="1"/>
  <c r="S2212" i="1" s="1"/>
  <c r="T2212" i="1" s="1"/>
  <c r="Q2213" i="1"/>
  <c r="S2213" i="1" s="1"/>
  <c r="T2213" i="1" s="1"/>
  <c r="Q2214" i="1"/>
  <c r="S2214" i="1" s="1"/>
  <c r="T2214" i="1" s="1"/>
  <c r="Q2215" i="1"/>
  <c r="S2215" i="1" s="1"/>
  <c r="T2215" i="1" s="1"/>
  <c r="Q2216" i="1"/>
  <c r="S2216" i="1" s="1"/>
  <c r="T2216" i="1" s="1"/>
  <c r="Q2217" i="1"/>
  <c r="S2217" i="1" s="1"/>
  <c r="T2217" i="1" s="1"/>
  <c r="Q2218" i="1"/>
  <c r="S2218" i="1" s="1"/>
  <c r="T2218" i="1" s="1"/>
  <c r="Q2219" i="1"/>
  <c r="S2219" i="1" s="1"/>
  <c r="T2219" i="1" s="1"/>
  <c r="Q2220" i="1"/>
  <c r="S2220" i="1" s="1"/>
  <c r="T2220" i="1" s="1"/>
  <c r="Q2221" i="1"/>
  <c r="S2221" i="1" s="1"/>
  <c r="T2221" i="1" s="1"/>
  <c r="Q2222" i="1"/>
  <c r="S2222" i="1" s="1"/>
  <c r="T2222" i="1" s="1"/>
  <c r="Q2223" i="1"/>
  <c r="S2223" i="1" s="1"/>
  <c r="T2223" i="1" s="1"/>
  <c r="Q2224" i="1"/>
  <c r="S2224" i="1" s="1"/>
  <c r="T2224" i="1" s="1"/>
  <c r="Q2225" i="1"/>
  <c r="S2225" i="1" s="1"/>
  <c r="T2225" i="1" s="1"/>
  <c r="Q2226" i="1"/>
  <c r="S2226" i="1" s="1"/>
  <c r="T2226" i="1" s="1"/>
  <c r="Q2227" i="1"/>
  <c r="S2227" i="1" s="1"/>
  <c r="T2227" i="1" s="1"/>
  <c r="Q2228" i="1"/>
  <c r="S2228" i="1" s="1"/>
  <c r="T2228" i="1" s="1"/>
  <c r="Q2229" i="1"/>
  <c r="S2229" i="1" s="1"/>
  <c r="T2229" i="1" s="1"/>
  <c r="Q2230" i="1"/>
  <c r="S2230" i="1" s="1"/>
  <c r="T2230" i="1" s="1"/>
  <c r="Q2231" i="1"/>
  <c r="S2231" i="1" s="1"/>
  <c r="T2231" i="1" s="1"/>
  <c r="Q2232" i="1"/>
  <c r="S2232" i="1" s="1"/>
  <c r="T2232" i="1" s="1"/>
  <c r="Q2233" i="1"/>
  <c r="S2233" i="1" s="1"/>
  <c r="T2233" i="1" s="1"/>
  <c r="Q2234" i="1"/>
  <c r="S2234" i="1" s="1"/>
  <c r="T2234" i="1" s="1"/>
  <c r="Q2235" i="1"/>
  <c r="S2235" i="1" s="1"/>
  <c r="T2235" i="1" s="1"/>
  <c r="Q2236" i="1"/>
  <c r="S2236" i="1" s="1"/>
  <c r="T2236" i="1" s="1"/>
  <c r="Q2237" i="1"/>
  <c r="S2237" i="1" s="1"/>
  <c r="T2237" i="1" s="1"/>
  <c r="Q2238" i="1"/>
  <c r="S2238" i="1" s="1"/>
  <c r="T2238" i="1" s="1"/>
  <c r="Q2239" i="1"/>
  <c r="S2239" i="1" s="1"/>
  <c r="T2239" i="1" s="1"/>
  <c r="Q2240" i="1"/>
  <c r="S2240" i="1" s="1"/>
  <c r="T2240" i="1" s="1"/>
  <c r="Q2241" i="1"/>
  <c r="S2241" i="1" s="1"/>
  <c r="T2241" i="1" s="1"/>
  <c r="Q2242" i="1"/>
  <c r="S2242" i="1" s="1"/>
  <c r="T2242" i="1" s="1"/>
  <c r="Q2243" i="1"/>
  <c r="S2243" i="1" s="1"/>
  <c r="T2243" i="1" s="1"/>
  <c r="Q2244" i="1"/>
  <c r="S2244" i="1" s="1"/>
  <c r="T2244" i="1" s="1"/>
  <c r="Q2245" i="1"/>
  <c r="S2245" i="1" s="1"/>
  <c r="T2245" i="1" s="1"/>
  <c r="Q2246" i="1"/>
  <c r="S2246" i="1" s="1"/>
  <c r="T2246" i="1" s="1"/>
  <c r="Q2247" i="1"/>
  <c r="S2247" i="1" s="1"/>
  <c r="T2247" i="1" s="1"/>
  <c r="Q2248" i="1"/>
  <c r="S2248" i="1" s="1"/>
  <c r="T2248" i="1" s="1"/>
  <c r="Q2249" i="1"/>
  <c r="S2249" i="1" s="1"/>
  <c r="T2249" i="1" s="1"/>
  <c r="Q2250" i="1"/>
  <c r="S2250" i="1" s="1"/>
  <c r="T2250" i="1" s="1"/>
  <c r="Q2251" i="1"/>
  <c r="S2251" i="1" s="1"/>
  <c r="T2251" i="1" s="1"/>
  <c r="Q2252" i="1"/>
  <c r="S2252" i="1" s="1"/>
  <c r="T2252" i="1" s="1"/>
  <c r="Q2253" i="1"/>
  <c r="S2253" i="1" s="1"/>
  <c r="T2253" i="1" s="1"/>
  <c r="Q2254" i="1"/>
  <c r="S2254" i="1" s="1"/>
  <c r="T2254" i="1" s="1"/>
  <c r="Q2255" i="1"/>
  <c r="S2255" i="1" s="1"/>
  <c r="T2255" i="1" s="1"/>
  <c r="Q2256" i="1"/>
  <c r="S2256" i="1" s="1"/>
  <c r="T2256" i="1" s="1"/>
  <c r="Q2257" i="1"/>
  <c r="S2257" i="1" s="1"/>
  <c r="T2257" i="1" s="1"/>
  <c r="Q2258" i="1"/>
  <c r="S2258" i="1" s="1"/>
  <c r="T2258" i="1" s="1"/>
  <c r="Q2259" i="1"/>
  <c r="S2259" i="1" s="1"/>
  <c r="T2259" i="1" s="1"/>
  <c r="Q2260" i="1"/>
  <c r="S2260" i="1" s="1"/>
  <c r="T2260" i="1" s="1"/>
  <c r="Q2261" i="1"/>
  <c r="S2261" i="1" s="1"/>
  <c r="T2261" i="1" s="1"/>
  <c r="Q2262" i="1"/>
  <c r="S2262" i="1" s="1"/>
  <c r="T2262" i="1" s="1"/>
  <c r="Q2263" i="1"/>
  <c r="S2263" i="1" s="1"/>
  <c r="T2263" i="1" s="1"/>
  <c r="Q2264" i="1"/>
  <c r="S2264" i="1" s="1"/>
  <c r="T2264" i="1" s="1"/>
  <c r="Q2265" i="1"/>
  <c r="S2265" i="1" s="1"/>
  <c r="T2265" i="1" s="1"/>
  <c r="Q2266" i="1"/>
  <c r="S2266" i="1" s="1"/>
  <c r="T2266" i="1" s="1"/>
  <c r="Q2267" i="1"/>
  <c r="S2267" i="1" s="1"/>
  <c r="T2267" i="1" s="1"/>
  <c r="Q2268" i="1"/>
  <c r="S2268" i="1" s="1"/>
  <c r="T2268" i="1" s="1"/>
  <c r="Q2269" i="1"/>
  <c r="S2269" i="1" s="1"/>
  <c r="T2269" i="1" s="1"/>
  <c r="Q2270" i="1"/>
  <c r="S2270" i="1" s="1"/>
  <c r="T2270" i="1" s="1"/>
  <c r="Q2271" i="1"/>
  <c r="S2271" i="1" s="1"/>
  <c r="T2271" i="1" s="1"/>
  <c r="Q2272" i="1"/>
  <c r="S2272" i="1" s="1"/>
  <c r="T2272" i="1" s="1"/>
  <c r="Q2273" i="1"/>
  <c r="S2273" i="1" s="1"/>
  <c r="T2273" i="1" s="1"/>
  <c r="Q2274" i="1"/>
  <c r="S2274" i="1" s="1"/>
  <c r="T2274" i="1" s="1"/>
  <c r="Q2275" i="1"/>
  <c r="S2275" i="1" s="1"/>
  <c r="T2275" i="1" s="1"/>
  <c r="Q2276" i="1"/>
  <c r="S2276" i="1" s="1"/>
  <c r="T2276" i="1" s="1"/>
  <c r="Q2277" i="1"/>
  <c r="S2277" i="1" s="1"/>
  <c r="T2277" i="1" s="1"/>
  <c r="Q2278" i="1"/>
  <c r="S2278" i="1" s="1"/>
  <c r="T2278" i="1" s="1"/>
  <c r="Q2279" i="1"/>
  <c r="S2279" i="1" s="1"/>
  <c r="T2279" i="1" s="1"/>
  <c r="Q2280" i="1"/>
  <c r="S2280" i="1" s="1"/>
  <c r="T2280" i="1" s="1"/>
  <c r="Q2281" i="1"/>
  <c r="S2281" i="1" s="1"/>
  <c r="T2281" i="1" s="1"/>
  <c r="Q2282" i="1"/>
  <c r="S2282" i="1" s="1"/>
  <c r="T2282" i="1" s="1"/>
  <c r="Q2283" i="1"/>
  <c r="S2283" i="1" s="1"/>
  <c r="T2283" i="1" s="1"/>
  <c r="Q2284" i="1"/>
  <c r="S2284" i="1" s="1"/>
  <c r="T2284" i="1" s="1"/>
  <c r="Q2285" i="1"/>
  <c r="S2285" i="1" s="1"/>
  <c r="T2285" i="1" s="1"/>
  <c r="Q2286" i="1"/>
  <c r="S2286" i="1" s="1"/>
  <c r="T2286" i="1" s="1"/>
  <c r="Q2287" i="1"/>
  <c r="S2287" i="1" s="1"/>
  <c r="T2287" i="1" s="1"/>
  <c r="Q2288" i="1"/>
  <c r="S2288" i="1" s="1"/>
  <c r="T2288" i="1" s="1"/>
  <c r="Q2289" i="1"/>
  <c r="S2289" i="1" s="1"/>
  <c r="T2289" i="1" s="1"/>
  <c r="Q2290" i="1"/>
  <c r="S2290" i="1" s="1"/>
  <c r="T2290" i="1" s="1"/>
  <c r="Q2291" i="1"/>
  <c r="S2291" i="1" s="1"/>
  <c r="T2291" i="1" s="1"/>
  <c r="Q2292" i="1"/>
  <c r="S2292" i="1" s="1"/>
  <c r="T2292" i="1" s="1"/>
  <c r="Q2293" i="1"/>
  <c r="S2293" i="1" s="1"/>
  <c r="T2293" i="1" s="1"/>
  <c r="Q2294" i="1"/>
  <c r="S2294" i="1" s="1"/>
  <c r="T2294" i="1" s="1"/>
  <c r="Q2295" i="1"/>
  <c r="S2295" i="1" s="1"/>
  <c r="T2295" i="1" s="1"/>
  <c r="Q2296" i="1"/>
  <c r="S2296" i="1" s="1"/>
  <c r="T2296" i="1" s="1"/>
  <c r="Q2297" i="1"/>
  <c r="S2297" i="1" s="1"/>
  <c r="T2297" i="1" s="1"/>
  <c r="Q2298" i="1"/>
  <c r="S2298" i="1" s="1"/>
  <c r="T2298" i="1" s="1"/>
  <c r="Q2299" i="1"/>
  <c r="S2299" i="1" s="1"/>
  <c r="T2299" i="1" s="1"/>
  <c r="Q2300" i="1"/>
  <c r="S2300" i="1" s="1"/>
  <c r="T2300" i="1" s="1"/>
  <c r="Q2301" i="1"/>
  <c r="S2301" i="1" s="1"/>
  <c r="T2301" i="1" s="1"/>
  <c r="Q2302" i="1"/>
  <c r="S2302" i="1" s="1"/>
  <c r="T2302" i="1" s="1"/>
  <c r="Q2303" i="1"/>
  <c r="S2303" i="1" s="1"/>
  <c r="T2303" i="1" s="1"/>
  <c r="Q2304" i="1"/>
  <c r="S2304" i="1" s="1"/>
  <c r="T2304" i="1" s="1"/>
  <c r="Q2305" i="1"/>
  <c r="S2305" i="1" s="1"/>
  <c r="T2305" i="1" s="1"/>
  <c r="Q2306" i="1"/>
  <c r="S2306" i="1" s="1"/>
  <c r="T2306" i="1" s="1"/>
  <c r="Q2307" i="1"/>
  <c r="S2307" i="1" s="1"/>
  <c r="T2307" i="1" s="1"/>
  <c r="Q2308" i="1"/>
  <c r="S2308" i="1" s="1"/>
  <c r="T2308" i="1" s="1"/>
  <c r="Q2309" i="1"/>
  <c r="S2309" i="1" s="1"/>
  <c r="T2309" i="1" s="1"/>
  <c r="Q2310" i="1"/>
  <c r="S2310" i="1" s="1"/>
  <c r="T2310" i="1" s="1"/>
  <c r="Q2311" i="1"/>
  <c r="S2311" i="1" s="1"/>
  <c r="T2311" i="1" s="1"/>
  <c r="Q2312" i="1"/>
  <c r="S2312" i="1" s="1"/>
  <c r="T2312" i="1" s="1"/>
  <c r="Q2313" i="1"/>
  <c r="S2313" i="1" s="1"/>
  <c r="T2313" i="1" s="1"/>
  <c r="Q2314" i="1"/>
  <c r="S2314" i="1" s="1"/>
  <c r="T2314" i="1" s="1"/>
  <c r="Q2315" i="1"/>
  <c r="S2315" i="1" s="1"/>
  <c r="T2315" i="1" s="1"/>
  <c r="Q2316" i="1"/>
  <c r="S2316" i="1" s="1"/>
  <c r="T2316" i="1" s="1"/>
  <c r="Q2317" i="1"/>
  <c r="S2317" i="1" s="1"/>
  <c r="T2317" i="1" s="1"/>
  <c r="Q2318" i="1"/>
  <c r="S2318" i="1" s="1"/>
  <c r="T2318" i="1" s="1"/>
  <c r="Q2319" i="1"/>
  <c r="S2319" i="1" s="1"/>
  <c r="T2319" i="1" s="1"/>
  <c r="Q2320" i="1"/>
  <c r="S2320" i="1" s="1"/>
  <c r="T2320" i="1" s="1"/>
  <c r="Q2321" i="1"/>
  <c r="S2321" i="1" s="1"/>
  <c r="T2321" i="1" s="1"/>
  <c r="Q2322" i="1"/>
  <c r="S2322" i="1" s="1"/>
  <c r="T2322" i="1" s="1"/>
  <c r="Q2323" i="1"/>
  <c r="S2323" i="1" s="1"/>
  <c r="T2323" i="1" s="1"/>
  <c r="Q2324" i="1"/>
  <c r="S2324" i="1" s="1"/>
  <c r="T2324" i="1" s="1"/>
  <c r="Q2325" i="1"/>
  <c r="S2325" i="1" s="1"/>
  <c r="T2325" i="1" s="1"/>
  <c r="Q2326" i="1"/>
  <c r="S2326" i="1" s="1"/>
  <c r="T2326" i="1" s="1"/>
  <c r="Q2327" i="1"/>
  <c r="S2327" i="1" s="1"/>
  <c r="T2327" i="1" s="1"/>
  <c r="Q2328" i="1"/>
  <c r="S2328" i="1" s="1"/>
  <c r="T2328" i="1" s="1"/>
  <c r="Q2329" i="1"/>
  <c r="S2329" i="1" s="1"/>
  <c r="T2329" i="1" s="1"/>
  <c r="Q2330" i="1"/>
  <c r="S2330" i="1" s="1"/>
  <c r="T2330" i="1" s="1"/>
  <c r="Q2331" i="1"/>
  <c r="S2331" i="1" s="1"/>
  <c r="T2331" i="1" s="1"/>
  <c r="Q2332" i="1"/>
  <c r="S2332" i="1" s="1"/>
  <c r="T2332" i="1" s="1"/>
  <c r="Q2333" i="1"/>
  <c r="S2333" i="1" s="1"/>
  <c r="T2333" i="1" s="1"/>
  <c r="Q2334" i="1"/>
  <c r="S2334" i="1" s="1"/>
  <c r="T2334" i="1" s="1"/>
  <c r="Q2335" i="1"/>
  <c r="S2335" i="1" s="1"/>
  <c r="T2335" i="1" s="1"/>
  <c r="Q2336" i="1"/>
  <c r="S2336" i="1" s="1"/>
  <c r="T2336" i="1" s="1"/>
  <c r="Q2337" i="1"/>
  <c r="S2337" i="1" s="1"/>
  <c r="T2337" i="1" s="1"/>
  <c r="Q2338" i="1"/>
  <c r="S2338" i="1" s="1"/>
  <c r="T2338" i="1" s="1"/>
  <c r="Q2339" i="1"/>
  <c r="S2339" i="1" s="1"/>
  <c r="T2339" i="1" s="1"/>
  <c r="Q2340" i="1"/>
  <c r="S2340" i="1" s="1"/>
  <c r="T2340" i="1" s="1"/>
  <c r="Q2341" i="1"/>
  <c r="S2341" i="1" s="1"/>
  <c r="T2341" i="1" s="1"/>
  <c r="Q2342" i="1"/>
  <c r="S2342" i="1" s="1"/>
  <c r="T2342" i="1" s="1"/>
  <c r="Q2343" i="1"/>
  <c r="S2343" i="1" s="1"/>
  <c r="T2343" i="1" s="1"/>
  <c r="Q2344" i="1"/>
  <c r="S2344" i="1" s="1"/>
  <c r="T2344" i="1" s="1"/>
  <c r="Q2345" i="1"/>
  <c r="S2345" i="1" s="1"/>
  <c r="T2345" i="1" s="1"/>
  <c r="Q2346" i="1"/>
  <c r="S2346" i="1" s="1"/>
  <c r="T2346" i="1" s="1"/>
  <c r="Q2347" i="1"/>
  <c r="S2347" i="1" s="1"/>
  <c r="T2347" i="1" s="1"/>
  <c r="Q2348" i="1"/>
  <c r="S2348" i="1" s="1"/>
  <c r="T2348" i="1" s="1"/>
  <c r="Q2349" i="1"/>
  <c r="S2349" i="1" s="1"/>
  <c r="T2349" i="1" s="1"/>
  <c r="Q2350" i="1"/>
  <c r="S2350" i="1" s="1"/>
  <c r="T2350" i="1" s="1"/>
  <c r="Q2351" i="1"/>
  <c r="S2351" i="1" s="1"/>
  <c r="T2351" i="1" s="1"/>
  <c r="Q2352" i="1"/>
  <c r="S2352" i="1" s="1"/>
  <c r="T2352" i="1" s="1"/>
  <c r="Q2353" i="1"/>
  <c r="S2353" i="1" s="1"/>
  <c r="T2353" i="1" s="1"/>
  <c r="Q2354" i="1"/>
  <c r="S2354" i="1" s="1"/>
  <c r="T2354" i="1" s="1"/>
  <c r="Q2355" i="1"/>
  <c r="S2355" i="1" s="1"/>
  <c r="T2355" i="1" s="1"/>
  <c r="Q2356" i="1"/>
  <c r="S2356" i="1" s="1"/>
  <c r="T2356" i="1" s="1"/>
  <c r="Q2357" i="1"/>
  <c r="S2357" i="1" s="1"/>
  <c r="T2357" i="1" s="1"/>
  <c r="Q2358" i="1"/>
  <c r="S2358" i="1" s="1"/>
  <c r="T2358" i="1" s="1"/>
  <c r="Q2359" i="1"/>
  <c r="S2359" i="1" s="1"/>
  <c r="T2359" i="1" s="1"/>
  <c r="Q2360" i="1"/>
  <c r="S2360" i="1" s="1"/>
  <c r="T2360" i="1" s="1"/>
  <c r="Q2361" i="1"/>
  <c r="S2361" i="1" s="1"/>
  <c r="T2361" i="1" s="1"/>
  <c r="Q2362" i="1"/>
  <c r="S2362" i="1" s="1"/>
  <c r="T2362" i="1" s="1"/>
  <c r="Q2363" i="1"/>
  <c r="S2363" i="1" s="1"/>
  <c r="T2363" i="1" s="1"/>
  <c r="Q2364" i="1"/>
  <c r="S2364" i="1" s="1"/>
  <c r="T2364" i="1" s="1"/>
  <c r="Q2365" i="1"/>
  <c r="S2365" i="1" s="1"/>
  <c r="T2365" i="1" s="1"/>
  <c r="Q2366" i="1"/>
  <c r="S2366" i="1" s="1"/>
  <c r="T2366" i="1" s="1"/>
  <c r="Q2367" i="1"/>
  <c r="S2367" i="1" s="1"/>
  <c r="T2367" i="1" s="1"/>
  <c r="Q2368" i="1"/>
  <c r="S2368" i="1" s="1"/>
  <c r="T2368" i="1" s="1"/>
  <c r="Q2369" i="1"/>
  <c r="S2369" i="1" s="1"/>
  <c r="T2369" i="1" s="1"/>
  <c r="Q2370" i="1"/>
  <c r="S2370" i="1" s="1"/>
  <c r="T2370" i="1" s="1"/>
  <c r="Q2371" i="1"/>
  <c r="S2371" i="1" s="1"/>
  <c r="T2371" i="1" s="1"/>
  <c r="Q2372" i="1"/>
  <c r="S2372" i="1" s="1"/>
  <c r="T2372" i="1" s="1"/>
  <c r="Q2373" i="1"/>
  <c r="S2373" i="1" s="1"/>
  <c r="T2373" i="1" s="1"/>
  <c r="Q2374" i="1"/>
  <c r="S2374" i="1" s="1"/>
  <c r="T2374" i="1" s="1"/>
  <c r="Q2375" i="1"/>
  <c r="S2375" i="1" s="1"/>
  <c r="T2375" i="1" s="1"/>
  <c r="Q2376" i="1"/>
  <c r="S2376" i="1" s="1"/>
  <c r="T2376" i="1" s="1"/>
  <c r="Q2377" i="1"/>
  <c r="S2377" i="1" s="1"/>
  <c r="T2377" i="1" s="1"/>
  <c r="Q2378" i="1"/>
  <c r="S2378" i="1" s="1"/>
  <c r="T2378" i="1" s="1"/>
  <c r="Q2379" i="1"/>
  <c r="S2379" i="1" s="1"/>
  <c r="T2379" i="1" s="1"/>
  <c r="Q2380" i="1"/>
  <c r="S2380" i="1" s="1"/>
  <c r="T2380" i="1" s="1"/>
  <c r="Q2381" i="1"/>
  <c r="S2381" i="1" s="1"/>
  <c r="T2381" i="1" s="1"/>
  <c r="Q2382" i="1"/>
  <c r="S2382" i="1" s="1"/>
  <c r="T2382" i="1" s="1"/>
  <c r="Q2383" i="1"/>
  <c r="S2383" i="1" s="1"/>
  <c r="T2383" i="1" s="1"/>
  <c r="Q2384" i="1"/>
  <c r="S2384" i="1" s="1"/>
  <c r="T2384" i="1" s="1"/>
  <c r="Q2385" i="1"/>
  <c r="S2385" i="1" s="1"/>
  <c r="T2385" i="1" s="1"/>
  <c r="Q2386" i="1"/>
  <c r="S2386" i="1" s="1"/>
  <c r="T2386" i="1" s="1"/>
  <c r="Q2387" i="1"/>
  <c r="S2387" i="1" s="1"/>
  <c r="T2387" i="1" s="1"/>
  <c r="Q2388" i="1"/>
  <c r="S2388" i="1" s="1"/>
  <c r="T2388" i="1" s="1"/>
  <c r="Q2389" i="1"/>
  <c r="S2389" i="1" s="1"/>
  <c r="T2389" i="1" s="1"/>
  <c r="Q2390" i="1"/>
  <c r="S2390" i="1" s="1"/>
  <c r="T2390" i="1" s="1"/>
  <c r="Q2391" i="1"/>
  <c r="S2391" i="1" s="1"/>
  <c r="T2391" i="1" s="1"/>
  <c r="Q2392" i="1"/>
  <c r="S2392" i="1" s="1"/>
  <c r="T2392" i="1" s="1"/>
  <c r="Q2393" i="1"/>
  <c r="S2393" i="1" s="1"/>
  <c r="T2393" i="1" s="1"/>
  <c r="Q2394" i="1"/>
  <c r="S2394" i="1" s="1"/>
  <c r="T2394" i="1" s="1"/>
  <c r="Q2395" i="1"/>
  <c r="S2395" i="1" s="1"/>
  <c r="T2395" i="1" s="1"/>
  <c r="Q2396" i="1"/>
  <c r="S2396" i="1" s="1"/>
  <c r="T2396" i="1" s="1"/>
  <c r="Q2397" i="1"/>
  <c r="S2397" i="1" s="1"/>
  <c r="T2397" i="1" s="1"/>
  <c r="Q2398" i="1"/>
  <c r="S2398" i="1" s="1"/>
  <c r="T2398" i="1" s="1"/>
  <c r="Q2399" i="1"/>
  <c r="S2399" i="1" s="1"/>
  <c r="T2399" i="1" s="1"/>
  <c r="Q2400" i="1"/>
  <c r="S2400" i="1" s="1"/>
  <c r="T2400" i="1" s="1"/>
  <c r="Q2401" i="1"/>
  <c r="S2401" i="1" s="1"/>
  <c r="T2401" i="1" s="1"/>
  <c r="Q2402" i="1"/>
  <c r="S2402" i="1" s="1"/>
  <c r="T2402" i="1" s="1"/>
  <c r="Q2403" i="1"/>
  <c r="S2403" i="1" s="1"/>
  <c r="T2403" i="1" s="1"/>
  <c r="Q2404" i="1"/>
  <c r="S2404" i="1" s="1"/>
  <c r="T2404" i="1" s="1"/>
  <c r="Q2405" i="1"/>
  <c r="S2405" i="1" s="1"/>
  <c r="T2405" i="1" s="1"/>
  <c r="Q2406" i="1"/>
  <c r="S2406" i="1" s="1"/>
  <c r="T2406" i="1" s="1"/>
  <c r="Q2407" i="1"/>
  <c r="S2407" i="1" s="1"/>
  <c r="T2407" i="1" s="1"/>
  <c r="Q2408" i="1"/>
  <c r="S2408" i="1" s="1"/>
  <c r="T2408" i="1" s="1"/>
  <c r="Q2409" i="1"/>
  <c r="S2409" i="1" s="1"/>
  <c r="T2409" i="1" s="1"/>
  <c r="Q1" i="1"/>
  <c r="X10" i="1" l="1"/>
  <c r="X13" i="1" l="1"/>
  <c r="X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<sst xmlns="http://schemas.openxmlformats.org/spreadsheetml/2006/main" count="2439" uniqueCount="2439">
  <si>
    <t>Raster</t>
  </si>
  <si>
    <t>LAI</t>
  </si>
  <si>
    <t>PySR_b3</t>
  </si>
  <si>
    <t>Euqa_b3</t>
  </si>
  <si>
    <t>PySR_b5</t>
  </si>
  <si>
    <t>Euqa_b5</t>
  </si>
  <si>
    <t>ensemble_mean</t>
  </si>
  <si>
    <t>ensemble_geo_mean</t>
  </si>
  <si>
    <t>BAR_190627_1041_0001</t>
  </si>
  <si>
    <t>BAR_190627_1041_0002</t>
  </si>
  <si>
    <t>BAR_190627_1041_0003</t>
  </si>
  <si>
    <t>BAR_190627_1041_0004</t>
  </si>
  <si>
    <t>BAR_190627_1041_0005</t>
  </si>
  <si>
    <t>BAR_190627_1041_0006</t>
  </si>
  <si>
    <t>BAR_190627_1041_0007</t>
  </si>
  <si>
    <t>BAR_190627_1041_0008</t>
  </si>
  <si>
    <t>BAR_190627_1041_0009</t>
  </si>
  <si>
    <t>BAR_190627_1041_0010</t>
  </si>
  <si>
    <t>BAR_190627_1041_0011</t>
  </si>
  <si>
    <t>BAR_190627_1041_0012</t>
  </si>
  <si>
    <t>BAR_190627_1041_0013</t>
  </si>
  <si>
    <t>BAR_190627_1041_0014</t>
  </si>
  <si>
    <t>BAR_190627_1041_0015</t>
  </si>
  <si>
    <t>BAR_190627_1041_0016</t>
  </si>
  <si>
    <t>BAR_190627_1041_0017</t>
  </si>
  <si>
    <t>BAR_190627_1041_0018</t>
  </si>
  <si>
    <t>BAR_190627_1041_0019</t>
  </si>
  <si>
    <t>BAR_190627_1041_0020</t>
  </si>
  <si>
    <t>BAR_190627_1041_0021</t>
  </si>
  <si>
    <t>BAR_190627_1041_0022</t>
  </si>
  <si>
    <t>BAR_190627_1041_0023</t>
  </si>
  <si>
    <t>BAR_190627_1041_0024</t>
  </si>
  <si>
    <t>BAR_190627_1041_0025</t>
  </si>
  <si>
    <t>BAR_190627_1041_0026</t>
  </si>
  <si>
    <t>BAR_190627_1041_0027</t>
  </si>
  <si>
    <t>BAR_190627_1041_0028</t>
  </si>
  <si>
    <t>BAR_190627_1041_0029</t>
  </si>
  <si>
    <t>BAR_190627_1041_0030</t>
  </si>
  <si>
    <t>BAR_190627_1041_0031</t>
  </si>
  <si>
    <t>BAR_190627_1041_0032</t>
  </si>
  <si>
    <t>BAR_190627_1041_0033</t>
  </si>
  <si>
    <t>BAR_190627_1041_0034</t>
  </si>
  <si>
    <t>BAR_190627_1041_0035</t>
  </si>
  <si>
    <t>BAR_190627_1041_0036</t>
  </si>
  <si>
    <t>BAR_190627_1041_0037</t>
  </si>
  <si>
    <t>BAR_190627_1041_0038</t>
  </si>
  <si>
    <t>BAR_190627_1041_0039</t>
  </si>
  <si>
    <t>BAR_190627_1041_0040</t>
  </si>
  <si>
    <t>BAR_190627_1041_0041</t>
  </si>
  <si>
    <t>BAR_190627_1041_0042</t>
  </si>
  <si>
    <t>BAR_190627_1041_0043</t>
  </si>
  <si>
    <t>BAR_190627_1041_0044</t>
  </si>
  <si>
    <t>BAR_190627_1041_0045</t>
  </si>
  <si>
    <t>BAR_190627_1041_0046</t>
  </si>
  <si>
    <t>BAR_190627_1041_0047</t>
  </si>
  <si>
    <t>BAR_190627_1041_0048</t>
  </si>
  <si>
    <t>BAR_190627_1041_0049</t>
  </si>
  <si>
    <t>BAR_190627_1041_0050</t>
  </si>
  <si>
    <t>BAR_190627_1041_0051</t>
  </si>
  <si>
    <t>BAR_190627_1041_0052</t>
  </si>
  <si>
    <t>BAR_190627_1041_0053</t>
  </si>
  <si>
    <t>BAR_190627_1041_0054</t>
  </si>
  <si>
    <t>BAR_190627_1041_0055</t>
  </si>
  <si>
    <t>BAR_190627_1041_0056</t>
  </si>
  <si>
    <t>BAR_190627_1041_0057</t>
  </si>
  <si>
    <t>BAR_190627_1041_0058</t>
  </si>
  <si>
    <t>BAR_190627_1041_0059</t>
  </si>
  <si>
    <t>BAR_190627_1041_0060</t>
  </si>
  <si>
    <t>BAR_190627_1041_0061</t>
  </si>
  <si>
    <t>BAR_190627_1041_0062</t>
  </si>
  <si>
    <t>BAR_190627_1041_0063</t>
  </si>
  <si>
    <t>BAR_190627_1041_0064</t>
  </si>
  <si>
    <t>BAR_190627_1041_0065</t>
  </si>
  <si>
    <t>BAR_190627_1041_0066</t>
  </si>
  <si>
    <t>BAR_190627_1041_0067</t>
  </si>
  <si>
    <t>BAR_190627_1041_0068</t>
  </si>
  <si>
    <t>BAR_190627_1041_0069</t>
  </si>
  <si>
    <t>BAR_190627_1041_0070</t>
  </si>
  <si>
    <t>BAR_190627_1041_0071</t>
  </si>
  <si>
    <t>BAR_190627_1041_0072</t>
  </si>
  <si>
    <t>BAR_190627_1041_0073</t>
  </si>
  <si>
    <t>BAR_190627_1041_0074</t>
  </si>
  <si>
    <t>BAR_190627_1041_0075</t>
  </si>
  <si>
    <t>BAR_190627_1041_0076</t>
  </si>
  <si>
    <t>BAR_190627_1041_0077</t>
  </si>
  <si>
    <t>BAR_190627_1041_0078</t>
  </si>
  <si>
    <t>BAR_190627_1041_0079</t>
  </si>
  <si>
    <t>BAR_190627_1041_0080</t>
  </si>
  <si>
    <t>BAR_190627_1041_0081</t>
  </si>
  <si>
    <t>BAR_190627_1041_0082</t>
  </si>
  <si>
    <t>BAR_190627_1041_0083</t>
  </si>
  <si>
    <t>BAR_190627_1041_0084</t>
  </si>
  <si>
    <t>BAR_190627_1041_0085</t>
  </si>
  <si>
    <t>BAR_190627_1041_0086</t>
  </si>
  <si>
    <t>BAR_190627_1041_0087</t>
  </si>
  <si>
    <t>BAR_190627_1041_0088</t>
  </si>
  <si>
    <t>BAR_190627_1041_0089</t>
  </si>
  <si>
    <t>BAR_190627_1041_0090</t>
  </si>
  <si>
    <t>BAR_190627_1041_0091</t>
  </si>
  <si>
    <t>BAR_190627_1041_0092</t>
  </si>
  <si>
    <t>BAR_190627_1041_0093</t>
  </si>
  <si>
    <t>BAR_190627_1041_0094</t>
  </si>
  <si>
    <t>BAR_190627_1041_0095</t>
  </si>
  <si>
    <t>BAR_190627_1041_0096</t>
  </si>
  <si>
    <t>BAR_190627_1041_0097</t>
  </si>
  <si>
    <t>BAR_190627_1041_0098</t>
  </si>
  <si>
    <t>BAR_190627_1041_0099</t>
  </si>
  <si>
    <t>BAR_190627_1041_0100</t>
  </si>
  <si>
    <t>BAR_190627_1041_0101</t>
  </si>
  <si>
    <t>BAR_190627_1041_0102</t>
  </si>
  <si>
    <t>BAR_190627_1041_0103</t>
  </si>
  <si>
    <t>BAR_190627_1041_0104</t>
  </si>
  <si>
    <t>BAR_190627_1041_0105</t>
  </si>
  <si>
    <t>BAR_190627_1041_0106</t>
  </si>
  <si>
    <t>BAR_190627_1041_0107</t>
  </si>
  <si>
    <t>BAR_190627_1041_0108</t>
  </si>
  <si>
    <t>BAR_190627_1041_0109</t>
  </si>
  <si>
    <t>BAR_190627_1041_0110</t>
  </si>
  <si>
    <t>BAR_190627_1041_0111</t>
  </si>
  <si>
    <t>BAR_190627_1041_0112</t>
  </si>
  <si>
    <t>BAR_190627_1041_0113</t>
  </si>
  <si>
    <t>BAR_190627_1041_0114</t>
  </si>
  <si>
    <t>BAR_190627_1041_0115</t>
  </si>
  <si>
    <t>BAR_190627_1041_0116</t>
  </si>
  <si>
    <t>BAR_190627_1041_0117</t>
  </si>
  <si>
    <t>BAR_190627_1041_0118</t>
  </si>
  <si>
    <t>BAR_190627_1041_0119</t>
  </si>
  <si>
    <t>BAR_190627_1041_0120</t>
  </si>
  <si>
    <t>BAR_190627_1041_0121</t>
  </si>
  <si>
    <t>BAR_190627_1041_0122</t>
  </si>
  <si>
    <t>BAR_190627_1041_0123</t>
  </si>
  <si>
    <t>BAR_190627_1041_0124</t>
  </si>
  <si>
    <t>BAR_190627_1041_0125</t>
  </si>
  <si>
    <t>BAR_190627_1041_0126</t>
  </si>
  <si>
    <t>BAR_190627_1041_0127</t>
  </si>
  <si>
    <t>BAR_190627_1041_0128</t>
  </si>
  <si>
    <t>BAR_190627_1041_0129</t>
  </si>
  <si>
    <t>BAR_190627_1041_0130</t>
  </si>
  <si>
    <t>BAR_190627_1041_0131</t>
  </si>
  <si>
    <t>BAR_190627_1041_0132</t>
  </si>
  <si>
    <t>BAR_190627_1041_0133</t>
  </si>
  <si>
    <t>BAR_190627_1041_0134</t>
  </si>
  <si>
    <t>BAR_190627_1041_0135</t>
  </si>
  <si>
    <t>BAR_190627_1041_0136</t>
  </si>
  <si>
    <t>BAR_190627_1041_0137</t>
  </si>
  <si>
    <t>BAR_190627_1041_0138</t>
  </si>
  <si>
    <t>BAR_190627_1041_0139</t>
  </si>
  <si>
    <t>BAR_190627_1041_0140</t>
  </si>
  <si>
    <t>BAR_190627_1041_0141</t>
  </si>
  <si>
    <t>BAR_190627_1041_0142</t>
  </si>
  <si>
    <t>BAR_190627_1041_0143</t>
  </si>
  <si>
    <t>BAR_190627_1041_0144</t>
  </si>
  <si>
    <t>BAR_190627_1041_0145</t>
  </si>
  <si>
    <t>BAR_190627_1041_0146</t>
  </si>
  <si>
    <t>BAR_190627_1041_0147</t>
  </si>
  <si>
    <t>BAR_190627_1041_0148</t>
  </si>
  <si>
    <t>BAR_190627_1041_0149</t>
  </si>
  <si>
    <t>BAR_190627_1041_0150</t>
  </si>
  <si>
    <t>BAR_190627_1041_0151</t>
  </si>
  <si>
    <t>BAR_190627_1041_0152</t>
  </si>
  <si>
    <t>BAR_190627_1041_0153</t>
  </si>
  <si>
    <t>BAR_190627_1041_0154</t>
  </si>
  <si>
    <t>BAR_190627_1041_0155</t>
  </si>
  <si>
    <t>BAR_190627_1041_0156</t>
  </si>
  <si>
    <t>BAR_190627_1041_0157</t>
  </si>
  <si>
    <t>BAR_190627_1041_0158</t>
  </si>
  <si>
    <t>BAR_190627_1041_0159</t>
  </si>
  <si>
    <t>BAR_190627_1041_0160</t>
  </si>
  <si>
    <t>BAR_190627_1041_0161</t>
  </si>
  <si>
    <t>BAR_190627_1041_0162</t>
  </si>
  <si>
    <t>BAR_190627_1041_0163</t>
  </si>
  <si>
    <t>BAR_190627_1041_0164</t>
  </si>
  <si>
    <t>BAR_190627_1041_0165</t>
  </si>
  <si>
    <t>BAR_190627_1041_0166</t>
  </si>
  <si>
    <t>BAR_190627_1041_0167</t>
  </si>
  <si>
    <t>BAR_190627_1041_0168</t>
  </si>
  <si>
    <t>BAR_190627_1041_0169</t>
  </si>
  <si>
    <t>BAR_190627_1041_0170</t>
  </si>
  <si>
    <t>BAR_190627_1041_0171</t>
  </si>
  <si>
    <t>BAR_190627_1041_0172</t>
  </si>
  <si>
    <t>BAR_190627_1041_0173</t>
  </si>
  <si>
    <t>BAR_190627_1041_0174</t>
  </si>
  <si>
    <t>BAR_190627_1041_0175</t>
  </si>
  <si>
    <t>BAR_190627_1041_0176</t>
  </si>
  <si>
    <t>BAR_190627_1041_0177</t>
  </si>
  <si>
    <t>BAR_190627_1041_0178</t>
  </si>
  <si>
    <t>BAR_190627_1041_0179</t>
  </si>
  <si>
    <t>BAR_190627_1041_0180</t>
  </si>
  <si>
    <t>BAR_190627_1041_0181</t>
  </si>
  <si>
    <t>BAR_190627_1041_0182</t>
  </si>
  <si>
    <t>BAR_190627_1041_0183</t>
  </si>
  <si>
    <t>BAR_190627_1041_0184</t>
  </si>
  <si>
    <t>BAR_190627_1041_0185</t>
  </si>
  <si>
    <t>BAR_190627_1041_0186</t>
  </si>
  <si>
    <t>BAR_190627_1041_0187</t>
  </si>
  <si>
    <t>BAR_190627_1041_0188</t>
  </si>
  <si>
    <t>BAR_190627_1041_0189</t>
  </si>
  <si>
    <t>BAR_190627_1041_0190</t>
  </si>
  <si>
    <t>BAR_190627_1041_0191</t>
  </si>
  <si>
    <t>BAR_190627_1041_0192</t>
  </si>
  <si>
    <t>BAR_190627_1041_0193</t>
  </si>
  <si>
    <t>BAR_190627_1041_0194</t>
  </si>
  <si>
    <t>BAR_190627_1041_0195</t>
  </si>
  <si>
    <t>BAR_190627_1041_0196</t>
  </si>
  <si>
    <t>BAR_190627_1041_0197</t>
  </si>
  <si>
    <t>BAR_190627_1041_0198</t>
  </si>
  <si>
    <t>BAR_190627_1041_0199</t>
  </si>
  <si>
    <t>BAR_190627_1041_0200</t>
  </si>
  <si>
    <t>BAR_190627_1041_0201</t>
  </si>
  <si>
    <t>BAR_190627_1041_0202</t>
  </si>
  <si>
    <t>BAR_190627_1041_0203</t>
  </si>
  <si>
    <t>BAR_190627_1041_0204</t>
  </si>
  <si>
    <t>BAR_190627_1041_0205</t>
  </si>
  <si>
    <t>BAR_190627_1041_0206</t>
  </si>
  <si>
    <t>BAR_190627_1041_0207</t>
  </si>
  <si>
    <t>BAR_190627_1041_0208</t>
  </si>
  <si>
    <t>BAR_190627_1041_0209</t>
  </si>
  <si>
    <t>BAR_190627_1041_0210</t>
  </si>
  <si>
    <t>BAR_190627_1041_0211</t>
  </si>
  <si>
    <t>BAR_190627_1041_0212</t>
  </si>
  <si>
    <t>BAR_190627_1041_0213</t>
  </si>
  <si>
    <t>BAR_190627_1041_0214</t>
  </si>
  <si>
    <t>BAR_190627_1041_0215</t>
  </si>
  <si>
    <t>BAR_190627_1041_0216</t>
  </si>
  <si>
    <t>BAR_190627_1041_0217</t>
  </si>
  <si>
    <t>BAR_190627_1041_0218</t>
  </si>
  <si>
    <t>BAR_190627_1041_0219</t>
  </si>
  <si>
    <t>BAR_190627_1041_0220</t>
  </si>
  <si>
    <t>BAR_190627_1041_0221</t>
  </si>
  <si>
    <t>BAR_190627_1041_0222</t>
  </si>
  <si>
    <t>BAR_190627_1041_0223</t>
  </si>
  <si>
    <t>BAR_190627_1041_0224</t>
  </si>
  <si>
    <t>BAR_190627_1041_0225</t>
  </si>
  <si>
    <t>BAR_190627_1041_0226</t>
  </si>
  <si>
    <t>BAR_190627_1041_0227</t>
  </si>
  <si>
    <t>BAR_190627_1041_0228</t>
  </si>
  <si>
    <t>BAR_190627_1041_0229</t>
  </si>
  <si>
    <t>BAR_190627_1041_0230</t>
  </si>
  <si>
    <t>BAR_190627_1041_0231</t>
  </si>
  <si>
    <t>BAR_190627_1041_0232</t>
  </si>
  <si>
    <t>BAR_190627_1041_0233</t>
  </si>
  <si>
    <t>BAR_190627_1041_0234</t>
  </si>
  <si>
    <t>BAR_190627_1041_0235</t>
  </si>
  <si>
    <t>BAR_190627_1041_0236</t>
  </si>
  <si>
    <t>BAR_190627_1041_0237</t>
  </si>
  <si>
    <t>BAR_190627_1041_0238</t>
  </si>
  <si>
    <t>BAR_190627_1041_0239</t>
  </si>
  <si>
    <t>BAR_190627_1041_0240</t>
  </si>
  <si>
    <t>BAR_190627_1041_0241</t>
  </si>
  <si>
    <t>BAR_190627_1041_0242</t>
  </si>
  <si>
    <t>BAR_190627_1041_0243</t>
  </si>
  <si>
    <t>BAR_190627_1041_0244</t>
  </si>
  <si>
    <t>BAR_190627_1041_0245</t>
  </si>
  <si>
    <t>BAR_190627_1041_0246</t>
  </si>
  <si>
    <t>BAR_190627_1041_0247</t>
  </si>
  <si>
    <t>BAR_190627_1041_0248</t>
  </si>
  <si>
    <t>BAR_190627_1041_0249</t>
  </si>
  <si>
    <t>BAR_190627_1041_0250</t>
  </si>
  <si>
    <t>BAR_190627_1041_0251</t>
  </si>
  <si>
    <t>BAR_190627_1041_0252</t>
  </si>
  <si>
    <t>BAR_190627_1041_0253</t>
  </si>
  <si>
    <t>BAR_190627_1041_0254</t>
  </si>
  <si>
    <t>BAR_190627_1041_0255</t>
  </si>
  <si>
    <t>BAR_190627_1041_0256</t>
  </si>
  <si>
    <t>BAR_190627_1041_0257</t>
  </si>
  <si>
    <t>BAR_190627_1041_0258</t>
  </si>
  <si>
    <t>BAR_190627_1041_0259</t>
  </si>
  <si>
    <t>BAR_190627_1041_0260</t>
  </si>
  <si>
    <t>BAR_190627_1041_0261</t>
  </si>
  <si>
    <t>BAR_190627_1041_0262</t>
  </si>
  <si>
    <t>BAR_190627_1041_0263</t>
  </si>
  <si>
    <t>BAR_190627_1041_0264</t>
  </si>
  <si>
    <t>BAR_190627_1041_0265</t>
  </si>
  <si>
    <t>BAR_190627_1041_0266</t>
  </si>
  <si>
    <t>BAR_190627_1041_0267</t>
  </si>
  <si>
    <t>BAR_190627_1041_0268</t>
  </si>
  <si>
    <t>BAR_190627_1041_0269</t>
  </si>
  <si>
    <t>BAR_190627_1041_0270</t>
  </si>
  <si>
    <t>BAR_190627_1041_0271</t>
  </si>
  <si>
    <t>BAR_190627_1041_0272</t>
  </si>
  <si>
    <t>BAR_190627_1041_0273</t>
  </si>
  <si>
    <t>BAR_190627_1041_0274</t>
  </si>
  <si>
    <t>BAR_190627_1041_0275</t>
  </si>
  <si>
    <t>BAR_190627_1041_0276</t>
  </si>
  <si>
    <t>BAR_190627_1041_0277</t>
  </si>
  <si>
    <t>BAR_190627_1041_0278</t>
  </si>
  <si>
    <t>BAR_190627_1041_0279</t>
  </si>
  <si>
    <t>BAR_190627_1041_0280</t>
  </si>
  <si>
    <t>BAR_190627_1041_0281</t>
  </si>
  <si>
    <t>BAR_190627_1041_0282</t>
  </si>
  <si>
    <t>BAR_190627_1041_0283</t>
  </si>
  <si>
    <t>BAR_190627_1041_0284</t>
  </si>
  <si>
    <t>BAR_190627_1041_0285</t>
  </si>
  <si>
    <t>BAR_190627_1041_0286</t>
  </si>
  <si>
    <t>BAR_190627_1041_0287</t>
  </si>
  <si>
    <t>BAR_190627_1041_0288</t>
  </si>
  <si>
    <t>BAR_190627_1041_0289</t>
  </si>
  <si>
    <t>BAR_190627_1041_0290</t>
  </si>
  <si>
    <t>BAR_190627_1041_0291</t>
  </si>
  <si>
    <t>BAR_190627_1041_0292</t>
  </si>
  <si>
    <t>BAR_190627_1041_0293</t>
  </si>
  <si>
    <t>BAR_190627_1041_0294</t>
  </si>
  <si>
    <t>BAR_190627_1041_0295</t>
  </si>
  <si>
    <t>BAR_190627_1041_0296</t>
  </si>
  <si>
    <t>BAR_190627_1041_0297</t>
  </si>
  <si>
    <t>BAR_190627_1041_0298</t>
  </si>
  <si>
    <t>BAR_190627_1041_0299</t>
  </si>
  <si>
    <t>BAR_190627_1041_0300</t>
  </si>
  <si>
    <t>BAR_190627_1041_0301</t>
  </si>
  <si>
    <t>BAR_190627_1041_0302</t>
  </si>
  <si>
    <t>BAR_190627_1041_0303</t>
  </si>
  <si>
    <t>BAR_190627_1041_0304</t>
  </si>
  <si>
    <t>BAR_190627_1041_0305</t>
  </si>
  <si>
    <t>BAR_190627_1041_0306</t>
  </si>
  <si>
    <t>BAR_190627_1041_0307</t>
  </si>
  <si>
    <t>BAR_190627_1041_0308</t>
  </si>
  <si>
    <t>BAR_190627_1041_0309</t>
  </si>
  <si>
    <t>BAR_190627_1041_0310</t>
  </si>
  <si>
    <t>BAR_190627_1041_0311</t>
  </si>
  <si>
    <t>BAR_190627_1041_0312</t>
  </si>
  <si>
    <t>BAR_190627_1041_0313</t>
  </si>
  <si>
    <t>BAR_190627_1041_0314</t>
  </si>
  <si>
    <t>BAR_190627_1041_0315</t>
  </si>
  <si>
    <t>BAR_190627_1041_0316</t>
  </si>
  <si>
    <t>BAR_190627_1041_0317</t>
  </si>
  <si>
    <t>BAR_190627_1041_0318</t>
  </si>
  <si>
    <t>BAR_190627_1041_0319</t>
  </si>
  <si>
    <t>BAR_190627_1041_0320</t>
  </si>
  <si>
    <t>BAR_190627_1041_0321</t>
  </si>
  <si>
    <t>BAR_190627_1041_0322</t>
  </si>
  <si>
    <t>BAR_190627_1041_0323</t>
  </si>
  <si>
    <t>BAR_190627_1041_0324</t>
  </si>
  <si>
    <t>BAR_190627_1041_0325</t>
  </si>
  <si>
    <t>BAR_190627_1041_0326</t>
  </si>
  <si>
    <t>BAR_190627_1041_0327</t>
  </si>
  <si>
    <t>BAR_190627_1041_0328</t>
  </si>
  <si>
    <t>BAR_190627_1041_0329</t>
  </si>
  <si>
    <t>BAR_190627_1041_0330</t>
  </si>
  <si>
    <t>BAR_190627_1041_0331</t>
  </si>
  <si>
    <t>BAR_190627_1041_0332</t>
  </si>
  <si>
    <t>BAR_190627_1041_0333</t>
  </si>
  <si>
    <t>BAR_190627_1041_0334</t>
  </si>
  <si>
    <t>BAR_190627_1041_0335</t>
  </si>
  <si>
    <t>BAR_190627_1041_0336</t>
  </si>
  <si>
    <t>BAR_190627_1041_0337</t>
  </si>
  <si>
    <t>BAR_190627_1041_0338</t>
  </si>
  <si>
    <t>BAR_190627_1041_0339</t>
  </si>
  <si>
    <t>BAR_190627_1041_0340</t>
  </si>
  <si>
    <t>BAR_190627_1207_0001</t>
  </si>
  <si>
    <t>BAR_190627_1207_0002</t>
  </si>
  <si>
    <t>BAR_190627_1207_0003</t>
  </si>
  <si>
    <t>BAR_190627_1207_0004</t>
  </si>
  <si>
    <t>BAR_190627_1207_0005</t>
  </si>
  <si>
    <t>BAR_190627_1207_0006</t>
  </si>
  <si>
    <t>BAR_190627_1207_0007</t>
  </si>
  <si>
    <t>BAR_190627_1207_0008</t>
  </si>
  <si>
    <t>BAR_190627_1207_0009</t>
  </si>
  <si>
    <t>BAR_190627_1207_0010</t>
  </si>
  <si>
    <t>BAR_190627_1207_0011</t>
  </si>
  <si>
    <t>BAR_190627_1207_0012</t>
  </si>
  <si>
    <t>BAR_190627_1207_0013</t>
  </si>
  <si>
    <t>BAR_190627_1207_0014</t>
  </si>
  <si>
    <t>BAR_190627_1207_0015</t>
  </si>
  <si>
    <t>BAR_190627_1207_0016</t>
  </si>
  <si>
    <t>BAR_190627_1207_0017</t>
  </si>
  <si>
    <t>BAR_190627_1207_0018</t>
  </si>
  <si>
    <t>BAR_190627_1207_0019</t>
  </si>
  <si>
    <t>BAR_190627_1207_0020</t>
  </si>
  <si>
    <t>BAR_190627_1207_0021</t>
  </si>
  <si>
    <t>BAR_190627_1207_0022</t>
  </si>
  <si>
    <t>BAR_190627_1207_0023</t>
  </si>
  <si>
    <t>BAR_190627_1207_0024</t>
  </si>
  <si>
    <t>BAR_190627_1207_0025</t>
  </si>
  <si>
    <t>BAR_190627_1207_0026</t>
  </si>
  <si>
    <t>BAR_190627_1207_0027</t>
  </si>
  <si>
    <t>BAR_190627_1207_0028</t>
  </si>
  <si>
    <t>BAR_190627_1207_0029</t>
  </si>
  <si>
    <t>BAR_190627_1207_0030</t>
  </si>
  <si>
    <t>BAR_190627_1207_0031</t>
  </si>
  <si>
    <t>BAR_190627_1207_0032</t>
  </si>
  <si>
    <t>BAR_190627_1207_0033</t>
  </si>
  <si>
    <t>BAR_190627_1207_0034</t>
  </si>
  <si>
    <t>BAR_190627_1207_0035</t>
  </si>
  <si>
    <t>BAR_190627_1207_0036</t>
  </si>
  <si>
    <t>BAR_190627_1207_0037</t>
  </si>
  <si>
    <t>BAR_190627_1207_0038</t>
  </si>
  <si>
    <t>BAR_190627_1207_0039</t>
  </si>
  <si>
    <t>BAR_190627_1207_0040</t>
  </si>
  <si>
    <t>BAR_190627_1207_0041</t>
  </si>
  <si>
    <t>BAR_190627_1207_0042</t>
  </si>
  <si>
    <t>BAR_190627_1207_0043</t>
  </si>
  <si>
    <t>BAR_190627_1207_0044</t>
  </si>
  <si>
    <t>BAR_190627_1207_0045</t>
  </si>
  <si>
    <t>BAR_190627_1207_0046</t>
  </si>
  <si>
    <t>BAR_190627_1207_0047</t>
  </si>
  <si>
    <t>BAR_190627_1207_0048</t>
  </si>
  <si>
    <t>BAR_190627_1207_0049</t>
  </si>
  <si>
    <t>BAR_190627_1207_0050</t>
  </si>
  <si>
    <t>BAR_190627_1207_0051</t>
  </si>
  <si>
    <t>BAR_190627_1207_0052</t>
  </si>
  <si>
    <t>BAR_190627_1207_0053</t>
  </si>
  <si>
    <t>BAR_190627_1207_0054</t>
  </si>
  <si>
    <t>BAR_190627_1207_0055</t>
  </si>
  <si>
    <t>BAR_190627_1207_0056</t>
  </si>
  <si>
    <t>BAR_190627_1207_0057</t>
  </si>
  <si>
    <t>BAR_190627_1207_0058</t>
  </si>
  <si>
    <t>BAR_190627_1207_0059</t>
  </si>
  <si>
    <t>BAR_190627_1207_0060</t>
  </si>
  <si>
    <t>BAR_190627_1207_0061</t>
  </si>
  <si>
    <t>BAR_190627_1207_0062</t>
  </si>
  <si>
    <t>BAR_190627_1207_0063</t>
  </si>
  <si>
    <t>BAR_190627_1207_0064</t>
  </si>
  <si>
    <t>BAR_190627_1207_0065</t>
  </si>
  <si>
    <t>BAR_190627_1207_0066</t>
  </si>
  <si>
    <t>BAR_190627_1207_0067</t>
  </si>
  <si>
    <t>BAR_190627_1207_0068</t>
  </si>
  <si>
    <t>BAR_190627_1207_0069</t>
  </si>
  <si>
    <t>BAR_190627_1207_0070</t>
  </si>
  <si>
    <t>BAR_190627_1207_0071</t>
  </si>
  <si>
    <t>BAR_190627_1207_0072</t>
  </si>
  <si>
    <t>BAR_190627_1207_0073</t>
  </si>
  <si>
    <t>BAR_190627_1207_0074</t>
  </si>
  <si>
    <t>BAR_190627_1207_0075</t>
  </si>
  <si>
    <t>BAR_190627_1207_0077</t>
  </si>
  <si>
    <t>BAR_190627_1207_0078</t>
  </si>
  <si>
    <t>BAR_190627_1207_0079</t>
  </si>
  <si>
    <t>BAR_190627_1207_0080</t>
  </si>
  <si>
    <t>BAR_190627_1207_0082</t>
  </si>
  <si>
    <t>BAR_190627_1207_0083</t>
  </si>
  <si>
    <t>BAR_190627_1207_0084</t>
  </si>
  <si>
    <t>BAR_190627_1207_0085</t>
  </si>
  <si>
    <t>BAR_190627_1207_0086</t>
  </si>
  <si>
    <t>BAR_190627_1207_0087</t>
  </si>
  <si>
    <t>BAR_190627_1207_0088</t>
  </si>
  <si>
    <t>BAR_190627_1207_0089</t>
  </si>
  <si>
    <t>BAR_190627_1207_0090</t>
  </si>
  <si>
    <t>BAR_190627_1207_0091</t>
  </si>
  <si>
    <t>BAR_190627_1207_0092</t>
  </si>
  <si>
    <t>BAR_190627_1207_0093</t>
  </si>
  <si>
    <t>BAR_190627_1207_0094</t>
  </si>
  <si>
    <t>BAR_190627_1207_0095</t>
  </si>
  <si>
    <t>BAR_190627_1207_0096</t>
  </si>
  <si>
    <t>BAR_190627_1207_0097</t>
  </si>
  <si>
    <t>BAR_190627_1207_0098</t>
  </si>
  <si>
    <t>BAR_190627_1207_0099</t>
  </si>
  <si>
    <t>BAR_190627_1207_0100</t>
  </si>
  <si>
    <t>BAR_190627_1207_0101</t>
  </si>
  <si>
    <t>BAR_190627_1207_0102</t>
  </si>
  <si>
    <t>BAR_190627_1207_0103</t>
  </si>
  <si>
    <t>BAR_190627_1207_0104</t>
  </si>
  <si>
    <t>BAR_190627_1207_0105</t>
  </si>
  <si>
    <t>BAR_190627_1207_0106</t>
  </si>
  <si>
    <t>BAR_190627_1207_0107</t>
  </si>
  <si>
    <t>BAR_190627_1207_0108</t>
  </si>
  <si>
    <t>BAR_190627_1207_0109</t>
  </si>
  <si>
    <t>BAR_190627_1207_0110</t>
  </si>
  <si>
    <t>BAR_190627_1207_0111</t>
  </si>
  <si>
    <t>BAR_190627_1207_0112</t>
  </si>
  <si>
    <t>BAR_190627_1207_0113</t>
  </si>
  <si>
    <t>BAR_190627_1207_0114</t>
  </si>
  <si>
    <t>BAR_190627_1207_0115</t>
  </si>
  <si>
    <t>BAR_190627_1207_0116</t>
  </si>
  <si>
    <t>BAR_190627_1207_0117</t>
  </si>
  <si>
    <t>BAR_190627_1207_0118</t>
  </si>
  <si>
    <t>BAR_190627_1207_0119</t>
  </si>
  <si>
    <t>BAR_190627_1207_0120</t>
  </si>
  <si>
    <t>BAR_190627_1207_0121</t>
  </si>
  <si>
    <t>BAR_190627_1207_0122</t>
  </si>
  <si>
    <t>BAR_190627_1207_0123</t>
  </si>
  <si>
    <t>BAR_190627_1207_0124</t>
  </si>
  <si>
    <t>BAR_190627_1207_0125</t>
  </si>
  <si>
    <t>BAR_190627_1207_0126</t>
  </si>
  <si>
    <t>BAR_190627_1207_0127</t>
  </si>
  <si>
    <t>BAR_190627_1207_0128</t>
  </si>
  <si>
    <t>BAR_190627_1207_0129</t>
  </si>
  <si>
    <t>BAR_190627_1207_0130</t>
  </si>
  <si>
    <t>BAR_190627_1207_0131</t>
  </si>
  <si>
    <t>BAR_190627_1207_0132</t>
  </si>
  <si>
    <t>BAR_190627_1207_0133</t>
  </si>
  <si>
    <t>BAR_190627_1207_0134</t>
  </si>
  <si>
    <t>BAR_190627_1207_0135</t>
  </si>
  <si>
    <t>BAR_190627_1207_0136</t>
  </si>
  <si>
    <t>BAR_190627_1207_0137</t>
  </si>
  <si>
    <t>BAR_190627_1207_0138</t>
  </si>
  <si>
    <t>BAR_190627_1207_0139</t>
  </si>
  <si>
    <t>BAR_190627_1207_0140</t>
  </si>
  <si>
    <t>BAR_190627_1207_0141</t>
  </si>
  <si>
    <t>BAR_190627_1207_0142</t>
  </si>
  <si>
    <t>BAR_190627_1207_0143</t>
  </si>
  <si>
    <t>BAR_190627_1207_0144</t>
  </si>
  <si>
    <t>BAR_190627_1207_0145</t>
  </si>
  <si>
    <t>BAR_190627_1207_0146</t>
  </si>
  <si>
    <t>BAR_190627_1207_0147</t>
  </si>
  <si>
    <t>BAR_190627_1207_0148</t>
  </si>
  <si>
    <t>BAR_190627_1207_0149</t>
  </si>
  <si>
    <t>BAR_190627_1207_0150</t>
  </si>
  <si>
    <t>BAR_190627_1207_0151</t>
  </si>
  <si>
    <t>BAR_190627_1207_0152</t>
  </si>
  <si>
    <t>BAR_190627_1207_0153</t>
  </si>
  <si>
    <t>BAR_190627_1207_0154</t>
  </si>
  <si>
    <t>BAR_190627_1207_0155</t>
  </si>
  <si>
    <t>BAR_190627_1207_0156</t>
  </si>
  <si>
    <t>BAR_190627_1207_0157</t>
  </si>
  <si>
    <t>BAR_190627_1207_0158</t>
  </si>
  <si>
    <t>BAR_190627_1207_0159</t>
  </si>
  <si>
    <t>BAR_190627_1207_0160</t>
  </si>
  <si>
    <t>BAR_190627_1207_0161</t>
  </si>
  <si>
    <t>BAR_190627_1207_0162</t>
  </si>
  <si>
    <t>BAR_190627_1207_0163</t>
  </si>
  <si>
    <t>BAR_190627_1207_0164</t>
  </si>
  <si>
    <t>BAR_190627_1207_0165</t>
  </si>
  <si>
    <t>BAR_190627_1207_0166</t>
  </si>
  <si>
    <t>BAR_190627_1207_0167</t>
  </si>
  <si>
    <t>BAR_190627_1207_0168</t>
  </si>
  <si>
    <t>BAR_190627_1207_0169</t>
  </si>
  <si>
    <t>BAR_190627_1207_0170</t>
  </si>
  <si>
    <t>BAR_190627_1207_0171</t>
  </si>
  <si>
    <t>BAR_190627_1207_0172</t>
  </si>
  <si>
    <t>BAR_190627_1207_0173</t>
  </si>
  <si>
    <t>BAR_190627_1207_0174</t>
  </si>
  <si>
    <t>BAR_190627_1207_0175</t>
  </si>
  <si>
    <t>BAR_190627_1207_0176</t>
  </si>
  <si>
    <t>BAR_190627_1207_0177</t>
  </si>
  <si>
    <t>BAR_190627_1207_0178</t>
  </si>
  <si>
    <t>BAR_190627_1207_0179</t>
  </si>
  <si>
    <t>BAR_190627_1207_0180</t>
  </si>
  <si>
    <t>BAR_190627_1207_0181</t>
  </si>
  <si>
    <t>BAR_190627_1207_0182</t>
  </si>
  <si>
    <t>BAR_190627_1207_0183</t>
  </si>
  <si>
    <t>BAR_190627_1207_0184</t>
  </si>
  <si>
    <t>BAR_190627_1207_0185</t>
  </si>
  <si>
    <t>BAR_190627_1207_0186</t>
  </si>
  <si>
    <t>BAR_190627_1207_0187</t>
  </si>
  <si>
    <t>BAR_190627_1207_0188</t>
  </si>
  <si>
    <t>BAR_190627_1207_0189</t>
  </si>
  <si>
    <t>BAR_190627_1207_0190</t>
  </si>
  <si>
    <t>BAR_190627_1207_0191</t>
  </si>
  <si>
    <t>BAR_190627_1207_0192</t>
  </si>
  <si>
    <t>BAR_190627_1207_0193</t>
  </si>
  <si>
    <t>BAR_190627_1207_0194</t>
  </si>
  <si>
    <t>BAR_190627_1207_0195</t>
  </si>
  <si>
    <t>BAR_190627_1207_0196</t>
  </si>
  <si>
    <t>BAR_190627_1207_0197</t>
  </si>
  <si>
    <t>BAR_190627_1207_0198</t>
  </si>
  <si>
    <t>BAR_190627_1207_0199</t>
  </si>
  <si>
    <t>BAR_190627_1207_0200</t>
  </si>
  <si>
    <t>BAR_190627_1207_0201</t>
  </si>
  <si>
    <t>BAR_190627_1207_0202</t>
  </si>
  <si>
    <t>BAR_190627_1207_0203</t>
  </si>
  <si>
    <t>BAR_190627_1207_0204</t>
  </si>
  <si>
    <t>BAR_190627_1207_0205</t>
  </si>
  <si>
    <t>BAR_190627_1207_0206</t>
  </si>
  <si>
    <t>BAR_190627_1207_0207</t>
  </si>
  <si>
    <t>BAR_190627_1207_0208</t>
  </si>
  <si>
    <t>BAR_190627_1207_0209</t>
  </si>
  <si>
    <t>BAR_190627_1207_0210</t>
  </si>
  <si>
    <t>BAR_190627_1207_0211</t>
  </si>
  <si>
    <t>BAR_190627_1207_0212</t>
  </si>
  <si>
    <t>BAR_190627_1207_0213</t>
  </si>
  <si>
    <t>BAR_190627_1207_0214</t>
  </si>
  <si>
    <t>BAR_190627_1207_0215</t>
  </si>
  <si>
    <t>BAR_190627_1207_0216</t>
  </si>
  <si>
    <t>BAR_190627_1207_0217</t>
  </si>
  <si>
    <t>BAR_190627_1207_0218</t>
  </si>
  <si>
    <t>BAR_190627_1207_0219</t>
  </si>
  <si>
    <t>BAR_190627_1207_0220</t>
  </si>
  <si>
    <t>BAR_190627_1207_0221</t>
  </si>
  <si>
    <t>BAR_190627_1207_0222</t>
  </si>
  <si>
    <t>BAR_190627_1207_0223</t>
  </si>
  <si>
    <t>BAR_190627_1207_0224</t>
  </si>
  <si>
    <t>BAR_190627_1207_0225</t>
  </si>
  <si>
    <t>BAR_190627_1207_0226</t>
  </si>
  <si>
    <t>BAR_190627_1207_0227</t>
  </si>
  <si>
    <t>BAR_190627_1207_0228</t>
  </si>
  <si>
    <t>BAR_190627_1207_0229</t>
  </si>
  <si>
    <t>BAR_190627_1207_0230</t>
  </si>
  <si>
    <t>BAR_190627_1207_0231</t>
  </si>
  <si>
    <t>BAR_190627_1207_0232</t>
  </si>
  <si>
    <t>BAR_190627_1207_0233</t>
  </si>
  <si>
    <t>BAR_190627_1207_0234</t>
  </si>
  <si>
    <t>BAR_190627_1207_0235</t>
  </si>
  <si>
    <t>BAR_190627_1207_0236</t>
  </si>
  <si>
    <t>BAR_190627_1207_0237</t>
  </si>
  <si>
    <t>BAR_190627_1207_0238</t>
  </si>
  <si>
    <t>BAR_190627_1207_0239</t>
  </si>
  <si>
    <t>BAR_190627_1207_0240</t>
  </si>
  <si>
    <t>BAR_190627_1207_0241</t>
  </si>
  <si>
    <t>BAR_190627_1207_0242</t>
  </si>
  <si>
    <t>BAR_190627_1207_0243</t>
  </si>
  <si>
    <t>BAR_190627_1207_0244</t>
  </si>
  <si>
    <t>BAR_190627_1207_0245</t>
  </si>
  <si>
    <t>BAR_190627_1207_0246</t>
  </si>
  <si>
    <t>BAR_190627_1207_0247</t>
  </si>
  <si>
    <t>BAR_190627_1207_0248</t>
  </si>
  <si>
    <t>BAR_190627_1207_0249</t>
  </si>
  <si>
    <t>BAR_190627_1207_0250</t>
  </si>
  <si>
    <t>BAR_190627_1207_0251</t>
  </si>
  <si>
    <t>BAR_190627_1207_0252</t>
  </si>
  <si>
    <t>BAR_190627_1207_0253</t>
  </si>
  <si>
    <t>BAR_190627_1207_0254</t>
  </si>
  <si>
    <t>BAR_190627_1207_0255</t>
  </si>
  <si>
    <t>BAR_190627_1207_0256</t>
  </si>
  <si>
    <t>BAR_190627_1207_0257</t>
  </si>
  <si>
    <t>BAR_190627_1207_0258</t>
  </si>
  <si>
    <t>BAR_190627_1207_0259</t>
  </si>
  <si>
    <t>BAR_190627_1207_0260</t>
  </si>
  <si>
    <t>BAR_190627_1207_0261</t>
  </si>
  <si>
    <t>BAR_190627_1207_0262</t>
  </si>
  <si>
    <t>BAR_190627_1207_0263</t>
  </si>
  <si>
    <t>BAR_190627_1207_0264</t>
  </si>
  <si>
    <t>BAR_190627_1207_0265</t>
  </si>
  <si>
    <t>BAR_190627_1207_0266</t>
  </si>
  <si>
    <t>BAR_190627_1207_0267</t>
  </si>
  <si>
    <t>BAR_190627_1207_0268</t>
  </si>
  <si>
    <t>BAR_190627_1207_0269</t>
  </si>
  <si>
    <t>BAR_190627_1207_0270</t>
  </si>
  <si>
    <t>BAR_190627_1207_0271</t>
  </si>
  <si>
    <t>BAR_190627_1207_0272</t>
  </si>
  <si>
    <t>BAR_190627_1207_0273</t>
  </si>
  <si>
    <t>BAR_190627_1207_0274</t>
  </si>
  <si>
    <t>BAR_190627_1207_0275</t>
  </si>
  <si>
    <t>BAR_190627_1207_0276</t>
  </si>
  <si>
    <t>BAR_190627_1207_0277</t>
  </si>
  <si>
    <t>BAR_190627_1207_0278</t>
  </si>
  <si>
    <t>BAR_190627_1207_0279</t>
  </si>
  <si>
    <t>BAR_190627_1207_0280</t>
  </si>
  <si>
    <t>BAR_190627_1207_0281</t>
  </si>
  <si>
    <t>BAR_190627_1207_0282</t>
  </si>
  <si>
    <t>BAR_190627_1207_0283</t>
  </si>
  <si>
    <t>BAR_190627_1207_0284</t>
  </si>
  <si>
    <t>BAR_190627_1207_0285</t>
  </si>
  <si>
    <t>BAR_190627_1207_0286</t>
  </si>
  <si>
    <t>BAR_190627_1207_0287</t>
  </si>
  <si>
    <t>BAR_190627_1207_0288</t>
  </si>
  <si>
    <t>BAR_190627_1207_0289</t>
  </si>
  <si>
    <t>BAR_190627_1207_0290</t>
  </si>
  <si>
    <t>BAR_190627_1207_0291</t>
  </si>
  <si>
    <t>BAR_190627_1207_0292</t>
  </si>
  <si>
    <t>BAR_190627_1207_0293</t>
  </si>
  <si>
    <t>BAR_190627_1207_0294</t>
  </si>
  <si>
    <t>BAR_190627_1207_0295</t>
  </si>
  <si>
    <t>BAR_190627_1207_0296</t>
  </si>
  <si>
    <t>BAR_190627_1207_0297</t>
  </si>
  <si>
    <t>BAR_190627_1207_0298</t>
  </si>
  <si>
    <t>BAR_190627_1207_0299</t>
  </si>
  <si>
    <t>BAR_190627_1207_0300</t>
  </si>
  <si>
    <t>BAR_190627_1207_0301</t>
  </si>
  <si>
    <t>BAR_190627_1207_0302</t>
  </si>
  <si>
    <t>BAR_190627_1207_0303</t>
  </si>
  <si>
    <t>BAR_190627_1207_0304</t>
  </si>
  <si>
    <t>BAR_190627_1207_0305</t>
  </si>
  <si>
    <t>BAR_190627_1207_0306</t>
  </si>
  <si>
    <t>BAR_190627_1207_0307</t>
  </si>
  <si>
    <t>BAR_190627_1207_0308</t>
  </si>
  <si>
    <t>BAR_190627_1207_0309</t>
  </si>
  <si>
    <t>BAR_190627_1207_0310</t>
  </si>
  <si>
    <t>BAR_190627_1207_0311</t>
  </si>
  <si>
    <t>BAR_190627_1207_0312</t>
  </si>
  <si>
    <t>BAR_190627_1207_0313</t>
  </si>
  <si>
    <t>BAR_190627_1207_0314</t>
  </si>
  <si>
    <t>BAR_190627_1207_0315</t>
  </si>
  <si>
    <t>BAR_190627_1207_0316</t>
  </si>
  <si>
    <t>BAR_190627_1207_0317</t>
  </si>
  <si>
    <t>BAR_190627_1207_0318</t>
  </si>
  <si>
    <t>BAR_190627_1207_0319</t>
  </si>
  <si>
    <t>BAR_190627_1207_0320</t>
  </si>
  <si>
    <t>BAR_190627_1207_0321</t>
  </si>
  <si>
    <t>BAR_190627_1207_0322</t>
  </si>
  <si>
    <t>BAR_190627_1207_0323</t>
  </si>
  <si>
    <t>BAR_190627_1207_0324</t>
  </si>
  <si>
    <t>BAR_190627_1207_0325</t>
  </si>
  <si>
    <t>BAR_190627_1207_0326</t>
  </si>
  <si>
    <t>BAR_190627_1207_0327</t>
  </si>
  <si>
    <t>BAR_190627_1207_0328</t>
  </si>
  <si>
    <t>BAR_190627_1207_0329</t>
  </si>
  <si>
    <t>BAR_190627_1207_0330</t>
  </si>
  <si>
    <t>BAR_190627_1207_0331</t>
  </si>
  <si>
    <t>BAR_190627_1207_0332</t>
  </si>
  <si>
    <t>BAR_190627_1207_0333</t>
  </si>
  <si>
    <t>BAR_190627_1207_0334</t>
  </si>
  <si>
    <t>BAR_190627_1207_0335</t>
  </si>
  <si>
    <t>BAR_190627_1207_0336</t>
  </si>
  <si>
    <t>BAR_190627_1207_0337</t>
  </si>
  <si>
    <t>BAR_190627_1207_0338</t>
  </si>
  <si>
    <t>BAR_190627_1207_0339</t>
  </si>
  <si>
    <t>BAR_190627_1207_0340</t>
  </si>
  <si>
    <t>BAR_190730_1028_0001</t>
  </si>
  <si>
    <t>BAR_190730_1028_0002</t>
  </si>
  <si>
    <t>BAR_190730_1028_0003</t>
  </si>
  <si>
    <t>BAR_190730_1028_0004</t>
  </si>
  <si>
    <t>BAR_190730_1028_0005</t>
  </si>
  <si>
    <t>BAR_190730_1028_0006</t>
  </si>
  <si>
    <t>BAR_190730_1028_0007</t>
  </si>
  <si>
    <t>BAR_190730_1028_0008</t>
  </si>
  <si>
    <t>BAR_190730_1028_0009</t>
  </si>
  <si>
    <t>BAR_190730_1028_0010</t>
  </si>
  <si>
    <t>BAR_190730_1028_0011</t>
  </si>
  <si>
    <t>BAR_190730_1028_0012</t>
  </si>
  <si>
    <t>BAR_190730_1028_0013</t>
  </si>
  <si>
    <t>BAR_190730_1028_0014</t>
  </si>
  <si>
    <t>BAR_190730_1028_0015</t>
  </si>
  <si>
    <t>BAR_190730_1028_0016</t>
  </si>
  <si>
    <t>BAR_190730_1028_0017</t>
  </si>
  <si>
    <t>BAR_190730_1028_0018</t>
  </si>
  <si>
    <t>BAR_190730_1028_0019</t>
  </si>
  <si>
    <t>BAR_190730_1028_0020</t>
  </si>
  <si>
    <t>BAR_190730_1028_0022</t>
  </si>
  <si>
    <t>BAR_190730_1028_0023</t>
  </si>
  <si>
    <t>BAR_190730_1028_0024</t>
  </si>
  <si>
    <t>BAR_190730_1028_0025</t>
  </si>
  <si>
    <t>BAR_190730_1028_0026</t>
  </si>
  <si>
    <t>BAR_190730_1028_0027</t>
  </si>
  <si>
    <t>BAR_190730_1028_0028</t>
  </si>
  <si>
    <t>BAR_190730_1028_0029</t>
  </si>
  <si>
    <t>BAR_190730_1028_0030</t>
  </si>
  <si>
    <t>BAR_190730_1028_0031</t>
  </si>
  <si>
    <t>BAR_190730_1028_0032</t>
  </si>
  <si>
    <t>BAR_190730_1028_0033</t>
  </si>
  <si>
    <t>BAR_190730_1028_0034</t>
  </si>
  <si>
    <t>BAR_190730_1028_0035</t>
  </si>
  <si>
    <t>BAR_190730_1028_0036</t>
  </si>
  <si>
    <t>BAR_190730_1028_0037</t>
  </si>
  <si>
    <t>BAR_190730_1028_0038</t>
  </si>
  <si>
    <t>BAR_190730_1028_0039</t>
  </si>
  <si>
    <t>BAR_190730_1028_0040</t>
  </si>
  <si>
    <t>BAR_190730_1028_0041</t>
  </si>
  <si>
    <t>BAR_190730_1028_0042</t>
  </si>
  <si>
    <t>BAR_190730_1028_0043</t>
  </si>
  <si>
    <t>BAR_190730_1028_0044</t>
  </si>
  <si>
    <t>BAR_190730_1028_0045</t>
  </si>
  <si>
    <t>BAR_190730_1028_0046</t>
  </si>
  <si>
    <t>BAR_190730_1028_0047</t>
  </si>
  <si>
    <t>BAR_190730_1028_0048</t>
  </si>
  <si>
    <t>BAR_190730_1028_0049</t>
  </si>
  <si>
    <t>BAR_190730_1028_0050</t>
  </si>
  <si>
    <t>BAR_190730_1028_0051</t>
  </si>
  <si>
    <t>BAR_190730_1028_0052</t>
  </si>
  <si>
    <t>BAR_190730_1028_0053</t>
  </si>
  <si>
    <t>BAR_190730_1028_0054</t>
  </si>
  <si>
    <t>BAR_190730_1028_0055</t>
  </si>
  <si>
    <t>BAR_190730_1028_0056</t>
  </si>
  <si>
    <t>BAR_190730_1028_0057</t>
  </si>
  <si>
    <t>BAR_190730_1028_0058</t>
  </si>
  <si>
    <t>BAR_190730_1028_0059</t>
  </si>
  <si>
    <t>BAR_190730_1028_0060</t>
  </si>
  <si>
    <t>BAR_190730_1028_0061</t>
  </si>
  <si>
    <t>BAR_190730_1028_0062</t>
  </si>
  <si>
    <t>BAR_190730_1028_0063</t>
  </si>
  <si>
    <t>BAR_190730_1028_0064</t>
  </si>
  <si>
    <t>BAR_190730_1028_0065</t>
  </si>
  <si>
    <t>BAR_190730_1028_0066</t>
  </si>
  <si>
    <t>BAR_190730_1028_0067</t>
  </si>
  <si>
    <t>BAR_190730_1028_0068</t>
  </si>
  <si>
    <t>BAR_190730_1028_0069</t>
  </si>
  <si>
    <t>BAR_190730_1028_0070</t>
  </si>
  <si>
    <t>BAR_190730_1028_0072</t>
  </si>
  <si>
    <t>BAR_190730_1028_0074</t>
  </si>
  <si>
    <t>BAR_190730_1028_0075</t>
  </si>
  <si>
    <t>BAR_190730_1028_0077</t>
  </si>
  <si>
    <t>BAR_190730_1028_0082</t>
  </si>
  <si>
    <t>BAR_190730_1028_0083</t>
  </si>
  <si>
    <t>BAR_190730_1028_0086</t>
  </si>
  <si>
    <t>BAR_190730_1028_0087</t>
  </si>
  <si>
    <t>BAR_190730_1028_0088</t>
  </si>
  <si>
    <t>BAR_190730_1028_0089</t>
  </si>
  <si>
    <t>BAR_190730_1028_0091</t>
  </si>
  <si>
    <t>BAR_190730_1028_0092</t>
  </si>
  <si>
    <t>BAR_190730_1028_0093</t>
  </si>
  <si>
    <t>BAR_190730_1028_0094</t>
  </si>
  <si>
    <t>BAR_190730_1028_0095</t>
  </si>
  <si>
    <t>BAR_190730_1028_0096</t>
  </si>
  <si>
    <t>BAR_190730_1028_0097</t>
  </si>
  <si>
    <t>BAR_190730_1028_0098</t>
  </si>
  <si>
    <t>BAR_190730_1028_0099</t>
  </si>
  <si>
    <t>BAR_190730_1028_0100</t>
  </si>
  <si>
    <t>BAR_190730_1028_0101</t>
  </si>
  <si>
    <t>BAR_190730_1028_0102</t>
  </si>
  <si>
    <t>BAR_190730_1028_0103</t>
  </si>
  <si>
    <t>BAR_190730_1028_0104</t>
  </si>
  <si>
    <t>BAR_190730_1028_0105</t>
  </si>
  <si>
    <t>BAR_190730_1028_0106</t>
  </si>
  <si>
    <t>BAR_190730_1028_0107</t>
  </si>
  <si>
    <t>BAR_190730_1028_0108</t>
  </si>
  <si>
    <t>BAR_190730_1028_0109</t>
  </si>
  <si>
    <t>BAR_190730_1028_0110</t>
  </si>
  <si>
    <t>BAR_190730_1028_0111</t>
  </si>
  <si>
    <t>BAR_190730_1028_0112</t>
  </si>
  <si>
    <t>BAR_190730_1028_0113</t>
  </si>
  <si>
    <t>BAR_190730_1028_0114</t>
  </si>
  <si>
    <t>BAR_190730_1028_0115</t>
  </si>
  <si>
    <t>BAR_190730_1028_0116</t>
  </si>
  <si>
    <t>BAR_190730_1028_0117</t>
  </si>
  <si>
    <t>BAR_190730_1028_0118</t>
  </si>
  <si>
    <t>BAR_190730_1028_0119</t>
  </si>
  <si>
    <t>BAR_190730_1028_0120</t>
  </si>
  <si>
    <t>BAR_190730_1028_0121</t>
  </si>
  <si>
    <t>BAR_190730_1028_0122</t>
  </si>
  <si>
    <t>BAR_190730_1028_0123</t>
  </si>
  <si>
    <t>BAR_190730_1028_0124</t>
  </si>
  <si>
    <t>BAR_190730_1028_0125</t>
  </si>
  <si>
    <t>BAR_190730_1028_0126</t>
  </si>
  <si>
    <t>BAR_190730_1028_0127</t>
  </si>
  <si>
    <t>BAR_190730_1028_0128</t>
  </si>
  <si>
    <t>BAR_190730_1028_0129</t>
  </si>
  <si>
    <t>BAR_190730_1028_0130</t>
  </si>
  <si>
    <t>BAR_190730_1028_0131</t>
  </si>
  <si>
    <t>BAR_190730_1028_0132</t>
  </si>
  <si>
    <t>BAR_190730_1028_0133</t>
  </si>
  <si>
    <t>BAR_190730_1028_0134</t>
  </si>
  <si>
    <t>BAR_190730_1028_0135</t>
  </si>
  <si>
    <t>BAR_190730_1028_0136</t>
  </si>
  <si>
    <t>BAR_190730_1028_0137</t>
  </si>
  <si>
    <t>BAR_190730_1028_0138</t>
  </si>
  <si>
    <t>BAR_190730_1028_0139</t>
  </si>
  <si>
    <t>BAR_190730_1028_0140</t>
  </si>
  <si>
    <t>BAR_190730_1028_0141</t>
  </si>
  <si>
    <t>BAR_190730_1028_0142</t>
  </si>
  <si>
    <t>BAR_190730_1028_0143</t>
  </si>
  <si>
    <t>BAR_190730_1028_0144</t>
  </si>
  <si>
    <t>BAR_190730_1028_0145</t>
  </si>
  <si>
    <t>BAR_190730_1028_0146</t>
  </si>
  <si>
    <t>BAR_190730_1028_0147</t>
  </si>
  <si>
    <t>BAR_190730_1028_0148</t>
  </si>
  <si>
    <t>BAR_190730_1028_0149</t>
  </si>
  <si>
    <t>BAR_190730_1028_0150</t>
  </si>
  <si>
    <t>BAR_190730_1028_0151</t>
  </si>
  <si>
    <t>BAR_190730_1028_0152</t>
  </si>
  <si>
    <t>BAR_190730_1028_0153</t>
  </si>
  <si>
    <t>BAR_190730_1028_0154</t>
  </si>
  <si>
    <t>BAR_190730_1028_0155</t>
  </si>
  <si>
    <t>BAR_190730_1028_0156</t>
  </si>
  <si>
    <t>BAR_190730_1028_0157</t>
  </si>
  <si>
    <t>BAR_190730_1028_0158</t>
  </si>
  <si>
    <t>BAR_190730_1028_0159</t>
  </si>
  <si>
    <t>BAR_190730_1028_0160</t>
  </si>
  <si>
    <t>BAR_190730_1028_0161</t>
  </si>
  <si>
    <t>BAR_190730_1028_0162</t>
  </si>
  <si>
    <t>BAR_190730_1028_0163</t>
  </si>
  <si>
    <t>BAR_190730_1028_0164</t>
  </si>
  <si>
    <t>BAR_190730_1028_0165</t>
  </si>
  <si>
    <t>BAR_190730_1028_0166</t>
  </si>
  <si>
    <t>BAR_190730_1028_0167</t>
  </si>
  <si>
    <t>BAR_190730_1028_0168</t>
  </si>
  <si>
    <t>BAR_190730_1028_0169</t>
  </si>
  <si>
    <t>BAR_190730_1028_0170</t>
  </si>
  <si>
    <t>BAR_190730_1028_0171</t>
  </si>
  <si>
    <t>BAR_190730_1028_0172</t>
  </si>
  <si>
    <t>BAR_190730_1028_0173</t>
  </si>
  <si>
    <t>BAR_190730_1028_0174</t>
  </si>
  <si>
    <t>BAR_190730_1028_0175</t>
  </si>
  <si>
    <t>BAR_190730_1028_0176</t>
  </si>
  <si>
    <t>BAR_190730_1028_0177</t>
  </si>
  <si>
    <t>BAR_190730_1028_0178</t>
  </si>
  <si>
    <t>BAR_190730_1028_0179</t>
  </si>
  <si>
    <t>BAR_190730_1028_0180</t>
  </si>
  <si>
    <t>BAR_190730_1028_0181</t>
  </si>
  <si>
    <t>BAR_190730_1028_0182</t>
  </si>
  <si>
    <t>BAR_190730_1028_0183</t>
  </si>
  <si>
    <t>BAR_190730_1028_0184</t>
  </si>
  <si>
    <t>BAR_190730_1028_0185</t>
  </si>
  <si>
    <t>BAR_190730_1028_0186</t>
  </si>
  <si>
    <t>BAR_190730_1028_0187</t>
  </si>
  <si>
    <t>BAR_190730_1028_0188</t>
  </si>
  <si>
    <t>BAR_190730_1028_0189</t>
  </si>
  <si>
    <t>BAR_190730_1028_0190</t>
  </si>
  <si>
    <t>BAR_190730_1028_0198</t>
  </si>
  <si>
    <t>BAR_190730_1028_0199</t>
  </si>
  <si>
    <t>BAR_190730_1028_0201</t>
  </si>
  <si>
    <t>BAR_190730_1028_0203</t>
  </si>
  <si>
    <t>BAR_190730_1028_0206</t>
  </si>
  <si>
    <t>BAR_190730_1028_0207</t>
  </si>
  <si>
    <t>BAR_190730_1028_0208</t>
  </si>
  <si>
    <t>BAR_190730_1028_0209</t>
  </si>
  <si>
    <t>BAR_190730_1028_0210</t>
  </si>
  <si>
    <t>BAR_190730_1028_0211</t>
  </si>
  <si>
    <t>BAR_190730_1028_0212</t>
  </si>
  <si>
    <t>BAR_190730_1028_0213</t>
  </si>
  <si>
    <t>BAR_190730_1028_0214</t>
  </si>
  <si>
    <t>BAR_190730_1028_0215</t>
  </si>
  <si>
    <t>BAR_190730_1028_0216</t>
  </si>
  <si>
    <t>BAR_190730_1028_0217</t>
  </si>
  <si>
    <t>BAR_190730_1028_0218</t>
  </si>
  <si>
    <t>BAR_190730_1028_0219</t>
  </si>
  <si>
    <t>BAR_190730_1028_0220</t>
  </si>
  <si>
    <t>BAR_190730_1028_0221</t>
  </si>
  <si>
    <t>BAR_190730_1028_0230</t>
  </si>
  <si>
    <t>BAR_190730_1028_0235</t>
  </si>
  <si>
    <t>BAR_190730_1028_0236</t>
  </si>
  <si>
    <t>BAR_190730_1028_0237</t>
  </si>
  <si>
    <t>BAR_190730_1028_0238</t>
  </si>
  <si>
    <t>BAR_190730_1028_0239</t>
  </si>
  <si>
    <t>BAR_190730_1028_0240</t>
  </si>
  <si>
    <t>BAR_190730_1028_0241</t>
  </si>
  <si>
    <t>BAR_190730_1028_0242</t>
  </si>
  <si>
    <t>BAR_190730_1028_0243</t>
  </si>
  <si>
    <t>BAR_190730_1028_0244</t>
  </si>
  <si>
    <t>BAR_190730_1028_0245</t>
  </si>
  <si>
    <t>BAR_190730_1028_0246</t>
  </si>
  <si>
    <t>BAR_190730_1028_0247</t>
  </si>
  <si>
    <t>BAR_190730_1028_0248</t>
  </si>
  <si>
    <t>BAR_190730_1028_0249</t>
  </si>
  <si>
    <t>BAR_190730_1028_0250</t>
  </si>
  <si>
    <t>BAR_190730_1028_0251</t>
  </si>
  <si>
    <t>BAR_190730_1028_0252</t>
  </si>
  <si>
    <t>BAR_190730_1028_0253</t>
  </si>
  <si>
    <t>BAR_190730_1028_0254</t>
  </si>
  <si>
    <t>BAR_190730_1028_0255</t>
  </si>
  <si>
    <t>BAR_190730_1028_0256</t>
  </si>
  <si>
    <t>BAR_190730_1028_0257</t>
  </si>
  <si>
    <t>BAR_190730_1028_0258</t>
  </si>
  <si>
    <t>BAR_190730_1028_0259</t>
  </si>
  <si>
    <t>BAR_190730_1028_0260</t>
  </si>
  <si>
    <t>BAR_190730_1028_0261</t>
  </si>
  <si>
    <t>BAR_190730_1028_0262</t>
  </si>
  <si>
    <t>BAR_190730_1028_0263</t>
  </si>
  <si>
    <t>BAR_190730_1028_0264</t>
  </si>
  <si>
    <t>BAR_190730_1028_0265</t>
  </si>
  <si>
    <t>BAR_190730_1028_0266</t>
  </si>
  <si>
    <t>BAR_190730_1028_0267</t>
  </si>
  <si>
    <t>BAR_190730_1028_0268</t>
  </si>
  <si>
    <t>BAR_190730_1028_0269</t>
  </si>
  <si>
    <t>BAR_190730_1028_0270</t>
  </si>
  <si>
    <t>BAR_190730_1028_0271</t>
  </si>
  <si>
    <t>BAR_190730_1028_0272</t>
  </si>
  <si>
    <t>BAR_190730_1028_0273</t>
  </si>
  <si>
    <t>BAR_190730_1028_0274</t>
  </si>
  <si>
    <t>BAR_190730_1028_0275</t>
  </si>
  <si>
    <t>BAR_190730_1028_0276</t>
  </si>
  <si>
    <t>BAR_190730_1028_0277</t>
  </si>
  <si>
    <t>BAR_190730_1028_0278</t>
  </si>
  <si>
    <t>BAR_190730_1028_0279</t>
  </si>
  <si>
    <t>BAR_190730_1028_0280</t>
  </si>
  <si>
    <t>BAR_190730_1028_0281</t>
  </si>
  <si>
    <t>BAR_190730_1028_0282</t>
  </si>
  <si>
    <t>BAR_190730_1028_0283</t>
  </si>
  <si>
    <t>BAR_190730_1028_0284</t>
  </si>
  <si>
    <t>BAR_190730_1028_0285</t>
  </si>
  <si>
    <t>BAR_190730_1028_0286</t>
  </si>
  <si>
    <t>BAR_190730_1028_0287</t>
  </si>
  <si>
    <t>BAR_190730_1028_0288</t>
  </si>
  <si>
    <t>BAR_190730_1028_0289</t>
  </si>
  <si>
    <t>BAR_190730_1028_0290</t>
  </si>
  <si>
    <t>BAR_190730_1028_0291</t>
  </si>
  <si>
    <t>BAR_190730_1028_0292</t>
  </si>
  <si>
    <t>BAR_190730_1028_0293</t>
  </si>
  <si>
    <t>BAR_190730_1028_0294</t>
  </si>
  <si>
    <t>BAR_190730_1028_0295</t>
  </si>
  <si>
    <t>BAR_190730_1028_0296</t>
  </si>
  <si>
    <t>BAR_190730_1028_0297</t>
  </si>
  <si>
    <t>BAR_190730_1028_0298</t>
  </si>
  <si>
    <t>BAR_190730_1028_0299</t>
  </si>
  <si>
    <t>BAR_190730_1028_0300</t>
  </si>
  <si>
    <t>BAR_190730_1028_0301</t>
  </si>
  <si>
    <t>BAR_190730_1028_0302</t>
  </si>
  <si>
    <t>BAR_190730_1028_0303</t>
  </si>
  <si>
    <t>BAR_190730_1028_0304</t>
  </si>
  <si>
    <t>BAR_190730_1028_0305</t>
  </si>
  <si>
    <t>BAR_190730_1028_0307</t>
  </si>
  <si>
    <t>BAR_190730_1028_0308</t>
  </si>
  <si>
    <t>BAR_190730_1028_0309</t>
  </si>
  <si>
    <t>BAR_190730_1028_0310</t>
  </si>
  <si>
    <t>BAR_190730_1028_0311</t>
  </si>
  <si>
    <t>BAR_190730_1028_0312</t>
  </si>
  <si>
    <t>BAR_190730_1028_0313</t>
  </si>
  <si>
    <t>BAR_190730_1028_0314</t>
  </si>
  <si>
    <t>BAR_190730_1028_0315</t>
  </si>
  <si>
    <t>BAR_190730_1028_0316</t>
  </si>
  <si>
    <t>BAR_190730_1028_0317</t>
  </si>
  <si>
    <t>BAR_190730_1028_0318</t>
  </si>
  <si>
    <t>BAR_190730_1028_0319</t>
  </si>
  <si>
    <t>BAR_190730_1028_0320</t>
  </si>
  <si>
    <t>BAR_190730_1028_0321</t>
  </si>
  <si>
    <t>BAR_190730_1028_0322</t>
  </si>
  <si>
    <t>BAR_190730_1028_0323</t>
  </si>
  <si>
    <t>BAR_190730_1028_0324</t>
  </si>
  <si>
    <t>BAR_190730_1028_0325</t>
  </si>
  <si>
    <t>BAR_190730_1028_0326</t>
  </si>
  <si>
    <t>BAR_190730_1028_0327</t>
  </si>
  <si>
    <t>BAR_190730_1028_0328</t>
  </si>
  <si>
    <t>BAR_190730_1028_0329</t>
  </si>
  <si>
    <t>BAR_190730_1028_0330</t>
  </si>
  <si>
    <t>BAR_190730_1028_0332</t>
  </si>
  <si>
    <t>BAR_190730_1028_0333</t>
  </si>
  <si>
    <t>BAR_190730_1028_0336</t>
  </si>
  <si>
    <t>BAR_190730_1028_0337</t>
  </si>
  <si>
    <t>BAR_190730_1028_0338</t>
  </si>
  <si>
    <t>BAR_190730_1028_0339</t>
  </si>
  <si>
    <t>BAR_190730_1028_0340</t>
  </si>
  <si>
    <t>BAR_190730_1028_0341</t>
  </si>
  <si>
    <t>BAR_190730_1028_0344</t>
  </si>
  <si>
    <t>BAR_190730_1028_0345</t>
  </si>
  <si>
    <t>BAR_190730_1028_0346</t>
  </si>
  <si>
    <t>BAR_190730_1028_0348</t>
  </si>
  <si>
    <t>BAR_190730_1028_0349</t>
  </si>
  <si>
    <t>BAR_190730_1028_0350</t>
  </si>
  <si>
    <t>BAR_190730_1028_0351</t>
  </si>
  <si>
    <t>BAR_190730_1028_0352</t>
  </si>
  <si>
    <t>BAR_190730_1028_0354</t>
  </si>
  <si>
    <t>BAR_190730_1028_0355</t>
  </si>
  <si>
    <t>BAR_190730_1028_0356</t>
  </si>
  <si>
    <t>BAR_190730_1028_0357</t>
  </si>
  <si>
    <t>BAR_190730_1028_0358</t>
  </si>
  <si>
    <t>BAR_190730_1028_0359</t>
  </si>
  <si>
    <t>BAR_190730_1028_0360</t>
  </si>
  <si>
    <t>BAR_190730_1028_0361</t>
  </si>
  <si>
    <t>BAR_190730_1028_0362</t>
  </si>
  <si>
    <t>BAR_190730_1028_0363</t>
  </si>
  <si>
    <t>BAR_190730_1028_0364</t>
  </si>
  <si>
    <t>BAR_190730_1028_0365</t>
  </si>
  <si>
    <t>BAR_190730_1028_0366</t>
  </si>
  <si>
    <t>BAR_190730_1028_0368</t>
  </si>
  <si>
    <t>BAR_190730_1028_0369</t>
  </si>
  <si>
    <t>BAR_190730_1028_0370</t>
  </si>
  <si>
    <t>BAR_190730_1028_0371</t>
  </si>
  <si>
    <t>BAR_190730_1028_0372</t>
  </si>
  <si>
    <t>BAR_190730_1028_0373</t>
  </si>
  <si>
    <t>BAR_190730_1028_0374</t>
  </si>
  <si>
    <t>BAR_190730_1028_0375</t>
  </si>
  <si>
    <t>BAR_190730_1028_0376</t>
  </si>
  <si>
    <t>BAR_190730_1028_0377</t>
  </si>
  <si>
    <t>BAR_190730_1028_0378</t>
  </si>
  <si>
    <t>BAR_190730_1028_0379</t>
  </si>
  <si>
    <t>BAR_190730_1028_0380</t>
  </si>
  <si>
    <t>BAR_190730_1028_0381</t>
  </si>
  <si>
    <t>BAR_190730_1028_0382</t>
  </si>
  <si>
    <t>BAR_190730_1028_0383</t>
  </si>
  <si>
    <t>BAR_190730_1028_0384</t>
  </si>
  <si>
    <t>BAR_190730_1028_0385</t>
  </si>
  <si>
    <t>BAR_190730_1028_0386</t>
  </si>
  <si>
    <t>BAR_190730_1028_0387</t>
  </si>
  <si>
    <t>BAR_190730_1028_0388</t>
  </si>
  <si>
    <t>BAR_190730_1028_0389</t>
  </si>
  <si>
    <t>BAR_190730_1028_0390</t>
  </si>
  <si>
    <t>BAR_190730_1028_0391</t>
  </si>
  <si>
    <t>BAR_190730_1028_0392</t>
  </si>
  <si>
    <t>BAR_190730_1028_0393</t>
  </si>
  <si>
    <t>BAR_190730_1028_0394</t>
  </si>
  <si>
    <t>BAR_190730_1028_0395</t>
  </si>
  <si>
    <t>BAR_190730_1028_0396</t>
  </si>
  <si>
    <t>BAR_190730_1028_0397</t>
  </si>
  <si>
    <t>BAR_190730_1028_0398</t>
  </si>
  <si>
    <t>BAR_190730_1028_0399</t>
  </si>
  <si>
    <t>BAR_190730_1028_0400</t>
  </si>
  <si>
    <t>BAR_190730_1028_0401</t>
  </si>
  <si>
    <t>BAR_190730_1028_0402</t>
  </si>
  <si>
    <t>BAR_190730_1028_0403</t>
  </si>
  <si>
    <t>BAR_190730_1028_0404</t>
  </si>
  <si>
    <t>BAR_190730_1028_0405</t>
  </si>
  <si>
    <t>BAR_190730_1028_0406</t>
  </si>
  <si>
    <t>BAR_190730_1028_0407</t>
  </si>
  <si>
    <t>BAR_190730_1028_0408</t>
  </si>
  <si>
    <t>BAR_190730_1028_0409</t>
  </si>
  <si>
    <t>BAR_190730_1028_0410</t>
  </si>
  <si>
    <t>BAR_190730_1028_0415</t>
  </si>
  <si>
    <t>BAR_190730_1028_0420</t>
  </si>
  <si>
    <t>BAR_190730_1028_0422</t>
  </si>
  <si>
    <t>BAR_190730_1028_0423</t>
  </si>
  <si>
    <t>BAR_190730_1028_0424</t>
  </si>
  <si>
    <t>BAR_190730_1028_0425</t>
  </si>
  <si>
    <t>BAR_190730_1028_0426</t>
  </si>
  <si>
    <t>BAR_190730_1028_0427</t>
  </si>
  <si>
    <t>BAR_190730_1028_0428</t>
  </si>
  <si>
    <t>BAR_190730_1028_0429</t>
  </si>
  <si>
    <t>BAR_190730_1028_0430</t>
  </si>
  <si>
    <t>BAR_190730_1028_0436</t>
  </si>
  <si>
    <t>BAR_190730_1028_0437</t>
  </si>
  <si>
    <t>BAR_190730_1028_0446</t>
  </si>
  <si>
    <t>BAR_190730_1028_0447</t>
  </si>
  <si>
    <t>BAR_190730_1028_0448</t>
  </si>
  <si>
    <t>BAR_190730_1028_0449</t>
  </si>
  <si>
    <t>BAR_190730_1028_0450</t>
  </si>
  <si>
    <t>BAR_190730_1028_0451</t>
  </si>
  <si>
    <t>BAR_190730_1028_0452</t>
  </si>
  <si>
    <t>BAR_190730_1028_0453</t>
  </si>
  <si>
    <t>BAR_190730_1028_0454</t>
  </si>
  <si>
    <t>BAR_190730_1028_0455</t>
  </si>
  <si>
    <t>BAR_190730_1028_0456</t>
  </si>
  <si>
    <t>BAR_190730_1028_0457</t>
  </si>
  <si>
    <t>BAR_190730_1028_0458</t>
  </si>
  <si>
    <t>BAR_190730_1028_0459</t>
  </si>
  <si>
    <t>BAR_190730_1028_0460</t>
  </si>
  <si>
    <t>BAR_190730_1028_0461</t>
  </si>
  <si>
    <t>BAR_190730_1028_0462</t>
  </si>
  <si>
    <t>BAR_190730_1028_0463</t>
  </si>
  <si>
    <t>BAR_190730_1028_0464</t>
  </si>
  <si>
    <t>BAR_190730_1028_0465</t>
  </si>
  <si>
    <t>BAR_190730_1028_0466</t>
  </si>
  <si>
    <t>BAR_190730_1028_0467</t>
  </si>
  <si>
    <t>BAR_190730_1028_0468</t>
  </si>
  <si>
    <t>BAR_190730_1028_0469</t>
  </si>
  <si>
    <t>BAR_190730_1028_0470</t>
  </si>
  <si>
    <t>BAR_190730_1028_0471</t>
  </si>
  <si>
    <t>BAR_190730_1028_0472</t>
  </si>
  <si>
    <t>BAR_190730_1028_0473</t>
  </si>
  <si>
    <t>BAR_190730_1028_0474</t>
  </si>
  <si>
    <t>BAR_190730_1028_0475</t>
  </si>
  <si>
    <t>BAR_190730_1028_0476</t>
  </si>
  <si>
    <t>BAR_190730_1028_0477</t>
  </si>
  <si>
    <t>BAR_190730_1028_0478</t>
  </si>
  <si>
    <t>BAR_190730_1028_0479</t>
  </si>
  <si>
    <t>BAR_190730_1028_0480</t>
  </si>
  <si>
    <t>BAR_190730_1028_0484</t>
  </si>
  <si>
    <t>BAR_190730_1028_0485</t>
  </si>
  <si>
    <t>BAR_190730_1028_0486</t>
  </si>
  <si>
    <t>BAR_190730_1028_0487</t>
  </si>
  <si>
    <t>BAR_190730_1028_0488</t>
  </si>
  <si>
    <t>BAR_190730_1028_0489</t>
  </si>
  <si>
    <t>BAR_190730_1028_0490</t>
  </si>
  <si>
    <t>RIP_180619_1120_0001</t>
  </si>
  <si>
    <t>RIP_180619_1120_0002</t>
  </si>
  <si>
    <t>RIP_180619_1120_0003</t>
  </si>
  <si>
    <t>RIP_180619_1120_0004</t>
  </si>
  <si>
    <t>RIP_180619_1120_0005</t>
  </si>
  <si>
    <t>RIP_180619_1120_0006</t>
  </si>
  <si>
    <t>RIP_180619_1120_0007</t>
  </si>
  <si>
    <t>RIP_180619_1120_0008</t>
  </si>
  <si>
    <t>RIP_180619_1120_0009</t>
  </si>
  <si>
    <t>RIP_180619_1120_0010</t>
  </si>
  <si>
    <t>RIP_180619_1120_0011</t>
  </si>
  <si>
    <t>RIP_180619_1120_0012</t>
  </si>
  <si>
    <t>RIP_180619_1120_0013</t>
  </si>
  <si>
    <t>RIP_180619_1120_0014</t>
  </si>
  <si>
    <t>RIP_180619_1120_0015</t>
  </si>
  <si>
    <t>RIP_180619_1120_0016</t>
  </si>
  <si>
    <t>RIP_180619_1120_0017</t>
  </si>
  <si>
    <t>RIP_180619_1120_0018</t>
  </si>
  <si>
    <t>RIP_180619_1120_0019</t>
  </si>
  <si>
    <t>RIP_180619_1120_0020</t>
  </si>
  <si>
    <t>RIP_180619_1120_0021</t>
  </si>
  <si>
    <t>RIP_180619_1120_0022</t>
  </si>
  <si>
    <t>RIP_180619_1120_0023</t>
  </si>
  <si>
    <t>RIP_180619_1120_0024</t>
  </si>
  <si>
    <t>RIP_180619_1120_0025</t>
  </si>
  <si>
    <t>RIP_180619_1120_0026</t>
  </si>
  <si>
    <t>RIP_180619_1120_0027</t>
  </si>
  <si>
    <t>RIP_180619_1120_0028</t>
  </si>
  <si>
    <t>RIP_180619_1120_0029</t>
  </si>
  <si>
    <t>RIP_180619_1120_0030</t>
  </si>
  <si>
    <t>RIP_180619_1120_0031</t>
  </si>
  <si>
    <t>RIP_180619_1120_0032</t>
  </si>
  <si>
    <t>RIP_180619_1120_0033</t>
  </si>
  <si>
    <t>RIP_180619_1120_0034</t>
  </si>
  <si>
    <t>RIP_180619_1120_0035</t>
  </si>
  <si>
    <t>RIP_180619_1120_0036</t>
  </si>
  <si>
    <t>RIP_180619_1120_0037</t>
  </si>
  <si>
    <t>RIP_180619_1120_0038</t>
  </si>
  <si>
    <t>RIP_180619_1120_0039</t>
  </si>
  <si>
    <t>RIP_180619_1120_0040</t>
  </si>
  <si>
    <t>RIP_180619_1120_0041</t>
  </si>
  <si>
    <t>RIP_180619_1120_0042</t>
  </si>
  <si>
    <t>RIP_180619_1120_0043</t>
  </si>
  <si>
    <t>RIP_180619_1120_0044</t>
  </si>
  <si>
    <t>RIP_180619_1120_0045</t>
  </si>
  <si>
    <t>RIP_180619_1120_0046</t>
  </si>
  <si>
    <t>RIP_180619_1120_0047</t>
  </si>
  <si>
    <t>RIP_180619_1120_0048</t>
  </si>
  <si>
    <t>RIP_180619_1120_0049</t>
  </si>
  <si>
    <t>RIP_180619_1120_0050</t>
  </si>
  <si>
    <t>RIP_180619_1120_0051</t>
  </si>
  <si>
    <t>RIP_180619_1120_0052</t>
  </si>
  <si>
    <t>RIP_180619_1120_0053</t>
  </si>
  <si>
    <t>RIP_180619_1120_0054</t>
  </si>
  <si>
    <t>RIP_180619_1120_0055</t>
  </si>
  <si>
    <t>RIP_180619_1120_0056</t>
  </si>
  <si>
    <t>RIP_180619_1120_0057</t>
  </si>
  <si>
    <t>RIP_180619_1120_0058</t>
  </si>
  <si>
    <t>RIP_180619_1120_0059</t>
  </si>
  <si>
    <t>RIP_180619_1120_0060</t>
  </si>
  <si>
    <t>RIP_180619_1120_0061</t>
  </si>
  <si>
    <t>RIP_180619_1120_0062</t>
  </si>
  <si>
    <t>RIP_180619_1120_0063</t>
  </si>
  <si>
    <t>RIP_180619_1120_0064</t>
  </si>
  <si>
    <t>RIP_180619_1120_0065</t>
  </si>
  <si>
    <t>RIP_180619_1120_0066</t>
  </si>
  <si>
    <t>RIP_180619_1120_0067</t>
  </si>
  <si>
    <t>RIP_180619_1120_0068</t>
  </si>
  <si>
    <t>RIP_180619_1120_0069</t>
  </si>
  <si>
    <t>RIP_180619_1120_0070</t>
  </si>
  <si>
    <t>RIP_180619_1120_0071</t>
  </si>
  <si>
    <t>RIP_180619_1120_0072</t>
  </si>
  <si>
    <t>RIP_180619_1120_0073</t>
  </si>
  <si>
    <t>RIP_180619_1120_0074</t>
  </si>
  <si>
    <t>RIP_180619_1120_0075</t>
  </si>
  <si>
    <t>RIP_180619_1120_0076</t>
  </si>
  <si>
    <t>RIP_180619_1120_0077</t>
  </si>
  <si>
    <t>RIP_180619_1120_0078</t>
  </si>
  <si>
    <t>RIP_180619_1120_0079</t>
  </si>
  <si>
    <t>RIP_180619_1120_0080</t>
  </si>
  <si>
    <t>RIP_180619_1120_0081</t>
  </si>
  <si>
    <t>RIP_180619_1120_0082</t>
  </si>
  <si>
    <t>RIP_180619_1120_0083</t>
  </si>
  <si>
    <t>RIP_180619_1120_0084</t>
  </si>
  <si>
    <t>RIP_180619_1120_0085</t>
  </si>
  <si>
    <t>RIP_180619_1120_0086</t>
  </si>
  <si>
    <t>RIP_180619_1120_0087</t>
  </si>
  <si>
    <t>RIP_180619_1120_0088</t>
  </si>
  <si>
    <t>RIP_180619_1120_0089</t>
  </si>
  <si>
    <t>RIP_180619_1120_0090</t>
  </si>
  <si>
    <t>RIP_180619_1120_0091</t>
  </si>
  <si>
    <t>RIP_180619_1120_0092</t>
  </si>
  <si>
    <t>RIP_180619_1120_0093</t>
  </si>
  <si>
    <t>RIP_180619_1120_0094</t>
  </si>
  <si>
    <t>RIP_180619_1120_0095</t>
  </si>
  <si>
    <t>RIP_180619_1120_0096</t>
  </si>
  <si>
    <t>RIP_180619_1120_0097</t>
  </si>
  <si>
    <t>RIP_180619_1120_0098</t>
  </si>
  <si>
    <t>RIP_180619_1120_0099</t>
  </si>
  <si>
    <t>RIP_180619_1120_0100</t>
  </si>
  <si>
    <t>RIP_180619_1120_0101</t>
  </si>
  <si>
    <t>RIP_180619_1120_0102</t>
  </si>
  <si>
    <t>RIP_180619_1120_0103</t>
  </si>
  <si>
    <t>RIP_180619_1120_0104</t>
  </si>
  <si>
    <t>RIP_180619_1120_0105</t>
  </si>
  <si>
    <t>RIP_180619_1120_0106</t>
  </si>
  <si>
    <t>RIP_180619_1120_0107</t>
  </si>
  <si>
    <t>RIP_180619_1120_0108</t>
  </si>
  <si>
    <t>RIP_180619_1120_0109</t>
  </si>
  <si>
    <t>RIP_180619_1120_0110</t>
  </si>
  <si>
    <t>RIP_180619_1120_0111</t>
  </si>
  <si>
    <t>RIP_180619_1120_0112</t>
  </si>
  <si>
    <t>RIP_180619_1120_0113</t>
  </si>
  <si>
    <t>RIP_180619_1120_0114</t>
  </si>
  <si>
    <t>RIP_180619_1120_0115</t>
  </si>
  <si>
    <t>RIP_180619_1120_0116</t>
  </si>
  <si>
    <t>RIP_180619_1120_0117</t>
  </si>
  <si>
    <t>RIP_180619_1120_0118</t>
  </si>
  <si>
    <t>RIP_180619_1120_0119</t>
  </si>
  <si>
    <t>RIP_180619_1120_0120</t>
  </si>
  <si>
    <t>RIP_180619_1120_0121</t>
  </si>
  <si>
    <t>RIP_180619_1120_0122</t>
  </si>
  <si>
    <t>RIP_180619_1120_0123</t>
  </si>
  <si>
    <t>RIP_180619_1120_0124</t>
  </si>
  <si>
    <t>RIP_180619_1120_0125</t>
  </si>
  <si>
    <t>RIP_180619_1120_0126</t>
  </si>
  <si>
    <t>RIP_180619_1120_0127</t>
  </si>
  <si>
    <t>RIP_180619_1120_0128</t>
  </si>
  <si>
    <t>RIP_180619_1120_0129</t>
  </si>
  <si>
    <t>RIP_180619_1120_0130</t>
  </si>
  <si>
    <t>RIP_180619_1120_0131</t>
  </si>
  <si>
    <t>RIP_180619_1120_0132</t>
  </si>
  <si>
    <t>RIP_180619_1120_0133</t>
  </si>
  <si>
    <t>RIP_180619_1120_0134</t>
  </si>
  <si>
    <t>RIP_180619_1120_0135</t>
  </si>
  <si>
    <t>RIP_180619_1120_0136</t>
  </si>
  <si>
    <t>RIP_180619_1120_0137</t>
  </si>
  <si>
    <t>RIP_180619_1120_0138</t>
  </si>
  <si>
    <t>RIP_180619_1120_0139</t>
  </si>
  <si>
    <t>RIP_180619_1120_0140</t>
  </si>
  <si>
    <t>RIP_180619_1120_0141</t>
  </si>
  <si>
    <t>RIP_180619_1120_0142</t>
  </si>
  <si>
    <t>RIP_180619_1120_0143</t>
  </si>
  <si>
    <t>RIP_180619_1120_0144</t>
  </si>
  <si>
    <t>RIP_180619_1120_0145</t>
  </si>
  <si>
    <t>RIP_180619_1120_0146</t>
  </si>
  <si>
    <t>RIP_180619_1120_0147</t>
  </si>
  <si>
    <t>RIP_180619_1120_0148</t>
  </si>
  <si>
    <t>RIP_180619_1120_0149</t>
  </si>
  <si>
    <t>RIP_180619_1120_0150</t>
  </si>
  <si>
    <t>RIP_180619_1120_0151</t>
  </si>
  <si>
    <t>RIP_180619_1120_0152</t>
  </si>
  <si>
    <t>RIP_180619_1120_0153</t>
  </si>
  <si>
    <t>RIP_180619_1120_0154</t>
  </si>
  <si>
    <t>RIP_180619_1120_0155</t>
  </si>
  <si>
    <t>RIP_180619_1120_0156</t>
  </si>
  <si>
    <t>RIP_180619_1120_0157</t>
  </si>
  <si>
    <t>RIP_180619_1120_0158</t>
  </si>
  <si>
    <t>RIP_180619_1120_0159</t>
  </si>
  <si>
    <t>RIP_180619_1120_0160</t>
  </si>
  <si>
    <t>RIP_180619_1120_0161</t>
  </si>
  <si>
    <t>RIP_180619_1120_0162</t>
  </si>
  <si>
    <t>RIP_180619_1120_0163</t>
  </si>
  <si>
    <t>RIP_180619_1120_0164</t>
  </si>
  <si>
    <t>RIP_180619_1120_0165</t>
  </si>
  <si>
    <t>RIP_180619_1120_0166</t>
  </si>
  <si>
    <t>RIP_180619_1120_0167</t>
  </si>
  <si>
    <t>RIP_180619_1120_0168</t>
  </si>
  <si>
    <t>RIP_180619_1120_0169</t>
  </si>
  <si>
    <t>RIP_180619_1120_0170</t>
  </si>
  <si>
    <t>RIP_180712_1229_0001</t>
  </si>
  <si>
    <t>RIP_180712_1229_0002</t>
  </si>
  <si>
    <t>RIP_180712_1229_0003</t>
  </si>
  <si>
    <t>RIP_180712_1229_0004</t>
  </si>
  <si>
    <t>RIP_180712_1229_0005</t>
  </si>
  <si>
    <t>RIP_180712_1229_0006</t>
  </si>
  <si>
    <t>RIP_180712_1229_0007</t>
  </si>
  <si>
    <t>RIP_180712_1229_0008</t>
  </si>
  <si>
    <t>RIP_180712_1229_0009</t>
  </si>
  <si>
    <t>RIP_180712_1229_0010</t>
  </si>
  <si>
    <t>RIP_180712_1229_0011</t>
  </si>
  <si>
    <t>RIP_180712_1229_0012</t>
  </si>
  <si>
    <t>RIP_180712_1229_0013</t>
  </si>
  <si>
    <t>RIP_180712_1229_0014</t>
  </si>
  <si>
    <t>RIP_180712_1229_0015</t>
  </si>
  <si>
    <t>RIP_180712_1229_0016</t>
  </si>
  <si>
    <t>RIP_180712_1229_0017</t>
  </si>
  <si>
    <t>RIP_180712_1229_0018</t>
  </si>
  <si>
    <t>RIP_180712_1229_0019</t>
  </si>
  <si>
    <t>RIP_180712_1229_0020</t>
  </si>
  <si>
    <t>RIP_180712_1229_0021</t>
  </si>
  <si>
    <t>RIP_180712_1229_0022</t>
  </si>
  <si>
    <t>RIP_180712_1229_0023</t>
  </si>
  <si>
    <t>RIP_180712_1229_0024</t>
  </si>
  <si>
    <t>RIP_180712_1229_0025</t>
  </si>
  <si>
    <t>RIP_180712_1229_0026</t>
  </si>
  <si>
    <t>RIP_180712_1229_0027</t>
  </si>
  <si>
    <t>RIP_180712_1229_0028</t>
  </si>
  <si>
    <t>RIP_180712_1229_0029</t>
  </si>
  <si>
    <t>RIP_180712_1229_0030</t>
  </si>
  <si>
    <t>RIP_180712_1229_0031</t>
  </si>
  <si>
    <t>RIP_180712_1229_0032</t>
  </si>
  <si>
    <t>RIP_180712_1229_0033</t>
  </si>
  <si>
    <t>RIP_180712_1229_0034</t>
  </si>
  <si>
    <t>RIP_180712_1229_0035</t>
  </si>
  <si>
    <t>RIP_180712_1229_0036</t>
  </si>
  <si>
    <t>RIP_180712_1229_0037</t>
  </si>
  <si>
    <t>RIP_180712_1229_0038</t>
  </si>
  <si>
    <t>RIP_180712_1229_0039</t>
  </si>
  <si>
    <t>RIP_180712_1229_0040</t>
  </si>
  <si>
    <t>RIP_180712_1229_0042</t>
  </si>
  <si>
    <t>RIP_180712_1229_0043</t>
  </si>
  <si>
    <t>RIP_180712_1229_0044</t>
  </si>
  <si>
    <t>RIP_180712_1229_0045</t>
  </si>
  <si>
    <t>RIP_180712_1229_0046</t>
  </si>
  <si>
    <t>RIP_180712_1229_0047</t>
  </si>
  <si>
    <t>RIP_180712_1229_0048</t>
  </si>
  <si>
    <t>RIP_180712_1229_0049</t>
  </si>
  <si>
    <t>RIP_180712_1229_0050</t>
  </si>
  <si>
    <t>RIP_180712_1229_0051</t>
  </si>
  <si>
    <t>RIP_180712_1229_0052</t>
  </si>
  <si>
    <t>RIP_180712_1229_0053</t>
  </si>
  <si>
    <t>RIP_180712_1229_0054</t>
  </si>
  <si>
    <t>RIP_180712_1229_0055</t>
  </si>
  <si>
    <t>RIP_180712_1229_0056</t>
  </si>
  <si>
    <t>RIP_180712_1229_0057</t>
  </si>
  <si>
    <t>RIP_180712_1229_0058</t>
  </si>
  <si>
    <t>RIP_180712_1229_0059</t>
  </si>
  <si>
    <t>RIP_180712_1229_0060</t>
  </si>
  <si>
    <t>RIP_180712_1229_0061</t>
  </si>
  <si>
    <t>RIP_180712_1229_0062</t>
  </si>
  <si>
    <t>RIP_180712_1229_0063</t>
  </si>
  <si>
    <t>RIP_180712_1229_0064</t>
  </si>
  <si>
    <t>RIP_180712_1229_0065</t>
  </si>
  <si>
    <t>RIP_180712_1229_0066</t>
  </si>
  <si>
    <t>RIP_180712_1229_0067</t>
  </si>
  <si>
    <t>RIP_180712_1229_0068</t>
  </si>
  <si>
    <t>RIP_180712_1229_0069</t>
  </si>
  <si>
    <t>RIP_180712_1229_0070</t>
  </si>
  <si>
    <t>RIP_180712_1229_0071</t>
  </si>
  <si>
    <t>RIP_180712_1229_0072</t>
  </si>
  <si>
    <t>RIP_180712_1229_0073</t>
  </si>
  <si>
    <t>RIP_180712_1229_0074</t>
  </si>
  <si>
    <t>RIP_180712_1229_0075</t>
  </si>
  <si>
    <t>RIP_180712_1229_0076</t>
  </si>
  <si>
    <t>RIP_180712_1229_0077</t>
  </si>
  <si>
    <t>RIP_180712_1229_0078</t>
  </si>
  <si>
    <t>RIP_180712_1229_0079</t>
  </si>
  <si>
    <t>RIP_180712_1229_0080</t>
  </si>
  <si>
    <t>RIP_180712_1229_0081</t>
  </si>
  <si>
    <t>RIP_180712_1229_0082</t>
  </si>
  <si>
    <t>RIP_180712_1229_0083</t>
  </si>
  <si>
    <t>RIP_180712_1229_0084</t>
  </si>
  <si>
    <t>RIP_180712_1229_0085</t>
  </si>
  <si>
    <t>RIP_180712_1229_0086</t>
  </si>
  <si>
    <t>RIP_180712_1229_0087</t>
  </si>
  <si>
    <t>RIP_180712_1229_0088</t>
  </si>
  <si>
    <t>RIP_180712_1229_0089</t>
  </si>
  <si>
    <t>RIP_180712_1229_0090</t>
  </si>
  <si>
    <t>RIP_180712_1229_0091</t>
  </si>
  <si>
    <t>RIP_180712_1229_0092</t>
  </si>
  <si>
    <t>RIP_180712_1229_0093</t>
  </si>
  <si>
    <t>RIP_180712_1229_0094</t>
  </si>
  <si>
    <t>RIP_180712_1229_0095</t>
  </si>
  <si>
    <t>RIP_180712_1229_0096</t>
  </si>
  <si>
    <t>RIP_180712_1229_0097</t>
  </si>
  <si>
    <t>RIP_180712_1229_0098</t>
  </si>
  <si>
    <t>RIP_180712_1229_0099</t>
  </si>
  <si>
    <t>RIP_180712_1229_0100</t>
  </si>
  <si>
    <t>RIP_180712_1229_0101</t>
  </si>
  <si>
    <t>RIP_180712_1229_0102</t>
  </si>
  <si>
    <t>RIP_180712_1229_0103</t>
  </si>
  <si>
    <t>RIP_180712_1229_0104</t>
  </si>
  <si>
    <t>RIP_180712_1229_0105</t>
  </si>
  <si>
    <t>RIP_180712_1229_0106</t>
  </si>
  <si>
    <t>RIP_180712_1229_0107</t>
  </si>
  <si>
    <t>RIP_180712_1229_0108</t>
  </si>
  <si>
    <t>RIP_180712_1229_0109</t>
  </si>
  <si>
    <t>RIP_180712_1229_0110</t>
  </si>
  <si>
    <t>RIP_180712_1229_0111</t>
  </si>
  <si>
    <t>RIP_180712_1229_0112</t>
  </si>
  <si>
    <t>RIP_180712_1229_0113</t>
  </si>
  <si>
    <t>RIP_180712_1229_0114</t>
  </si>
  <si>
    <t>RIP_180712_1229_0115</t>
  </si>
  <si>
    <t>RIP_180712_1229_0116</t>
  </si>
  <si>
    <t>RIP_180712_1229_0117</t>
  </si>
  <si>
    <t>RIP_180712_1229_0118</t>
  </si>
  <si>
    <t>RIP_180712_1229_0119</t>
  </si>
  <si>
    <t>RIP_180712_1229_0120</t>
  </si>
  <si>
    <t>RIP_180712_1229_0121</t>
  </si>
  <si>
    <t>RIP_180712_1229_0122</t>
  </si>
  <si>
    <t>RIP_180712_1229_0123</t>
  </si>
  <si>
    <t>RIP_180712_1229_0124</t>
  </si>
  <si>
    <t>RIP_180712_1229_0125</t>
  </si>
  <si>
    <t>RIP_180712_1229_0126</t>
  </si>
  <si>
    <t>RIP_180712_1229_0127</t>
  </si>
  <si>
    <t>RIP_180712_1229_0128</t>
  </si>
  <si>
    <t>RIP_180712_1229_0129</t>
  </si>
  <si>
    <t>RIP_180712_1229_0130</t>
  </si>
  <si>
    <t>RIP_180712_1229_0131</t>
  </si>
  <si>
    <t>RIP_180712_1229_0132</t>
  </si>
  <si>
    <t>RIP_180712_1229_0133</t>
  </si>
  <si>
    <t>RIP_180712_1229_0134</t>
  </si>
  <si>
    <t>RIP_180712_1229_0135</t>
  </si>
  <si>
    <t>RIP_180712_1229_0136</t>
  </si>
  <si>
    <t>RIP_180712_1229_0137</t>
  </si>
  <si>
    <t>RIP_180712_1229_0138</t>
  </si>
  <si>
    <t>RIP_180712_1229_0139</t>
  </si>
  <si>
    <t>RIP_180712_1229_0140</t>
  </si>
  <si>
    <t>RIP_180712_1229_0141</t>
  </si>
  <si>
    <t>RIP_180712_1229_0142</t>
  </si>
  <si>
    <t>RIP_180712_1229_0143</t>
  </si>
  <si>
    <t>RIP_180712_1229_0144</t>
  </si>
  <si>
    <t>RIP_180712_1229_0145</t>
  </si>
  <si>
    <t>RIP_180712_1229_0146</t>
  </si>
  <si>
    <t>RIP_180712_1229_0147</t>
  </si>
  <si>
    <t>RIP_180712_1229_0148</t>
  </si>
  <si>
    <t>RIP_180712_1229_0149</t>
  </si>
  <si>
    <t>RIP_180712_1229_0150</t>
  </si>
  <si>
    <t>RIP_180712_1229_0151</t>
  </si>
  <si>
    <t>RIP_180712_1229_0152</t>
  </si>
  <si>
    <t>RIP_180712_1229_0153</t>
  </si>
  <si>
    <t>RIP_180712_1229_0154</t>
  </si>
  <si>
    <t>RIP_180712_1229_0155</t>
  </si>
  <si>
    <t>RIP_180712_1229_0156</t>
  </si>
  <si>
    <t>RIP_180712_1229_0157</t>
  </si>
  <si>
    <t>RIP_180712_1229_0158</t>
  </si>
  <si>
    <t>RIP_180712_1229_0159</t>
  </si>
  <si>
    <t>RIP_180712_1229_0160</t>
  </si>
  <si>
    <t>RIP_180712_1229_0161</t>
  </si>
  <si>
    <t>RIP_180712_1229_0162</t>
  </si>
  <si>
    <t>RIP_180712_1229_0163</t>
  </si>
  <si>
    <t>RIP_180712_1229_0164</t>
  </si>
  <si>
    <t>RIP_180712_1229_0165</t>
  </si>
  <si>
    <t>RIP_180712_1229_0166</t>
  </si>
  <si>
    <t>RIP_180712_1229_0167</t>
  </si>
  <si>
    <t>RIP_180712_1229_0168</t>
  </si>
  <si>
    <t>RIP_180712_1229_0169</t>
  </si>
  <si>
    <t>RIP_180712_1229_0170</t>
  </si>
  <si>
    <t>RIP_180713_1040_0001</t>
  </si>
  <si>
    <t>RIP_180713_1040_0002</t>
  </si>
  <si>
    <t>RIP_180713_1040_0003</t>
  </si>
  <si>
    <t>RIP_180713_1040_0004</t>
  </si>
  <si>
    <t>RIP_180713_1040_0005</t>
  </si>
  <si>
    <t>RIP_180713_1040_0006</t>
  </si>
  <si>
    <t>RIP_180713_1040_0007</t>
  </si>
  <si>
    <t>RIP_180713_1040_0008</t>
  </si>
  <si>
    <t>RIP_180713_1040_0009</t>
  </si>
  <si>
    <t>RIP_180713_1040_0010</t>
  </si>
  <si>
    <t>RIP_180713_1040_0011</t>
  </si>
  <si>
    <t>RIP_180713_1040_0012</t>
  </si>
  <si>
    <t>RIP_180713_1040_0013</t>
  </si>
  <si>
    <t>RIP_180713_1040_0014</t>
  </si>
  <si>
    <t>RIP_180713_1040_0015</t>
  </si>
  <si>
    <t>RIP_180713_1040_0016</t>
  </si>
  <si>
    <t>RIP_180713_1040_0017</t>
  </si>
  <si>
    <t>RIP_180713_1040_0018</t>
  </si>
  <si>
    <t>RIP_180713_1040_0019</t>
  </si>
  <si>
    <t>RIP_180713_1040_0020</t>
  </si>
  <si>
    <t>RIP_180713_1040_0021</t>
  </si>
  <si>
    <t>RIP_180713_1040_0022</t>
  </si>
  <si>
    <t>RIP_180713_1040_0023</t>
  </si>
  <si>
    <t>RIP_180713_1040_0024</t>
  </si>
  <si>
    <t>RIP_180713_1040_0025</t>
  </si>
  <si>
    <t>RIP_180713_1040_0026</t>
  </si>
  <si>
    <t>RIP_180713_1040_0027</t>
  </si>
  <si>
    <t>RIP_180713_1040_0028</t>
  </si>
  <si>
    <t>RIP_180713_1040_0029</t>
  </si>
  <si>
    <t>RIP_180713_1040_0030</t>
  </si>
  <si>
    <t>RIP_180713_1040_0031</t>
  </si>
  <si>
    <t>RIP_180713_1040_0032</t>
  </si>
  <si>
    <t>RIP_180713_1040_0033</t>
  </si>
  <si>
    <t>RIP_180713_1040_0034</t>
  </si>
  <si>
    <t>RIP_180713_1040_0035</t>
  </si>
  <si>
    <t>RIP_180713_1040_0036</t>
  </si>
  <si>
    <t>RIP_180713_1040_0037</t>
  </si>
  <si>
    <t>RIP_180713_1040_0038</t>
  </si>
  <si>
    <t>RIP_180713_1040_0039</t>
  </si>
  <si>
    <t>RIP_180713_1040_0040</t>
  </si>
  <si>
    <t>RIP_180713_1040_0041</t>
  </si>
  <si>
    <t>RIP_180713_1040_0042</t>
  </si>
  <si>
    <t>RIP_180713_1040_0043</t>
  </si>
  <si>
    <t>RIP_180713_1040_0044</t>
  </si>
  <si>
    <t>RIP_180713_1040_0045</t>
  </si>
  <si>
    <t>RIP_180713_1040_0046</t>
  </si>
  <si>
    <t>RIP_180713_1040_0047</t>
  </si>
  <si>
    <t>RIP_180713_1040_0048</t>
  </si>
  <si>
    <t>RIP_180713_1040_0049</t>
  </si>
  <si>
    <t>RIP_180713_1040_0050</t>
  </si>
  <si>
    <t>RIP_180713_1040_0051</t>
  </si>
  <si>
    <t>RIP_180713_1040_0052</t>
  </si>
  <si>
    <t>RIP_180713_1040_0053</t>
  </si>
  <si>
    <t>RIP_180713_1040_0054</t>
  </si>
  <si>
    <t>RIP_180713_1040_0055</t>
  </si>
  <si>
    <t>RIP_180713_1040_0056</t>
  </si>
  <si>
    <t>RIP_180713_1040_0057</t>
  </si>
  <si>
    <t>RIP_180713_1040_0058</t>
  </si>
  <si>
    <t>RIP_180713_1040_0059</t>
  </si>
  <si>
    <t>RIP_180713_1040_0060</t>
  </si>
  <si>
    <t>RIP_180713_1040_0061</t>
  </si>
  <si>
    <t>RIP_180713_1040_0062</t>
  </si>
  <si>
    <t>RIP_180713_1040_0063</t>
  </si>
  <si>
    <t>RIP_180713_1040_0064</t>
  </si>
  <si>
    <t>RIP_180713_1040_0065</t>
  </si>
  <si>
    <t>RIP_180713_1040_0066</t>
  </si>
  <si>
    <t>RIP_180713_1040_0067</t>
  </si>
  <si>
    <t>RIP_180713_1040_0068</t>
  </si>
  <si>
    <t>RIP_180713_1040_0069</t>
  </si>
  <si>
    <t>RIP_180713_1040_0070</t>
  </si>
  <si>
    <t>RIP_180713_1040_0071</t>
  </si>
  <si>
    <t>RIP_180713_1040_0072</t>
  </si>
  <si>
    <t>RIP_180713_1040_0073</t>
  </si>
  <si>
    <t>RIP_180713_1040_0074</t>
  </si>
  <si>
    <t>RIP_180713_1040_0075</t>
  </si>
  <si>
    <t>RIP_180713_1040_0076</t>
  </si>
  <si>
    <t>RIP_180713_1040_0077</t>
  </si>
  <si>
    <t>RIP_180713_1040_0078</t>
  </si>
  <si>
    <t>RIP_180713_1040_0079</t>
  </si>
  <si>
    <t>RIP_180713_1040_0080</t>
  </si>
  <si>
    <t>RIP_180713_1040_0081</t>
  </si>
  <si>
    <t>RIP_180713_1040_0082</t>
  </si>
  <si>
    <t>RIP_180713_1040_0083</t>
  </si>
  <si>
    <t>RIP_180713_1040_0084</t>
  </si>
  <si>
    <t>RIP_180713_1040_0085</t>
  </si>
  <si>
    <t>RIP_180713_1040_0086</t>
  </si>
  <si>
    <t>RIP_180713_1040_0087</t>
  </si>
  <si>
    <t>RIP_180713_1040_0088</t>
  </si>
  <si>
    <t>RIP_180713_1040_0089</t>
  </si>
  <si>
    <t>RIP_180713_1040_0090</t>
  </si>
  <si>
    <t>RIP_180713_1040_0091</t>
  </si>
  <si>
    <t>RIP_180713_1040_0092</t>
  </si>
  <si>
    <t>RIP_180713_1040_0093</t>
  </si>
  <si>
    <t>RIP_180713_1040_0094</t>
  </si>
  <si>
    <t>RIP_180713_1040_0095</t>
  </si>
  <si>
    <t>RIP_180713_1040_0096</t>
  </si>
  <si>
    <t>RIP_180713_1040_0097</t>
  </si>
  <si>
    <t>RIP_180713_1040_0098</t>
  </si>
  <si>
    <t>RIP_180713_1040_0099</t>
  </si>
  <si>
    <t>RIP_180713_1040_0100</t>
  </si>
  <si>
    <t>RIP_180713_1040_0101</t>
  </si>
  <si>
    <t>RIP_180713_1040_0102</t>
  </si>
  <si>
    <t>RIP_180713_1040_0103</t>
  </si>
  <si>
    <t>RIP_180713_1040_0104</t>
  </si>
  <si>
    <t>RIP_180713_1040_0105</t>
  </si>
  <si>
    <t>RIP_180713_1040_0106</t>
  </si>
  <si>
    <t>RIP_180713_1040_0107</t>
  </si>
  <si>
    <t>RIP_180713_1040_0108</t>
  </si>
  <si>
    <t>RIP_180713_1040_0109</t>
  </si>
  <si>
    <t>RIP_180713_1040_0110</t>
  </si>
  <si>
    <t>RIP_180713_1040_0111</t>
  </si>
  <si>
    <t>RIP_180713_1040_0112</t>
  </si>
  <si>
    <t>RIP_180713_1040_0113</t>
  </si>
  <si>
    <t>RIP_180713_1040_0114</t>
  </si>
  <si>
    <t>RIP_180713_1040_0115</t>
  </si>
  <si>
    <t>RIP_180713_1040_0116</t>
  </si>
  <si>
    <t>RIP_180713_1040_0117</t>
  </si>
  <si>
    <t>RIP_180713_1040_0118</t>
  </si>
  <si>
    <t>RIP_180713_1040_0119</t>
  </si>
  <si>
    <t>RIP_180713_1040_0120</t>
  </si>
  <si>
    <t>RIP_180713_1040_0121</t>
  </si>
  <si>
    <t>RIP_180713_1040_0122</t>
  </si>
  <si>
    <t>RIP_180713_1040_0123</t>
  </si>
  <si>
    <t>RIP_180713_1040_0124</t>
  </si>
  <si>
    <t>RIP_180713_1040_0125</t>
  </si>
  <si>
    <t>RIP_180713_1040_0126</t>
  </si>
  <si>
    <t>RIP_180713_1040_0127</t>
  </si>
  <si>
    <t>RIP_180713_1040_0128</t>
  </si>
  <si>
    <t>RIP_180713_1040_0129</t>
  </si>
  <si>
    <t>RIP_180713_1040_0130</t>
  </si>
  <si>
    <t>RIP_180713_1040_0131</t>
  </si>
  <si>
    <t>RIP_180713_1040_0132</t>
  </si>
  <si>
    <t>RIP_180713_1040_0133</t>
  </si>
  <si>
    <t>RIP_180713_1040_0134</t>
  </si>
  <si>
    <t>RIP_180713_1040_0135</t>
  </si>
  <si>
    <t>RIP_180713_1040_0136</t>
  </si>
  <si>
    <t>RIP_180713_1040_0137</t>
  </si>
  <si>
    <t>RIP_180713_1040_0138</t>
  </si>
  <si>
    <t>RIP_180713_1040_0139</t>
  </si>
  <si>
    <t>RIP_180713_1040_0140</t>
  </si>
  <si>
    <t>RIP_180713_1040_0141</t>
  </si>
  <si>
    <t>RIP_180713_1040_0142</t>
  </si>
  <si>
    <t>RIP_180713_1040_0143</t>
  </si>
  <si>
    <t>RIP_180713_1040_0144</t>
  </si>
  <si>
    <t>RIP_180713_1040_0145</t>
  </si>
  <si>
    <t>RIP_180713_1040_0146</t>
  </si>
  <si>
    <t>RIP_180713_1040_0147</t>
  </si>
  <si>
    <t>RIP_180713_1040_0148</t>
  </si>
  <si>
    <t>RIP_180713_1040_0149</t>
  </si>
  <si>
    <t>RIP_180713_1040_0150</t>
  </si>
  <si>
    <t>RIP_180713_1040_0151</t>
  </si>
  <si>
    <t>RIP_180713_1040_0152</t>
  </si>
  <si>
    <t>RIP_180713_1040_0153</t>
  </si>
  <si>
    <t>RIP_180713_1040_0154</t>
  </si>
  <si>
    <t>RIP_180713_1040_0155</t>
  </si>
  <si>
    <t>RIP_180713_1040_0156</t>
  </si>
  <si>
    <t>RIP_180713_1040_0157</t>
  </si>
  <si>
    <t>RIP_180713_1040_0158</t>
  </si>
  <si>
    <t>RIP_180713_1040_0159</t>
  </si>
  <si>
    <t>RIP_180713_1040_0160</t>
  </si>
  <si>
    <t>RIP_180713_1040_0161</t>
  </si>
  <si>
    <t>RIP_180713_1040_0162</t>
  </si>
  <si>
    <t>RIP_180713_1040_0163</t>
  </si>
  <si>
    <t>RIP_180713_1040_0164</t>
  </si>
  <si>
    <t>RIP_180713_1040_0165</t>
  </si>
  <si>
    <t>RIP_180713_1040_0166</t>
  </si>
  <si>
    <t>RIP_180713_1040_0167</t>
  </si>
  <si>
    <t>RIP_180713_1040_0168</t>
  </si>
  <si>
    <t>RIP_180713_1040_0169</t>
  </si>
  <si>
    <t>RIP_180713_1040_0170</t>
  </si>
  <si>
    <t>RIP_180805_1044_0001</t>
  </si>
  <si>
    <t>RIP_180805_1044_0002</t>
  </si>
  <si>
    <t>RIP_180805_1044_0003</t>
  </si>
  <si>
    <t>RIP_180805_1044_0004</t>
  </si>
  <si>
    <t>RIP_180805_1044_0005</t>
  </si>
  <si>
    <t>RIP_180805_1044_0006</t>
  </si>
  <si>
    <t>RIP_180805_1044_0007</t>
  </si>
  <si>
    <t>RIP_180805_1044_0008</t>
  </si>
  <si>
    <t>RIP_180805_1044_0009</t>
  </si>
  <si>
    <t>RIP_180805_1044_0010</t>
  </si>
  <si>
    <t>RIP_180805_1044_0011</t>
  </si>
  <si>
    <t>RIP_180805_1044_0012</t>
  </si>
  <si>
    <t>RIP_180805_1044_0013</t>
  </si>
  <si>
    <t>RIP_180805_1044_0014</t>
  </si>
  <si>
    <t>RIP_180805_1044_0015</t>
  </si>
  <si>
    <t>RIP_180805_1044_0016</t>
  </si>
  <si>
    <t>RIP_180805_1044_0017</t>
  </si>
  <si>
    <t>RIP_180805_1044_0018</t>
  </si>
  <si>
    <t>RIP_180805_1044_0019</t>
  </si>
  <si>
    <t>RIP_180805_1044_0020</t>
  </si>
  <si>
    <t>RIP_180805_1044_0021</t>
  </si>
  <si>
    <t>RIP_180805_1044_0022</t>
  </si>
  <si>
    <t>RIP_180805_1044_0023</t>
  </si>
  <si>
    <t>RIP_180805_1044_0024</t>
  </si>
  <si>
    <t>RIP_180805_1044_0025</t>
  </si>
  <si>
    <t>RIP_180805_1044_0026</t>
  </si>
  <si>
    <t>RIP_180805_1044_0027</t>
  </si>
  <si>
    <t>RIP_180805_1044_0028</t>
  </si>
  <si>
    <t>RIP_180805_1044_0029</t>
  </si>
  <si>
    <t>RIP_180805_1044_0030</t>
  </si>
  <si>
    <t>RIP_180805_1044_0031</t>
  </si>
  <si>
    <t>RIP_180805_1044_0032</t>
  </si>
  <si>
    <t>RIP_180805_1044_0033</t>
  </si>
  <si>
    <t>RIP_180805_1044_0034</t>
  </si>
  <si>
    <t>RIP_180805_1044_0035</t>
  </si>
  <si>
    <t>RIP_180805_1044_0036</t>
  </si>
  <si>
    <t>RIP_180805_1044_0037</t>
  </si>
  <si>
    <t>RIP_180805_1044_0038</t>
  </si>
  <si>
    <t>RIP_180805_1044_0039</t>
  </si>
  <si>
    <t>RIP_180805_1044_0040</t>
  </si>
  <si>
    <t>RIP_180805_1044_0041</t>
  </si>
  <si>
    <t>RIP_180805_1044_0042</t>
  </si>
  <si>
    <t>RIP_180805_1044_0043</t>
  </si>
  <si>
    <t>RIP_180805_1044_0044</t>
  </si>
  <si>
    <t>RIP_180805_1044_0045</t>
  </si>
  <si>
    <t>RIP_180805_1044_0046</t>
  </si>
  <si>
    <t>RIP_180805_1044_0047</t>
  </si>
  <si>
    <t>RIP_180805_1044_0048</t>
  </si>
  <si>
    <t>RIP_180805_1044_0049</t>
  </si>
  <si>
    <t>RIP_180805_1044_0050</t>
  </si>
  <si>
    <t>RIP_180805_1044_0051</t>
  </si>
  <si>
    <t>RIP_180805_1044_0052</t>
  </si>
  <si>
    <t>RIP_180805_1044_0053</t>
  </si>
  <si>
    <t>RIP_180805_1044_0054</t>
  </si>
  <si>
    <t>RIP_180805_1044_0055</t>
  </si>
  <si>
    <t>RIP_180805_1044_0056</t>
  </si>
  <si>
    <t>RIP_180805_1044_0057</t>
  </si>
  <si>
    <t>RIP_180805_1044_0058</t>
  </si>
  <si>
    <t>RIP_180805_1044_0059</t>
  </si>
  <si>
    <t>RIP_180805_1044_0060</t>
  </si>
  <si>
    <t>RIP_180805_1044_0061</t>
  </si>
  <si>
    <t>RIP_180805_1044_0062</t>
  </si>
  <si>
    <t>RIP_180805_1044_0063</t>
  </si>
  <si>
    <t>RIP_180805_1044_0064</t>
  </si>
  <si>
    <t>RIP_180805_1044_0065</t>
  </si>
  <si>
    <t>RIP_180805_1044_0066</t>
  </si>
  <si>
    <t>RIP_180805_1044_0067</t>
  </si>
  <si>
    <t>RIP_180805_1044_0068</t>
  </si>
  <si>
    <t>RIP_180805_1044_0069</t>
  </si>
  <si>
    <t>RIP_180805_1044_0070</t>
  </si>
  <si>
    <t>RIP_180805_1044_0071</t>
  </si>
  <si>
    <t>RIP_180805_1044_0072</t>
  </si>
  <si>
    <t>RIP_180805_1044_0073</t>
  </si>
  <si>
    <t>RIP_180805_1044_0074</t>
  </si>
  <si>
    <t>RIP_180805_1044_0075</t>
  </si>
  <si>
    <t>RIP_180805_1044_0076</t>
  </si>
  <si>
    <t>RIP_180805_1044_0077</t>
  </si>
  <si>
    <t>RIP_180805_1044_0078</t>
  </si>
  <si>
    <t>RIP_180805_1044_0079</t>
  </si>
  <si>
    <t>RIP_180805_1044_0080</t>
  </si>
  <si>
    <t>RIP_180805_1044_0081</t>
  </si>
  <si>
    <t>RIP_180805_1044_0082</t>
  </si>
  <si>
    <t>RIP_180805_1044_0083</t>
  </si>
  <si>
    <t>RIP_180805_1044_0084</t>
  </si>
  <si>
    <t>RIP_180805_1044_0085</t>
  </si>
  <si>
    <t>RIP_180805_1044_0086</t>
  </si>
  <si>
    <t>RIP_180805_1044_0087</t>
  </si>
  <si>
    <t>RIP_180805_1044_0088</t>
  </si>
  <si>
    <t>RIP_180805_1044_0089</t>
  </si>
  <si>
    <t>RIP_180805_1044_0090</t>
  </si>
  <si>
    <t>RIP_180805_1044_0091</t>
  </si>
  <si>
    <t>RIP_180805_1044_0092</t>
  </si>
  <si>
    <t>RIP_180805_1044_0093</t>
  </si>
  <si>
    <t>RIP_180805_1044_0094</t>
  </si>
  <si>
    <t>RIP_180805_1044_0095</t>
  </si>
  <si>
    <t>RIP_180805_1044_0096</t>
  </si>
  <si>
    <t>RIP_180805_1044_0097</t>
  </si>
  <si>
    <t>RIP_180805_1044_0098</t>
  </si>
  <si>
    <t>RIP_180805_1044_0099</t>
  </si>
  <si>
    <t>RIP_180805_1044_0100</t>
  </si>
  <si>
    <t>RIP_180805_1044_0101</t>
  </si>
  <si>
    <t>RIP_180805_1044_0102</t>
  </si>
  <si>
    <t>RIP_180805_1044_0103</t>
  </si>
  <si>
    <t>RIP_180805_1044_0104</t>
  </si>
  <si>
    <t>RIP_180805_1044_0105</t>
  </si>
  <si>
    <t>RIP_180805_1044_0106</t>
  </si>
  <si>
    <t>RIP_180805_1044_0107</t>
  </si>
  <si>
    <t>RIP_180805_1044_0108</t>
  </si>
  <si>
    <t>RIP_180805_1044_0109</t>
  </si>
  <si>
    <t>RIP_180805_1044_0110</t>
  </si>
  <si>
    <t>RIP_180805_1044_0111</t>
  </si>
  <si>
    <t>RIP_180805_1044_0112</t>
  </si>
  <si>
    <t>RIP_180805_1044_0113</t>
  </si>
  <si>
    <t>RIP_180805_1044_0114</t>
  </si>
  <si>
    <t>RIP_180805_1044_0115</t>
  </si>
  <si>
    <t>RIP_180805_1044_0116</t>
  </si>
  <si>
    <t>RIP_180805_1044_0117</t>
  </si>
  <si>
    <t>RIP_180805_1044_0118</t>
  </si>
  <si>
    <t>RIP_180805_1044_0119</t>
  </si>
  <si>
    <t>RIP_180805_1044_0120</t>
  </si>
  <si>
    <t>RIP_180805_1044_0121</t>
  </si>
  <si>
    <t>RIP_180805_1044_0122</t>
  </si>
  <si>
    <t>RIP_180805_1044_0123</t>
  </si>
  <si>
    <t>RIP_180805_1044_0124</t>
  </si>
  <si>
    <t>RIP_180805_1044_0125</t>
  </si>
  <si>
    <t>RIP_180805_1044_0126</t>
  </si>
  <si>
    <t>RIP_180805_1044_0127</t>
  </si>
  <si>
    <t>RIP_180805_1044_0128</t>
  </si>
  <si>
    <t>RIP_180805_1044_0129</t>
  </si>
  <si>
    <t>RIP_180805_1044_0130</t>
  </si>
  <si>
    <t>RIP_180805_1044_0131</t>
  </si>
  <si>
    <t>RIP_180805_1044_0132</t>
  </si>
  <si>
    <t>RIP_180805_1044_0133</t>
  </si>
  <si>
    <t>RIP_180805_1044_0134</t>
  </si>
  <si>
    <t>RIP_180805_1044_0135</t>
  </si>
  <si>
    <t>RIP_180805_1044_0136</t>
  </si>
  <si>
    <t>RIP_180805_1044_0137</t>
  </si>
  <si>
    <t>RIP_180805_1044_0138</t>
  </si>
  <si>
    <t>RIP_180805_1044_0139</t>
  </si>
  <si>
    <t>RIP_180805_1044_0140</t>
  </si>
  <si>
    <t>RIP_180805_1044_0141</t>
  </si>
  <si>
    <t>RIP_180805_1044_0142</t>
  </si>
  <si>
    <t>RIP_180805_1044_0143</t>
  </si>
  <si>
    <t>RIP_180805_1044_0144</t>
  </si>
  <si>
    <t>RIP_180805_1044_0145</t>
  </si>
  <si>
    <t>RIP_180805_1044_0146</t>
  </si>
  <si>
    <t>RIP_180805_1044_0147</t>
  </si>
  <si>
    <t>RIP_180805_1044_0148</t>
  </si>
  <si>
    <t>RIP_180805_1044_0149</t>
  </si>
  <si>
    <t>RIP_180805_1044_0150</t>
  </si>
  <si>
    <t>RIP_180805_1044_0151</t>
  </si>
  <si>
    <t>RIP_180805_1044_0152</t>
  </si>
  <si>
    <t>RIP_180805_1044_0153</t>
  </si>
  <si>
    <t>RIP_180805_1044_0154</t>
  </si>
  <si>
    <t>RIP_180805_1044_0155</t>
  </si>
  <si>
    <t>RIP_180805_1044_0156</t>
  </si>
  <si>
    <t>RIP_180805_1044_0157</t>
  </si>
  <si>
    <t>RIP_180805_1044_0158</t>
  </si>
  <si>
    <t>RIP_180805_1044_0159</t>
  </si>
  <si>
    <t>RIP_180805_1044_0160</t>
  </si>
  <si>
    <t>RIP_180805_1044_0161</t>
  </si>
  <si>
    <t>RIP_180805_1044_0162</t>
  </si>
  <si>
    <t>RIP_180805_1044_0163</t>
  </si>
  <si>
    <t>RIP_180805_1044_0164</t>
  </si>
  <si>
    <t>RIP_180805_1044_0165</t>
  </si>
  <si>
    <t>RIP_180805_1044_0166</t>
  </si>
  <si>
    <t>RIP_180805_1044_0167</t>
  </si>
  <si>
    <t>RIP_180805_1044_0168</t>
  </si>
  <si>
    <t>RIP_180805_1044_0169</t>
  </si>
  <si>
    <t>RIP_180805_1044_0170</t>
  </si>
  <si>
    <t>RIP_180805_1044_0171</t>
  </si>
  <si>
    <t>RIP_180805_1233_0001</t>
  </si>
  <si>
    <t>RIP_180805_1233_0002</t>
  </si>
  <si>
    <t>RIP_180805_1233_0003</t>
  </si>
  <si>
    <t>RIP_180805_1233_0004</t>
  </si>
  <si>
    <t>RIP_180805_1233_0005</t>
  </si>
  <si>
    <t>RIP_180805_1233_0006</t>
  </si>
  <si>
    <t>RIP_180805_1233_0007</t>
  </si>
  <si>
    <t>RIP_180805_1233_0008</t>
  </si>
  <si>
    <t>RIP_180805_1233_0009</t>
  </si>
  <si>
    <t>RIP_180805_1233_0010</t>
  </si>
  <si>
    <t>RIP_180805_1233_0011</t>
  </si>
  <si>
    <t>RIP_180805_1233_0012</t>
  </si>
  <si>
    <t>RIP_180805_1233_0013</t>
  </si>
  <si>
    <t>RIP_180805_1233_0014</t>
  </si>
  <si>
    <t>RIP_180805_1233_0015</t>
  </si>
  <si>
    <t>RIP_180805_1233_0016</t>
  </si>
  <si>
    <t>RIP_180805_1233_0017</t>
  </si>
  <si>
    <t>RIP_180805_1233_0018</t>
  </si>
  <si>
    <t>RIP_180805_1233_0019</t>
  </si>
  <si>
    <t>RIP_180805_1233_0020</t>
  </si>
  <si>
    <t>RIP_180805_1233_0021</t>
  </si>
  <si>
    <t>RIP_180805_1233_0022</t>
  </si>
  <si>
    <t>RIP_180805_1233_0023</t>
  </si>
  <si>
    <t>RIP_180805_1233_0024</t>
  </si>
  <si>
    <t>RIP_180805_1233_0025</t>
  </si>
  <si>
    <t>RIP_180805_1233_0026</t>
  </si>
  <si>
    <t>RIP_180805_1233_0027</t>
  </si>
  <si>
    <t>RIP_180805_1233_0028</t>
  </si>
  <si>
    <t>RIP_180805_1233_0029</t>
  </si>
  <si>
    <t>RIP_180805_1233_0030</t>
  </si>
  <si>
    <t>RIP_180805_1233_0031</t>
  </si>
  <si>
    <t>RIP_180805_1233_0032</t>
  </si>
  <si>
    <t>RIP_180805_1233_0033</t>
  </si>
  <si>
    <t>RIP_180805_1233_0034</t>
  </si>
  <si>
    <t>RIP_180805_1233_0035</t>
  </si>
  <si>
    <t>RIP_180805_1233_0036</t>
  </si>
  <si>
    <t>RIP_180805_1233_0037</t>
  </si>
  <si>
    <t>RIP_180805_1233_0038</t>
  </si>
  <si>
    <t>RIP_180805_1233_0039</t>
  </si>
  <si>
    <t>RIP_180805_1233_0040</t>
  </si>
  <si>
    <t>RIP_180805_1233_0041</t>
  </si>
  <si>
    <t>RIP_180805_1233_0042</t>
  </si>
  <si>
    <t>RIP_180805_1233_0043</t>
  </si>
  <si>
    <t>RIP_180805_1233_0044</t>
  </si>
  <si>
    <t>RIP_180805_1233_0045</t>
  </si>
  <si>
    <t>RIP_180805_1233_0046</t>
  </si>
  <si>
    <t>RIP_180805_1233_0047</t>
  </si>
  <si>
    <t>RIP_180805_1233_0048</t>
  </si>
  <si>
    <t>RIP_180805_1233_0049</t>
  </si>
  <si>
    <t>RIP_180805_1233_0050</t>
  </si>
  <si>
    <t>RIP_180805_1233_0051</t>
  </si>
  <si>
    <t>RIP_180805_1233_0052</t>
  </si>
  <si>
    <t>RIP_180805_1233_0053</t>
  </si>
  <si>
    <t>RIP_180805_1233_0054</t>
  </si>
  <si>
    <t>RIP_180805_1233_0055</t>
  </si>
  <si>
    <t>RIP_180805_1233_0056</t>
  </si>
  <si>
    <t>RIP_180805_1233_0057</t>
  </si>
  <si>
    <t>RIP_180805_1233_0058</t>
  </si>
  <si>
    <t>RIP_180805_1233_0059</t>
  </si>
  <si>
    <t>RIP_180805_1233_0060</t>
  </si>
  <si>
    <t>RIP_180805_1233_0061</t>
  </si>
  <si>
    <t>RIP_180805_1233_0062</t>
  </si>
  <si>
    <t>RIP_180805_1233_0063</t>
  </si>
  <si>
    <t>RIP_180805_1233_0064</t>
  </si>
  <si>
    <t>RIP_180805_1233_0065</t>
  </si>
  <si>
    <t>RIP_180805_1233_0066</t>
  </si>
  <si>
    <t>RIP_180805_1233_0067</t>
  </si>
  <si>
    <t>RIP_180805_1233_0068</t>
  </si>
  <si>
    <t>RIP_180805_1233_0069</t>
  </si>
  <si>
    <t>RIP_180805_1233_0070</t>
  </si>
  <si>
    <t>RIP_180805_1233_0071</t>
  </si>
  <si>
    <t>RIP_180805_1233_0072</t>
  </si>
  <si>
    <t>RIP_180805_1233_0073</t>
  </si>
  <si>
    <t>RIP_180805_1233_0074</t>
  </si>
  <si>
    <t>RIP_180805_1233_0075</t>
  </si>
  <si>
    <t>RIP_180805_1233_0076</t>
  </si>
  <si>
    <t>RIP_180805_1233_0077</t>
  </si>
  <si>
    <t>RIP_180805_1233_0078</t>
  </si>
  <si>
    <t>RIP_180805_1233_0079</t>
  </si>
  <si>
    <t>RIP_180805_1233_0080</t>
  </si>
  <si>
    <t>RIP_180805_1233_0081</t>
  </si>
  <si>
    <t>RIP_180805_1233_0082</t>
  </si>
  <si>
    <t>RIP_180805_1233_0083</t>
  </si>
  <si>
    <t>RIP_180805_1233_0084</t>
  </si>
  <si>
    <t>RIP_180805_1233_0085</t>
  </si>
  <si>
    <t>RIP_180805_1233_0086</t>
  </si>
  <si>
    <t>RIP_180805_1233_0087</t>
  </si>
  <si>
    <t>RIP_180805_1233_0088</t>
  </si>
  <si>
    <t>RIP_180805_1233_0089</t>
  </si>
  <si>
    <t>RIP_180805_1233_0090</t>
  </si>
  <si>
    <t>RIP_180805_1233_0091</t>
  </si>
  <si>
    <t>RIP_180805_1233_0092</t>
  </si>
  <si>
    <t>RIP_180805_1233_0093</t>
  </si>
  <si>
    <t>RIP_180805_1233_0094</t>
  </si>
  <si>
    <t>RIP_180805_1233_0095</t>
  </si>
  <si>
    <t>RIP_180805_1233_0096</t>
  </si>
  <si>
    <t>RIP_180805_1233_0097</t>
  </si>
  <si>
    <t>RIP_180805_1233_0098</t>
  </si>
  <si>
    <t>RIP_180805_1233_0099</t>
  </si>
  <si>
    <t>RIP_180805_1233_0100</t>
  </si>
  <si>
    <t>RIP_180805_1233_0101</t>
  </si>
  <si>
    <t>RIP_180805_1233_0102</t>
  </si>
  <si>
    <t>RIP_180805_1233_0103</t>
  </si>
  <si>
    <t>RIP_180805_1233_0104</t>
  </si>
  <si>
    <t>RIP_180805_1233_0105</t>
  </si>
  <si>
    <t>RIP_180805_1233_0106</t>
  </si>
  <si>
    <t>RIP_180805_1233_0107</t>
  </si>
  <si>
    <t>RIP_180805_1233_0108</t>
  </si>
  <si>
    <t>RIP_180805_1233_0109</t>
  </si>
  <si>
    <t>RIP_180805_1233_0110</t>
  </si>
  <si>
    <t>RIP_180805_1233_0111</t>
  </si>
  <si>
    <t>RIP_180805_1233_0112</t>
  </si>
  <si>
    <t>RIP_180805_1233_0113</t>
  </si>
  <si>
    <t>RIP_180805_1233_0114</t>
  </si>
  <si>
    <t>RIP_180805_1233_0115</t>
  </si>
  <si>
    <t>RIP_180805_1233_0116</t>
  </si>
  <si>
    <t>RIP_180805_1233_0117</t>
  </si>
  <si>
    <t>RIP_180805_1233_0118</t>
  </si>
  <si>
    <t>RIP_180805_1233_0119</t>
  </si>
  <si>
    <t>RIP_180805_1233_0120</t>
  </si>
  <si>
    <t>RIP_180805_1233_0121</t>
  </si>
  <si>
    <t>RIP_180805_1233_0122</t>
  </si>
  <si>
    <t>RIP_180805_1233_0123</t>
  </si>
  <si>
    <t>RIP_180805_1233_0124</t>
  </si>
  <si>
    <t>RIP_180805_1233_0125</t>
  </si>
  <si>
    <t>RIP_180805_1233_0126</t>
  </si>
  <si>
    <t>RIP_180805_1233_0127</t>
  </si>
  <si>
    <t>RIP_180805_1233_0128</t>
  </si>
  <si>
    <t>RIP_180805_1233_0129</t>
  </si>
  <si>
    <t>RIP_180805_1233_0130</t>
  </si>
  <si>
    <t>RIP_180805_1233_0131</t>
  </si>
  <si>
    <t>RIP_180805_1233_0132</t>
  </si>
  <si>
    <t>RIP_180805_1233_0133</t>
  </si>
  <si>
    <t>RIP_180805_1233_0134</t>
  </si>
  <si>
    <t>RIP_180805_1233_0135</t>
  </si>
  <si>
    <t>RIP_180805_1233_0136</t>
  </si>
  <si>
    <t>RIP_180805_1233_0137</t>
  </si>
  <si>
    <t>RIP_180805_1233_0138</t>
  </si>
  <si>
    <t>RIP_180805_1233_0139</t>
  </si>
  <si>
    <t>RIP_180805_1233_0140</t>
  </si>
  <si>
    <t>RIP_180805_1233_0141</t>
  </si>
  <si>
    <t>RIP_180805_1233_0142</t>
  </si>
  <si>
    <t>RIP_180805_1233_0143</t>
  </si>
  <si>
    <t>RIP_180805_1233_0144</t>
  </si>
  <si>
    <t>RIP_180805_1233_0145</t>
  </si>
  <si>
    <t>RIP_180805_1233_0146</t>
  </si>
  <si>
    <t>RIP_180805_1233_0147</t>
  </si>
  <si>
    <t>RIP_180805_1233_0148</t>
  </si>
  <si>
    <t>RIP_180805_1233_0149</t>
  </si>
  <si>
    <t>RIP_180805_1233_0150</t>
  </si>
  <si>
    <t>RIP_180805_1233_0151</t>
  </si>
  <si>
    <t>RIP_180805_1233_0152</t>
  </si>
  <si>
    <t>RIP_180805_1233_0153</t>
  </si>
  <si>
    <t>RIP_180805_1233_0154</t>
  </si>
  <si>
    <t>RIP_180805_1233_0155</t>
  </si>
  <si>
    <t>RIP_180805_1233_0156</t>
  </si>
  <si>
    <t>RIP_180805_1233_0157</t>
  </si>
  <si>
    <t>RIP_180805_1233_0158</t>
  </si>
  <si>
    <t>RIP_180805_1233_0159</t>
  </si>
  <si>
    <t>RIP_180805_1233_0160</t>
  </si>
  <si>
    <t>RIP_180805_1233_0161</t>
  </si>
  <si>
    <t>RIP_180805_1233_0162</t>
  </si>
  <si>
    <t>RIP_180805_1233_0163</t>
  </si>
  <si>
    <t>RIP_180805_1233_0164</t>
  </si>
  <si>
    <t>RIP_180805_1233_0165</t>
  </si>
  <si>
    <t>RIP_180805_1233_0166</t>
  </si>
  <si>
    <t>RIP_180805_1233_0167</t>
  </si>
  <si>
    <t>RIP_180805_1233_0168</t>
  </si>
  <si>
    <t>RIP_180805_1233_0169</t>
  </si>
  <si>
    <t>RIP_180805_1233_0170</t>
  </si>
  <si>
    <t>RIP_180805_1233_0171</t>
  </si>
  <si>
    <t>RIP_180806_1041_0001</t>
  </si>
  <si>
    <t>RIP_180806_1041_0002</t>
  </si>
  <si>
    <t>RIP_180806_1041_0003</t>
  </si>
  <si>
    <t>RIP_180806_1041_0004</t>
  </si>
  <si>
    <t>RIP_180806_1041_0005</t>
  </si>
  <si>
    <t>RIP_180806_1041_0006</t>
  </si>
  <si>
    <t>RIP_180806_1041_0007</t>
  </si>
  <si>
    <t>RIP_180806_1041_0008</t>
  </si>
  <si>
    <t>RIP_180806_1041_0009</t>
  </si>
  <si>
    <t>RIP_180806_1041_0010</t>
  </si>
  <si>
    <t>RIP_180806_1041_0011</t>
  </si>
  <si>
    <t>RIP_180806_1041_0012</t>
  </si>
  <si>
    <t>RIP_180806_1041_0013</t>
  </si>
  <si>
    <t>RIP_180806_1041_0014</t>
  </si>
  <si>
    <t>RIP_180806_1041_0015</t>
  </si>
  <si>
    <t>RIP_180806_1041_0016</t>
  </si>
  <si>
    <t>RIP_180806_1041_0017</t>
  </si>
  <si>
    <t>RIP_180806_1041_0018</t>
  </si>
  <si>
    <t>RIP_180806_1041_0019</t>
  </si>
  <si>
    <t>RIP_180806_1041_0020</t>
  </si>
  <si>
    <t>RIP_180806_1041_0021</t>
  </si>
  <si>
    <t>RIP_180806_1041_0022</t>
  </si>
  <si>
    <t>RIP_180806_1041_0023</t>
  </si>
  <si>
    <t>RIP_180806_1041_0024</t>
  </si>
  <si>
    <t>RIP_180806_1041_0025</t>
  </si>
  <si>
    <t>RIP_180806_1041_0026</t>
  </si>
  <si>
    <t>RIP_180806_1041_0027</t>
  </si>
  <si>
    <t>RIP_180806_1041_0028</t>
  </si>
  <si>
    <t>RIP_180806_1041_0029</t>
  </si>
  <si>
    <t>RIP_180806_1041_0030</t>
  </si>
  <si>
    <t>RIP_180806_1041_0031</t>
  </si>
  <si>
    <t>RIP_180806_1041_0032</t>
  </si>
  <si>
    <t>RIP_180806_1041_0033</t>
  </si>
  <si>
    <t>RIP_180806_1041_0034</t>
  </si>
  <si>
    <t>RIP_180806_1041_0035</t>
  </si>
  <si>
    <t>RIP_180806_1041_0036</t>
  </si>
  <si>
    <t>RIP_180806_1041_0037</t>
  </si>
  <si>
    <t>RIP_180806_1041_0038</t>
  </si>
  <si>
    <t>RIP_180806_1041_0039</t>
  </si>
  <si>
    <t>RIP_180806_1041_0040</t>
  </si>
  <si>
    <t>RIP_180806_1041_0041</t>
  </si>
  <si>
    <t>RIP_180806_1041_0042</t>
  </si>
  <si>
    <t>RIP_180806_1041_0043</t>
  </si>
  <si>
    <t>RIP_180806_1041_0044</t>
  </si>
  <si>
    <t>RIP_180806_1041_0045</t>
  </si>
  <si>
    <t>RIP_180806_1041_0046</t>
  </si>
  <si>
    <t>RIP_180806_1041_0047</t>
  </si>
  <si>
    <t>RIP_180806_1041_0048</t>
  </si>
  <si>
    <t>RIP_180806_1041_0049</t>
  </si>
  <si>
    <t>RIP_180806_1041_0050</t>
  </si>
  <si>
    <t>RIP_180806_1041_0051</t>
  </si>
  <si>
    <t>RIP_180806_1041_0052</t>
  </si>
  <si>
    <t>RIP_180806_1041_0053</t>
  </si>
  <si>
    <t>RIP_180806_1041_0054</t>
  </si>
  <si>
    <t>RIP_180806_1041_0055</t>
  </si>
  <si>
    <t>RIP_180806_1041_0056</t>
  </si>
  <si>
    <t>RIP_180806_1041_0057</t>
  </si>
  <si>
    <t>RIP_180806_1041_0058</t>
  </si>
  <si>
    <t>RIP_180806_1041_0059</t>
  </si>
  <si>
    <t>RIP_180806_1041_0060</t>
  </si>
  <si>
    <t>RIP_180806_1041_0061</t>
  </si>
  <si>
    <t>RIP_180806_1041_0062</t>
  </si>
  <si>
    <t>RIP_180806_1041_0063</t>
  </si>
  <si>
    <t>RIP_180806_1041_0064</t>
  </si>
  <si>
    <t>RIP_180806_1041_0065</t>
  </si>
  <si>
    <t>RIP_180806_1041_0066</t>
  </si>
  <si>
    <t>RIP_180806_1041_0067</t>
  </si>
  <si>
    <t>RIP_180806_1041_0068</t>
  </si>
  <si>
    <t>RIP_180806_1041_0069</t>
  </si>
  <si>
    <t>RIP_180806_1041_0070</t>
  </si>
  <si>
    <t>RIP_180806_1041_0071</t>
  </si>
  <si>
    <t>RIP_180806_1041_0072</t>
  </si>
  <si>
    <t>RIP_180806_1041_0073</t>
  </si>
  <si>
    <t>RIP_180806_1041_0074</t>
  </si>
  <si>
    <t>RIP_180806_1041_0075</t>
  </si>
  <si>
    <t>RIP_180806_1041_0076</t>
  </si>
  <si>
    <t>RIP_180806_1041_0077</t>
  </si>
  <si>
    <t>RIP_180806_1041_0078</t>
  </si>
  <si>
    <t>RIP_180806_1041_0079</t>
  </si>
  <si>
    <t>RIP_180806_1041_0080</t>
  </si>
  <si>
    <t>RIP_180806_1041_0081</t>
  </si>
  <si>
    <t>RIP_180806_1041_0082</t>
  </si>
  <si>
    <t>RIP_180806_1041_0083</t>
  </si>
  <si>
    <t>RIP_180806_1041_0084</t>
  </si>
  <si>
    <t>RIP_180806_1041_0085</t>
  </si>
  <si>
    <t>RIP_180806_1041_0086</t>
  </si>
  <si>
    <t>RIP_180806_1041_0087</t>
  </si>
  <si>
    <t>RIP_180806_1041_0088</t>
  </si>
  <si>
    <t>RIP_180806_1041_0089</t>
  </si>
  <si>
    <t>RIP_180806_1041_0090</t>
  </si>
  <si>
    <t>RIP_180806_1041_0091</t>
  </si>
  <si>
    <t>RIP_180806_1041_0092</t>
  </si>
  <si>
    <t>RIP_180806_1041_0093</t>
  </si>
  <si>
    <t>RIP_180806_1041_0094</t>
  </si>
  <si>
    <t>RIP_180806_1041_0095</t>
  </si>
  <si>
    <t>RIP_180806_1041_0096</t>
  </si>
  <si>
    <t>RIP_180806_1041_0097</t>
  </si>
  <si>
    <t>RIP_180806_1041_0098</t>
  </si>
  <si>
    <t>RIP_180806_1041_0099</t>
  </si>
  <si>
    <t>RIP_180806_1041_0100</t>
  </si>
  <si>
    <t>RIP_180806_1041_0101</t>
  </si>
  <si>
    <t>RIP_180806_1041_0102</t>
  </si>
  <si>
    <t>RIP_180806_1041_0103</t>
  </si>
  <si>
    <t>RIP_180806_1041_0104</t>
  </si>
  <si>
    <t>RIP_180806_1041_0105</t>
  </si>
  <si>
    <t>RIP_180806_1041_0106</t>
  </si>
  <si>
    <t>RIP_180806_1041_0107</t>
  </si>
  <si>
    <t>RIP_180806_1041_0108</t>
  </si>
  <si>
    <t>RIP_180806_1041_0109</t>
  </si>
  <si>
    <t>RIP_180806_1041_0110</t>
  </si>
  <si>
    <t>RIP_180806_1041_0111</t>
  </si>
  <si>
    <t>RIP_180806_1041_0112</t>
  </si>
  <si>
    <t>RIP_180806_1041_0113</t>
  </si>
  <si>
    <t>RIP_180806_1041_0114</t>
  </si>
  <si>
    <t>RIP_180806_1041_0115</t>
  </si>
  <si>
    <t>RIP_180806_1041_0116</t>
  </si>
  <si>
    <t>RIP_180806_1041_0117</t>
  </si>
  <si>
    <t>RIP_180806_1041_0118</t>
  </si>
  <si>
    <t>RIP_180806_1041_0119</t>
  </si>
  <si>
    <t>RIP_180806_1041_0120</t>
  </si>
  <si>
    <t>RIP_180806_1041_0121</t>
  </si>
  <si>
    <t>RIP_180806_1041_0122</t>
  </si>
  <si>
    <t>RIP_180806_1041_0123</t>
  </si>
  <si>
    <t>RIP_180806_1041_0124</t>
  </si>
  <si>
    <t>RIP_180806_1041_0125</t>
  </si>
  <si>
    <t>RIP_180806_1041_0126</t>
  </si>
  <si>
    <t>RIP_180806_1041_0127</t>
  </si>
  <si>
    <t>RIP_180806_1041_0128</t>
  </si>
  <si>
    <t>RIP_180806_1041_0129</t>
  </si>
  <si>
    <t>RIP_180806_1041_0130</t>
  </si>
  <si>
    <t>RIP_180806_1041_0131</t>
  </si>
  <si>
    <t>RIP_180806_1041_0132</t>
  </si>
  <si>
    <t>RIP_180806_1041_0133</t>
  </si>
  <si>
    <t>RIP_180806_1041_0134</t>
  </si>
  <si>
    <t>RIP_180806_1041_0135</t>
  </si>
  <si>
    <t>RIP_180806_1041_0136</t>
  </si>
  <si>
    <t>RIP_180806_1041_0137</t>
  </si>
  <si>
    <t>RIP_180806_1041_0138</t>
  </si>
  <si>
    <t>RIP_180806_1041_0139</t>
  </si>
  <si>
    <t>RIP_180806_1041_0140</t>
  </si>
  <si>
    <t>RIP_180806_1041_0141</t>
  </si>
  <si>
    <t>RIP_180806_1041_0142</t>
  </si>
  <si>
    <t>RIP_180806_1041_0143</t>
  </si>
  <si>
    <t>RIP_180806_1041_0144</t>
  </si>
  <si>
    <t>RIP_180806_1041_0145</t>
  </si>
  <si>
    <t>RIP_180806_1041_0146</t>
  </si>
  <si>
    <t>RIP_180806_1041_0147</t>
  </si>
  <si>
    <t>RIP_180806_1041_0148</t>
  </si>
  <si>
    <t>RIP_180806_1041_0149</t>
  </si>
  <si>
    <t>RIP_180806_1041_0150</t>
  </si>
  <si>
    <t>RIP_180806_1041_0151</t>
  </si>
  <si>
    <t>RIP_180806_1041_0152</t>
  </si>
  <si>
    <t>RIP_180806_1041_0153</t>
  </si>
  <si>
    <t>RIP_180806_1041_0154</t>
  </si>
  <si>
    <t>RIP_180806_1041_0155</t>
  </si>
  <si>
    <t>RIP_180806_1041_0156</t>
  </si>
  <si>
    <t>RIP_180806_1041_0157</t>
  </si>
  <si>
    <t>RIP_180806_1041_0158</t>
  </si>
  <si>
    <t>RIP_180806_1041_0159</t>
  </si>
  <si>
    <t>RIP_180806_1041_0160</t>
  </si>
  <si>
    <t>RIP_180806_1041_0161</t>
  </si>
  <si>
    <t>RIP_180806_1041_0162</t>
  </si>
  <si>
    <t>RIP_180806_1041_0163</t>
  </si>
  <si>
    <t>RIP_180806_1041_0164</t>
  </si>
  <si>
    <t>RIP_180806_1041_0165</t>
  </si>
  <si>
    <t>RIP_180806_1041_0166</t>
  </si>
  <si>
    <t>RIP_180806_1041_0167</t>
  </si>
  <si>
    <t>RIP_180806_1041_0168</t>
  </si>
  <si>
    <t>RIP_180806_1041_0169</t>
  </si>
  <si>
    <t>RIP_180806_1041_0170</t>
  </si>
  <si>
    <t>RIP_180806_1041_0171</t>
  </si>
  <si>
    <t>RIP_190504_1025_0001</t>
  </si>
  <si>
    <t>RIP_190504_1025_0002</t>
  </si>
  <si>
    <t>RIP_190504_1025_0003</t>
  </si>
  <si>
    <t>RIP_190504_1025_0004</t>
  </si>
  <si>
    <t>RIP_190504_1025_0005</t>
  </si>
  <si>
    <t>RIP_190504_1025_0006</t>
  </si>
  <si>
    <t>RIP_190504_1025_0007</t>
  </si>
  <si>
    <t>RIP_190504_1025_0008</t>
  </si>
  <si>
    <t>RIP_190504_1025_0009</t>
  </si>
  <si>
    <t>RIP_190504_1025_0010</t>
  </si>
  <si>
    <t>RIP_190504_1025_0011</t>
  </si>
  <si>
    <t>RIP_190504_1025_0012</t>
  </si>
  <si>
    <t>RIP_190504_1025_0013</t>
  </si>
  <si>
    <t>RIP_190504_1025_0014</t>
  </si>
  <si>
    <t>RIP_190504_1025_0015</t>
  </si>
  <si>
    <t>RIP_190504_1025_0016</t>
  </si>
  <si>
    <t>RIP_190504_1025_0017</t>
  </si>
  <si>
    <t>RIP_190504_1025_0018</t>
  </si>
  <si>
    <t>RIP_190504_1025_0019</t>
  </si>
  <si>
    <t>RIP_190504_1025_0020</t>
  </si>
  <si>
    <t>RIP_190504_1025_0021</t>
  </si>
  <si>
    <t>RIP_190504_1025_0022</t>
  </si>
  <si>
    <t>RIP_190504_1025_0023</t>
  </si>
  <si>
    <t>RIP_190504_1025_0024</t>
  </si>
  <si>
    <t>RIP_190504_1025_0025</t>
  </si>
  <si>
    <t>RIP_190504_1025_0026</t>
  </si>
  <si>
    <t>RIP_190504_1025_0027</t>
  </si>
  <si>
    <t>RIP_190504_1025_0028</t>
  </si>
  <si>
    <t>RIP_190504_1025_0029</t>
  </si>
  <si>
    <t>RIP_190504_1025_0030</t>
  </si>
  <si>
    <t>RIP_190504_1025_0031</t>
  </si>
  <si>
    <t>RIP_190504_1025_0032</t>
  </si>
  <si>
    <t>RIP_190504_1025_0033</t>
  </si>
  <si>
    <t>RIP_190504_1025_0034</t>
  </si>
  <si>
    <t>RIP_190504_1025_0035</t>
  </si>
  <si>
    <t>RIP_190504_1025_0036</t>
  </si>
  <si>
    <t>RIP_190504_1025_0037</t>
  </si>
  <si>
    <t>RIP_190504_1025_0038</t>
  </si>
  <si>
    <t>RIP_190504_1025_0039</t>
  </si>
  <si>
    <t>RIP_190504_1025_0040</t>
  </si>
  <si>
    <t>RIP_190504_1025_0041</t>
  </si>
  <si>
    <t>RIP_190504_1025_0042</t>
  </si>
  <si>
    <t>RIP_190504_1025_0043</t>
  </si>
  <si>
    <t>RIP_190504_1025_0044</t>
  </si>
  <si>
    <t>RIP_190504_1025_0045</t>
  </si>
  <si>
    <t>RIP_190504_1025_0046</t>
  </si>
  <si>
    <t>RIP_190504_1025_0047</t>
  </si>
  <si>
    <t>RIP_190504_1025_0048</t>
  </si>
  <si>
    <t>RIP_190504_1025_0049</t>
  </si>
  <si>
    <t>RIP_190504_1025_0050</t>
  </si>
  <si>
    <t>RIP_190504_1025_0051</t>
  </si>
  <si>
    <t>RIP_190504_1025_0052</t>
  </si>
  <si>
    <t>RIP_190504_1025_0053</t>
  </si>
  <si>
    <t>RIP_190504_1025_0054</t>
  </si>
  <si>
    <t>RIP_190504_1025_0055</t>
  </si>
  <si>
    <t>RIP_190504_1025_0056</t>
  </si>
  <si>
    <t>RIP_190504_1025_0057</t>
  </si>
  <si>
    <t>RIP_190504_1025_0058</t>
  </si>
  <si>
    <t>RIP_190504_1025_0059</t>
  </si>
  <si>
    <t>RIP_190504_1025_0060</t>
  </si>
  <si>
    <t>RIP_190504_1025_0061</t>
  </si>
  <si>
    <t>RIP_190504_1025_0062</t>
  </si>
  <si>
    <t>RIP_190504_1025_0063</t>
  </si>
  <si>
    <t>RIP_190504_1025_0064</t>
  </si>
  <si>
    <t>RIP_190504_1025_0065</t>
  </si>
  <si>
    <t>RIP_190504_1025_0066</t>
  </si>
  <si>
    <t>RIP_190504_1025_0067</t>
  </si>
  <si>
    <t>RIP_190504_1025_0068</t>
  </si>
  <si>
    <t>RIP_190504_1025_0069</t>
  </si>
  <si>
    <t>RIP_190504_1025_0070</t>
  </si>
  <si>
    <t>RIP_190504_1025_0071</t>
  </si>
  <si>
    <t>RIP_190504_1025_0072</t>
  </si>
  <si>
    <t>RIP_190504_1025_0073</t>
  </si>
  <si>
    <t>RIP_190504_1025_0074</t>
  </si>
  <si>
    <t>RIP_190504_1025_0075</t>
  </si>
  <si>
    <t>RIP_190504_1025_0076</t>
  </si>
  <si>
    <t>RIP_190504_1025_0077</t>
  </si>
  <si>
    <t>RIP_190504_1025_0078</t>
  </si>
  <si>
    <t>RIP_190504_1025_0079</t>
  </si>
  <si>
    <t>RIP_190504_1025_0080</t>
  </si>
  <si>
    <t>RIP_190504_1025_0081</t>
  </si>
  <si>
    <t>RIP_190504_1025_0082</t>
  </si>
  <si>
    <t>RIP_190504_1025_0083</t>
  </si>
  <si>
    <t>RIP_190504_1025_0084</t>
  </si>
  <si>
    <t>RIP_190504_1025_0085</t>
  </si>
  <si>
    <t>RIP_190504_1025_0086</t>
  </si>
  <si>
    <t>RIP_190504_1025_0087</t>
  </si>
  <si>
    <t>RIP_190504_1025_0088</t>
  </si>
  <si>
    <t>RIP_190504_1025_0089</t>
  </si>
  <si>
    <t>RIP_190504_1025_0090</t>
  </si>
  <si>
    <t>RIP_190504_1025_0091</t>
  </si>
  <si>
    <t>RIP_190504_1025_0092</t>
  </si>
  <si>
    <t>RIP_190504_1025_0093</t>
  </si>
  <si>
    <t>RIP_190504_1025_0094</t>
  </si>
  <si>
    <t>RIP_190504_1025_0095</t>
  </si>
  <si>
    <t>RIP_190504_1025_0096</t>
  </si>
  <si>
    <t>RIP_190504_1025_0097</t>
  </si>
  <si>
    <t>RIP_190504_1025_0098</t>
  </si>
  <si>
    <t>RIP_190504_1025_0099</t>
  </si>
  <si>
    <t>RIP_190504_1025_0100</t>
  </si>
  <si>
    <t>SLM_140809_1041_0001</t>
  </si>
  <si>
    <t>SLM_140809_1041_0002</t>
  </si>
  <si>
    <t>SLM_140809_1041_0003</t>
  </si>
  <si>
    <t>SLM_140809_1041_0004</t>
  </si>
  <si>
    <t>SLM_140809_1041_0005</t>
  </si>
  <si>
    <t>SLM_140809_1041_0006</t>
  </si>
  <si>
    <t>SLM_140809_1041_0007</t>
  </si>
  <si>
    <t>SLM_140809_1041_0008</t>
  </si>
  <si>
    <t>SLM_140809_1041_0009</t>
  </si>
  <si>
    <t>SLM_140809_1041_0010</t>
  </si>
  <si>
    <t>SLM_140809_1041_0011</t>
  </si>
  <si>
    <t>SLM_140809_1041_0012</t>
  </si>
  <si>
    <t>SLM_140809_1041_0013</t>
  </si>
  <si>
    <t>SLM_140809_1041_0014</t>
  </si>
  <si>
    <t>SLM_140809_1041_0015</t>
  </si>
  <si>
    <t>SLM_140809_1041_0016</t>
  </si>
  <si>
    <t>SLM_140809_1041_0017</t>
  </si>
  <si>
    <t>SLM_140809_1041_0018</t>
  </si>
  <si>
    <t>SLM_140809_1041_0019</t>
  </si>
  <si>
    <t>SLM_140809_1041_0020</t>
  </si>
  <si>
    <t>SLM_140809_1041_0021</t>
  </si>
  <si>
    <t>SLM_140809_1041_0022</t>
  </si>
  <si>
    <t>SLM_140809_1041_0023</t>
  </si>
  <si>
    <t>SLM_140809_1041_0024</t>
  </si>
  <si>
    <t>SLM_140809_1041_0025</t>
  </si>
  <si>
    <t>SLM_140809_1041_0026</t>
  </si>
  <si>
    <t>SLM_140809_1041_0027</t>
  </si>
  <si>
    <t>SLM_140809_1041_0028</t>
  </si>
  <si>
    <t>SLM_140809_1041_0029</t>
  </si>
  <si>
    <t>SLM_140809_1041_0030</t>
  </si>
  <si>
    <t>SLM_140809_1041_0031</t>
  </si>
  <si>
    <t>SLM_140809_1041_0032</t>
  </si>
  <si>
    <t>SLM_140809_1041_0033</t>
  </si>
  <si>
    <t>SLM_140809_1041_0034</t>
  </si>
  <si>
    <t>SLM_140809_1041_0035</t>
  </si>
  <si>
    <t>SLM_140809_1041_0036</t>
  </si>
  <si>
    <t>SLM_140809_1041_0037</t>
  </si>
  <si>
    <t>SLM_140809_1041_0038</t>
  </si>
  <si>
    <t>SLM_140809_1041_0039</t>
  </si>
  <si>
    <t>SLM_140809_1041_0040</t>
  </si>
  <si>
    <t>SLM_140809_1041_0041</t>
  </si>
  <si>
    <t>SLM_140809_1041_0042</t>
  </si>
  <si>
    <t>SLM_140809_1041_0043</t>
  </si>
  <si>
    <t>SLM_140809_1041_0044</t>
  </si>
  <si>
    <t>SLM_140809_1041_0045</t>
  </si>
  <si>
    <t>SLM_140809_1041_0046</t>
  </si>
  <si>
    <t>SLM_140809_1041_0047</t>
  </si>
  <si>
    <t>SLM_140809_1041_0048</t>
  </si>
  <si>
    <t>SLM_140809_1041_0049</t>
  </si>
  <si>
    <t>SLM_140809_1041_0050</t>
  </si>
  <si>
    <t>SLM_140809_1041_0051</t>
  </si>
  <si>
    <t>SLM_140809_1041_0052</t>
  </si>
  <si>
    <t>SLM_140809_1041_0053</t>
  </si>
  <si>
    <t>SLM_140809_1041_0054</t>
  </si>
  <si>
    <t>SLM_140809_1041_0055</t>
  </si>
  <si>
    <t>SLM_140809_1041_0056</t>
  </si>
  <si>
    <t>SLM_140809_1041_0057</t>
  </si>
  <si>
    <t>SLM_140809_1041_0058</t>
  </si>
  <si>
    <t>SLM_140809_1041_0059</t>
  </si>
  <si>
    <t>SLM_140809_1041_0060</t>
  </si>
  <si>
    <t>SLM_140809_1041_0061</t>
  </si>
  <si>
    <t>SLM_140809_1041_0062</t>
  </si>
  <si>
    <t>SLM_140809_1041_0063</t>
  </si>
  <si>
    <t>SLM_140809_1041_0064</t>
  </si>
  <si>
    <t>SLM_140809_1041_0065</t>
  </si>
  <si>
    <t>SLM_140809_1041_0066</t>
  </si>
  <si>
    <t>SLM_140809_1041_0067</t>
  </si>
  <si>
    <t>SLM_140809_1041_0068</t>
  </si>
  <si>
    <t>SLM_140809_1041_0069</t>
  </si>
  <si>
    <t>SLM_140809_1041_0070</t>
  </si>
  <si>
    <t>SLM_140809_1041_0071</t>
  </si>
  <si>
    <t>SLM_140809_1041_0072</t>
  </si>
  <si>
    <t>SLM_140809_1041_0073</t>
  </si>
  <si>
    <t>SLM_140809_1041_0074</t>
  </si>
  <si>
    <t>SLM_140809_1041_0075</t>
  </si>
  <si>
    <t>SLM_140809_1041_0076</t>
  </si>
  <si>
    <t>SLM_150602_1043_0001</t>
  </si>
  <si>
    <t>SLM_150602_1043_0002</t>
  </si>
  <si>
    <t>SLM_150602_1043_0003</t>
  </si>
  <si>
    <t>SLM_150602_1043_0004</t>
  </si>
  <si>
    <t>SLM_150602_1043_0005</t>
  </si>
  <si>
    <t>SLM_150602_1043_0006</t>
  </si>
  <si>
    <t>SLM_150602_1043_0007</t>
  </si>
  <si>
    <t>SLM_150602_1043_0008</t>
  </si>
  <si>
    <t>SLM_150602_1043_0009</t>
  </si>
  <si>
    <t>SLM_150602_1043_0010</t>
  </si>
  <si>
    <t>SLM_150602_1043_0011</t>
  </si>
  <si>
    <t>SLM_150602_1043_0012</t>
  </si>
  <si>
    <t>SLM_150602_1043_0013</t>
  </si>
  <si>
    <t>SLM_150602_1043_0014</t>
  </si>
  <si>
    <t>SLM_150602_1043_0016</t>
  </si>
  <si>
    <t>SLM_150602_1043_0017</t>
  </si>
  <si>
    <t>SLM_150602_1043_0018</t>
  </si>
  <si>
    <t>SLM_150602_1043_0019</t>
  </si>
  <si>
    <t>SLM_150602_1043_0020</t>
  </si>
  <si>
    <t>SLM_150602_1043_0021</t>
  </si>
  <si>
    <t>SLM_150602_1043_0022</t>
  </si>
  <si>
    <t>SLM_150602_1043_0023</t>
  </si>
  <si>
    <t>SLM_150602_1043_0024</t>
  </si>
  <si>
    <t>SLM_150602_1043_0025</t>
  </si>
  <si>
    <t>SLM_150602_1043_0026</t>
  </si>
  <si>
    <t>SLM_150711_1035_0001</t>
  </si>
  <si>
    <t>SLM_150711_1035_0002</t>
  </si>
  <si>
    <t>SLM_150711_1035_0003</t>
  </si>
  <si>
    <t>SLM_150711_1035_0004</t>
  </si>
  <si>
    <t>SLM_150711_1035_0006</t>
  </si>
  <si>
    <t>SLM_150711_1035_0007</t>
  </si>
  <si>
    <t>SLM_150711_1035_0008</t>
  </si>
  <si>
    <t>SLM_150711_1035_0009</t>
  </si>
  <si>
    <t>SLM_150711_1035_0010</t>
  </si>
  <si>
    <t>SLM_150711_1035_0011</t>
  </si>
  <si>
    <t>SLM_150711_1035_0012</t>
  </si>
  <si>
    <t>SLM_150711_1035_0013</t>
  </si>
  <si>
    <t>SLM_150711_1035_0014</t>
  </si>
  <si>
    <t>SLM_150711_1035_0015</t>
  </si>
  <si>
    <t>SLM_150711_1035_0016</t>
  </si>
  <si>
    <t>SLM_150711_1035_0017</t>
  </si>
  <si>
    <t>SLM_150711_1035_0018</t>
  </si>
  <si>
    <t>SLM_150711_1035_0019</t>
  </si>
  <si>
    <t>SLM_150711_1035_0020</t>
  </si>
  <si>
    <t>SLM_150711_1035_0021</t>
  </si>
  <si>
    <t>SLM_150711_1035_0022</t>
  </si>
  <si>
    <t>SLM_150711_1035_0023</t>
  </si>
  <si>
    <t>SLM_150711_1035_0024</t>
  </si>
  <si>
    <t>SLM_150711_1035_0025</t>
  </si>
  <si>
    <t>SLM_150711_1035_0026</t>
  </si>
  <si>
    <t>SLM_190503_1038_0001</t>
  </si>
  <si>
    <t>SLM_190503_1038_0002</t>
  </si>
  <si>
    <t>SLM_190503_1038_0003</t>
  </si>
  <si>
    <t>SLM_190503_1038_0004</t>
  </si>
  <si>
    <t>SLM_190503_1038_0005</t>
  </si>
  <si>
    <t>SLM_190503_1038_0006</t>
  </si>
  <si>
    <t>SLM_190503_1038_0007</t>
  </si>
  <si>
    <t>SLM_190503_1038_0008</t>
  </si>
  <si>
    <t>SLM_190503_1038_0009</t>
  </si>
  <si>
    <t>SLM_190503_1038_0010</t>
  </si>
  <si>
    <t>SLM_190503_1038_0011</t>
  </si>
  <si>
    <t>SLM_190503_1038_0012</t>
  </si>
  <si>
    <t>SLM_190503_1038_0013</t>
  </si>
  <si>
    <t>SLM_190503_1038_0014</t>
  </si>
  <si>
    <t>SLM_190503_1038_0015</t>
  </si>
  <si>
    <t>SLM_190503_1038_0016</t>
  </si>
  <si>
    <t>SLM_190503_1038_0017</t>
  </si>
  <si>
    <t>SLM_190503_1038_0018</t>
  </si>
  <si>
    <t>SLM_190503_1038_0019</t>
  </si>
  <si>
    <t>SLM_190503_1038_0020</t>
  </si>
  <si>
    <t>SLM_190503_1038_0021</t>
  </si>
  <si>
    <t>SLM_190503_1038_0022</t>
  </si>
  <si>
    <t>SLM_190503_1038_0023</t>
  </si>
  <si>
    <t>SLM_190503_1038_0024</t>
  </si>
  <si>
    <t>SLM_190503_1038_0025</t>
  </si>
  <si>
    <t>SLM_190503_1038_0026</t>
  </si>
  <si>
    <t>SLM_190503_1038_0027</t>
  </si>
  <si>
    <t>SLM_190503_1038_0028</t>
  </si>
  <si>
    <t>SLM_190503_1038_0029</t>
  </si>
  <si>
    <t>SLM_190503_1038_0030</t>
  </si>
  <si>
    <t>SLM_190503_1038_0031</t>
  </si>
  <si>
    <t>SLM_190503_1038_0032</t>
  </si>
  <si>
    <t>SLM_190503_1038_0033</t>
  </si>
  <si>
    <t>SLM_190503_1038_0034</t>
  </si>
  <si>
    <t>SLM_190503_1038_0035</t>
  </si>
  <si>
    <t>SLM_190503_1038_0036</t>
  </si>
  <si>
    <t>SLM_190503_1038_0037</t>
  </si>
  <si>
    <t>SLM_190503_1038_0038</t>
  </si>
  <si>
    <t>SLM_190503_1038_0039</t>
  </si>
  <si>
    <t>SLM_190503_1038_0040</t>
  </si>
  <si>
    <t>SLM_190503_1038_0041</t>
  </si>
  <si>
    <t>SLM_190503_1038_0042</t>
  </si>
  <si>
    <t>SLM_190503_1038_0043</t>
  </si>
  <si>
    <t>SLM_190503_1038_0044</t>
  </si>
  <si>
    <t>SLM_190503_1038_0045</t>
  </si>
  <si>
    <t>SLM_190503_1038_0046</t>
  </si>
  <si>
    <t>SLM_190503_1038_0047</t>
  </si>
  <si>
    <t>SLM_190503_1038_0048</t>
  </si>
  <si>
    <t>SLM_190503_1038_0049</t>
  </si>
  <si>
    <t>SLM_190503_1038_0050</t>
  </si>
  <si>
    <t>SLM_190503_1038_0051</t>
  </si>
  <si>
    <t>SLM_190503_1038_0052</t>
  </si>
  <si>
    <t>SLM_190503_1038_0053</t>
  </si>
  <si>
    <t>SLM_190503_1038_0054</t>
  </si>
  <si>
    <t>SLM_190503_1038_0055</t>
  </si>
  <si>
    <t>SLM_190503_1038_0056</t>
  </si>
  <si>
    <t>SLM_190503_1038_0057</t>
  </si>
  <si>
    <t>SLM_190503_1038_0058</t>
  </si>
  <si>
    <t>SLM_190503_1038_0059</t>
  </si>
  <si>
    <t>SLM_190503_1038_0060</t>
  </si>
  <si>
    <t>LAI_eureqa_b3</t>
  </si>
  <si>
    <t>Residual</t>
  </si>
  <si>
    <t>Residual^2</t>
  </si>
  <si>
    <t>a</t>
  </si>
  <si>
    <t>b</t>
  </si>
  <si>
    <t>c</t>
  </si>
  <si>
    <t>3.67261957013485*NDVIf + 17.2418567409071*BCC*GBNDVI + -0.069729243764334/(BCC - 0.140684322103464) - CH</t>
  </si>
  <si>
    <t>d</t>
  </si>
  <si>
    <t>CH</t>
  </si>
  <si>
    <t>BCC</t>
  </si>
  <si>
    <t>GBNDVI</t>
  </si>
  <si>
    <t>NDVIf</t>
  </si>
  <si>
    <t>SumErr2</t>
  </si>
  <si>
    <t>n</t>
  </si>
  <si>
    <t>rmse</t>
  </si>
  <si>
    <t>e</t>
  </si>
  <si>
    <t>Selected Equation</t>
  </si>
  <si>
    <t>mse</t>
  </si>
  <si>
    <t>One to one line</t>
  </si>
  <si>
    <t xml:space="preserve">PYSR Equation </t>
  </si>
  <si>
    <t>Eureqa equation</t>
  </si>
  <si>
    <t>NDVI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</si>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</sst>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LAI_eureqa_b3 solver</a:t>
            </a:r>
          </a:p>
        </c:rich>
      </c:tx>
      <c:layout>
        <c:manualLayout>
          <c:xMode val="edge"/>
          <c:yMode val="edge"/>
          <c:x val="0.17705540974044912"/>
          <c:y val="2.80210106097401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Modeled_LAI_allmethods!$R$1</c:f>
              <c:strCache>
                <c:ptCount val="1"/>
                <c:pt idx="0">
                  <c:v>LAI_eureqa_b3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3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354184893554972"/>
                  <c:y val="-0.26804560437863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Modeled_LAI_allmethods!$R$2:$R$2409</c:f>
              <c:numCache>
                <c:formatCode>General</c:formatCode>
                <c:ptCount val="186"/>
                <c:pt idx="0">
                  <c:v>2.1906450176988246</c:v>
                </c:pt>
                <c:pt idx="1">
                  <c:v>2.4987391594189932</c:v>
                </c:pt>
                <c:pt idx="2">
                  <c:v>2.7431152202591038</c:v>
                </c:pt>
                <c:pt idx="3">
                  <c:v>2.3347558796117616</c:v>
                </c:pt>
                <c:pt idx="4">
                  <c:v>1.8960822146077736</c:v>
                </c:pt>
                <c:pt idx="5">
                  <c:v>1.742621724986432</c:v>
                </c:pt>
                <c:pt idx="6">
                  <c:v>2.3368163465602563</c:v>
                </c:pt>
                <c:pt idx="7">
                  <c:v>2.0215005067990184</c:v>
                </c:pt>
                <c:pt idx="8">
                  <c:v>1.4840511260955933</c:v>
                </c:pt>
                <c:pt idx="9">
                  <c:v>1.7385310413502568</c:v>
                </c:pt>
                <c:pt idx="10">
                  <c:v>2.5633508022894276</c:v>
                </c:pt>
                <c:pt idx="11">
                  <c:v>2.3323342936815834</c:v>
                </c:pt>
                <c:pt idx="12">
                  <c:v>2.2186562644434966</c:v>
                </c:pt>
                <c:pt idx="13">
                  <c:v>2.143548900103013</c:v>
                </c:pt>
                <c:pt idx="14">
                  <c:v>1.9398743718711291</c:v>
                </c:pt>
                <c:pt idx="15">
                  <c:v>1.920618882381508</c:v>
                </c:pt>
                <c:pt idx="16">
                  <c:v>2.0965454462351603</c:v>
                </c:pt>
                <c:pt idx="17">
                  <c:v>1.7009688742477311</c:v>
                </c:pt>
                <c:pt idx="18">
                  <c:v>1.624677875619335</c:v>
                </c:pt>
                <c:pt idx="19">
                  <c:v>2.1541251637944177</c:v>
                </c:pt>
                <c:pt idx="20">
                  <c:v>1.7498417011816159</c:v>
                </c:pt>
                <c:pt idx="21">
                  <c:v>1.9711018354174241</c:v>
                </c:pt>
                <c:pt idx="22">
                  <c:v>1.4164592719599951</c:v>
                </c:pt>
                <c:pt idx="23">
                  <c:v>1.3794000042742733</c:v>
                </c:pt>
                <c:pt idx="24">
                  <c:v>1.4091259418035929</c:v>
                </c:pt>
                <c:pt idx="25">
                  <c:v>1.7188672565579268</c:v>
                </c:pt>
                <c:pt idx="26">
                  <c:v>1.6203217484135179</c:v>
                </c:pt>
                <c:pt idx="27">
                  <c:v>1.2686580877101017</c:v>
                </c:pt>
                <c:pt idx="28">
                  <c:v>1.0779359862148929</c:v>
                </c:pt>
                <c:pt idx="29">
                  <c:v>1.4013910635902525</c:v>
                </c:pt>
                <c:pt idx="30">
                  <c:v>1.1805889534876042</c:v>
                </c:pt>
                <c:pt idx="31">
                  <c:v>1.6528596254030341</c:v>
                </c:pt>
                <c:pt idx="32">
                  <c:v>1.4950489532460867</c:v>
                </c:pt>
                <c:pt idx="33">
                  <c:v>1.2446759432474868</c:v>
                </c:pt>
                <c:pt idx="34">
                  <c:v>1.3603949737268715</c:v>
                </c:pt>
                <c:pt idx="35">
                  <c:v>1.613742331986874</c:v>
                </c:pt>
                <c:pt idx="36">
                  <c:v>1.7193209617729448</c:v>
                </c:pt>
                <c:pt idx="37">
                  <c:v>0.98391511683781818</c:v>
                </c:pt>
                <c:pt idx="38">
                  <c:v>1.2429040407885135</c:v>
                </c:pt>
                <c:pt idx="39">
                  <c:v>1.272635798631506</c:v>
                </c:pt>
                <c:pt idx="40">
                  <c:v>2.2666398690077156</c:v>
                </c:pt>
                <c:pt idx="41">
                  <c:v>2.5992807156972848</c:v>
                </c:pt>
                <c:pt idx="42">
                  <c:v>2.7852934045457713</c:v>
                </c:pt>
                <c:pt idx="43">
                  <c:v>2.4738570621771685</c:v>
                </c:pt>
                <c:pt idx="44">
                  <c:v>2.7354115196668003</c:v>
                </c:pt>
                <c:pt idx="45">
                  <c:v>1.6963285740451797</c:v>
                </c:pt>
                <c:pt idx="46">
                  <c:v>2.3853368397352996</c:v>
                </c:pt>
                <c:pt idx="47">
                  <c:v>2.3566680198858121</c:v>
                </c:pt>
                <c:pt idx="48">
                  <c:v>2.064905736755843</c:v>
                </c:pt>
                <c:pt idx="49">
                  <c:v>2.392638505185146</c:v>
                </c:pt>
                <c:pt idx="50">
                  <c:v>1.4509775462650381</c:v>
                </c:pt>
                <c:pt idx="51">
                  <c:v>2.3562595047421686</c:v>
                </c:pt>
                <c:pt idx="52">
                  <c:v>2.2784870977451184</c:v>
                </c:pt>
                <c:pt idx="53">
                  <c:v>2.2643151802719124</c:v>
                </c:pt>
                <c:pt idx="54">
                  <c:v>2.2532698751110551</c:v>
                </c:pt>
                <c:pt idx="55">
                  <c:v>2.382303172410241</c:v>
                </c:pt>
                <c:pt idx="56">
                  <c:v>2.5936813430999779</c:v>
                </c:pt>
                <c:pt idx="57">
                  <c:v>2.5301311561595847</c:v>
                </c:pt>
                <c:pt idx="58">
                  <c:v>2.807187564765234</c:v>
                </c:pt>
                <c:pt idx="59">
                  <c:v>2.701373995375409</c:v>
                </c:pt>
                <c:pt idx="60">
                  <c:v>2.3718402773378444</c:v>
                </c:pt>
                <c:pt idx="61">
                  <c:v>2.3497785683554628</c:v>
                </c:pt>
                <c:pt idx="62">
                  <c:v>2.6485619097896267</c:v>
                </c:pt>
                <c:pt idx="63">
                  <c:v>2.6802396298728923</c:v>
                </c:pt>
                <c:pt idx="64">
                  <c:v>2.8144087701278719</c:v>
                </c:pt>
                <c:pt idx="65">
                  <c:v>2.6568426351547663</c:v>
                </c:pt>
                <c:pt idx="66">
                  <c:v>2.3369530763887987</c:v>
                </c:pt>
                <c:pt idx="67">
                  <c:v>2.7074966856944247</c:v>
                </c:pt>
                <c:pt idx="68">
                  <c:v>2.6182471017200206</c:v>
                </c:pt>
                <c:pt idx="69">
                  <c:v>2.9987451654144706</c:v>
                </c:pt>
                <c:pt idx="70">
                  <c:v>3.0164775512681592</c:v>
                </c:pt>
                <c:pt idx="71">
                  <c:v>2.4747396682873153</c:v>
                </c:pt>
                <c:pt idx="72">
                  <c:v>2.6406534741401821</c:v>
                </c:pt>
                <c:pt idx="73">
                  <c:v>2.6932521079401308</c:v>
                </c:pt>
                <c:pt idx="74">
                  <c:v>2.7305672537596881</c:v>
                </c:pt>
                <c:pt idx="75">
                  <c:v>2.9332407136659207</c:v>
                </c:pt>
                <c:pt idx="76">
                  <c:v>2.5375085146324947</c:v>
                </c:pt>
                <c:pt idx="77">
                  <c:v>2.8528492138484487</c:v>
                </c:pt>
                <c:pt idx="78">
                  <c:v>2.5178292582984523</c:v>
                </c:pt>
                <c:pt idx="79">
                  <c:v>2.3663758757564688</c:v>
                </c:pt>
                <c:pt idx="80">
                  <c:v>2.7447326437416155</c:v>
                </c:pt>
                <c:pt idx="81">
                  <c:v>2.7318401034633508</c:v>
                </c:pt>
                <c:pt idx="82">
                  <c:v>2.5427098167166786</c:v>
                </c:pt>
                <c:pt idx="83">
                  <c:v>3.3846009340752845</c:v>
                </c:pt>
                <c:pt idx="84">
                  <c:v>2.6815833216819076</c:v>
                </c:pt>
                <c:pt idx="85">
                  <c:v>2.0874325493219539</c:v>
                </c:pt>
                <c:pt idx="86">
                  <c:v>1.9345619842266408</c:v>
                </c:pt>
                <c:pt idx="87">
                  <c:v>2.2534797406656435</c:v>
                </c:pt>
                <c:pt idx="88">
                  <c:v>2.6623118557129084</c:v>
                </c:pt>
                <c:pt idx="89">
                  <c:v>2.4484040932010029</c:v>
                </c:pt>
                <c:pt idx="90">
                  <c:v>3.4817906307381437</c:v>
                </c:pt>
                <c:pt idx="91">
                  <c:v>3.3520822109086117</c:v>
                </c:pt>
                <c:pt idx="92">
                  <c:v>3.8098065169700313</c:v>
                </c:pt>
                <c:pt idx="93">
                  <c:v>3.5561282789773272</c:v>
                </c:pt>
                <c:pt idx="94">
                  <c:v>2.985739271708129</c:v>
                </c:pt>
                <c:pt idx="95">
                  <c:v>2.1488621754059376</c:v>
                </c:pt>
                <c:pt idx="96">
                  <c:v>2.9957962612950224</c:v>
                </c:pt>
                <c:pt idx="97">
                  <c:v>2.1379194147214053</c:v>
                </c:pt>
                <c:pt idx="98">
                  <c:v>2.3854030386172456</c:v>
                </c:pt>
                <c:pt idx="99">
                  <c:v>2.7403058344614148</c:v>
                </c:pt>
                <c:pt idx="100">
                  <c:v>2.2050129905136138</c:v>
                </c:pt>
                <c:pt idx="101">
                  <c:v>1.8057440804137479</c:v>
                </c:pt>
                <c:pt idx="102">
                  <c:v>2.3225882309839418</c:v>
                </c:pt>
                <c:pt idx="103">
                  <c:v>1.5352246349469225</c:v>
                </c:pt>
                <c:pt idx="104">
                  <c:v>1.6029508336929228</c:v>
                </c:pt>
                <c:pt idx="105">
                  <c:v>2.4969798827111598</c:v>
                </c:pt>
                <c:pt idx="106">
                  <c:v>2.81995081289881</c:v>
                </c:pt>
                <c:pt idx="107">
                  <c:v>2.8921172830033606</c:v>
                </c:pt>
                <c:pt idx="108">
                  <c:v>2.6116173129740199</c:v>
                </c:pt>
                <c:pt idx="109">
                  <c:v>2.7109061765093654</c:v>
                </c:pt>
                <c:pt idx="110">
                  <c:v>2.0491677886193882</c:v>
                </c:pt>
                <c:pt idx="111">
                  <c:v>2.6474056396039876</c:v>
                </c:pt>
                <c:pt idx="112">
                  <c:v>2.3197468583929739</c:v>
                </c:pt>
                <c:pt idx="113">
                  <c:v>1.8664182626981074</c:v>
                </c:pt>
                <c:pt idx="114">
                  <c:v>2.0197180068647151</c:v>
                </c:pt>
                <c:pt idx="115">
                  <c:v>1.4235723099643733</c:v>
                </c:pt>
                <c:pt idx="116">
                  <c:v>2.8175001683185248</c:v>
                </c:pt>
                <c:pt idx="117">
                  <c:v>2.4591257915170819</c:v>
                </c:pt>
                <c:pt idx="118">
                  <c:v>2.6674025879011554</c:v>
                </c:pt>
                <c:pt idx="119">
                  <c:v>2.7024622052617704</c:v>
                </c:pt>
                <c:pt idx="120">
                  <c:v>2.8090886597810467</c:v>
                </c:pt>
                <c:pt idx="121">
                  <c:v>2.9500127353457657</c:v>
                </c:pt>
                <c:pt idx="122">
                  <c:v>2.8979744235195066</c:v>
                </c:pt>
                <c:pt idx="123">
                  <c:v>2.6162619770180768</c:v>
                </c:pt>
                <c:pt idx="124">
                  <c:v>2.3111069843013752</c:v>
                </c:pt>
                <c:pt idx="125">
                  <c:v>2.3471151133562191</c:v>
                </c:pt>
                <c:pt idx="126">
                  <c:v>1.6085849197276829</c:v>
                </c:pt>
                <c:pt idx="127">
                  <c:v>1.4719370971511716</c:v>
                </c:pt>
                <c:pt idx="128">
                  <c:v>1.4961360746985419</c:v>
                </c:pt>
                <c:pt idx="129">
                  <c:v>1.3384362950845419</c:v>
                </c:pt>
                <c:pt idx="130">
                  <c:v>1.6857718526866905</c:v>
                </c:pt>
                <c:pt idx="131">
                  <c:v>1.345087860650692</c:v>
                </c:pt>
                <c:pt idx="132">
                  <c:v>1.0708940671768219</c:v>
                </c:pt>
                <c:pt idx="133">
                  <c:v>1.0404197447777026</c:v>
                </c:pt>
                <c:pt idx="134">
                  <c:v>1.0201509031755935</c:v>
                </c:pt>
                <c:pt idx="135">
                  <c:v>1.248772697473064</c:v>
                </c:pt>
                <c:pt idx="136">
                  <c:v>1.3018403419684041</c:v>
                </c:pt>
                <c:pt idx="137">
                  <c:v>0.83356465380116651</c:v>
                </c:pt>
                <c:pt idx="138">
                  <c:v>1.047066634544624</c:v>
                </c:pt>
                <c:pt idx="139">
                  <c:v>0.92056549293249024</c:v>
                </c:pt>
                <c:pt idx="140">
                  <c:v>1.264095174961545</c:v>
                </c:pt>
                <c:pt idx="141">
                  <c:v>1.3219077547713511</c:v>
                </c:pt>
                <c:pt idx="142">
                  <c:v>1.0983174936411557</c:v>
                </c:pt>
                <c:pt idx="143">
                  <c:v>1.169333473060318</c:v>
                </c:pt>
                <c:pt idx="144">
                  <c:v>1.5485824657486589</c:v>
                </c:pt>
                <c:pt idx="145">
                  <c:v>1.8579876982590813</c:v>
                </c:pt>
                <c:pt idx="146">
                  <c:v>1.0140081208871119</c:v>
                </c:pt>
                <c:pt idx="147">
                  <c:v>1.4093900242816533</c:v>
                </c:pt>
                <c:pt idx="148">
                  <c:v>1.2568693926692611</c:v>
                </c:pt>
                <c:pt idx="149">
                  <c:v>1.1187790258067549</c:v>
                </c:pt>
                <c:pt idx="150">
                  <c:v>1.3042506434048069</c:v>
                </c:pt>
                <c:pt idx="151">
                  <c:v>1.2488358842253509</c:v>
                </c:pt>
                <c:pt idx="152">
                  <c:v>1.2576447128349533</c:v>
                </c:pt>
                <c:pt idx="153">
                  <c:v>1.2835347957841794</c:v>
                </c:pt>
                <c:pt idx="154">
                  <c:v>1.2425958447973708</c:v>
                </c:pt>
                <c:pt idx="155">
                  <c:v>1.2295284916374145</c:v>
                </c:pt>
                <c:pt idx="156">
                  <c:v>1.3825530582621313</c:v>
                </c:pt>
                <c:pt idx="157">
                  <c:v>1.3192270735269513</c:v>
                </c:pt>
                <c:pt idx="158">
                  <c:v>1.3902285193432711</c:v>
                </c:pt>
                <c:pt idx="159">
                  <c:v>1.1502873098383248</c:v>
                </c:pt>
                <c:pt idx="160">
                  <c:v>1.1900204426441898</c:v>
                </c:pt>
                <c:pt idx="161">
                  <c:v>1.2102274865419016</c:v>
                </c:pt>
                <c:pt idx="162">
                  <c:v>1.3393243391256453</c:v>
                </c:pt>
                <c:pt idx="163">
                  <c:v>0.79728222409560123</c:v>
                </c:pt>
                <c:pt idx="164">
                  <c:v>0.92570830253384573</c:v>
                </c:pt>
                <c:pt idx="165">
                  <c:v>1.000562110789283</c:v>
                </c:pt>
                <c:pt idx="166">
                  <c:v>1.3105721937398096</c:v>
                </c:pt>
                <c:pt idx="167">
                  <c:v>1.3561619738165893</c:v>
                </c:pt>
                <c:pt idx="168">
                  <c:v>1.0783438263006486</c:v>
                </c:pt>
                <c:pt idx="169">
                  <c:v>1.0170285857488599</c:v>
                </c:pt>
                <c:pt idx="170">
                  <c:v>1.3980203663557211</c:v>
                </c:pt>
                <c:pt idx="171">
                  <c:v>1.7963254036842473</c:v>
                </c:pt>
                <c:pt idx="172">
                  <c:v>1.4725572175332986</c:v>
                </c:pt>
                <c:pt idx="173">
                  <c:v>1.1919489467294833</c:v>
                </c:pt>
                <c:pt idx="174">
                  <c:v>1.4456533043635833</c:v>
                </c:pt>
                <c:pt idx="175">
                  <c:v>1.8581699431502789</c:v>
                </c:pt>
                <c:pt idx="176">
                  <c:v>1.0081752449722248</c:v>
                </c:pt>
                <c:pt idx="177">
                  <c:v>1.0240569448997077</c:v>
                </c:pt>
                <c:pt idx="178">
                  <c:v>0.98671219132372512</c:v>
                </c:pt>
                <c:pt idx="179">
                  <c:v>0.56186861194247673</c:v>
                </c:pt>
                <c:pt idx="180">
                  <c:v>0.7550373263415171</c:v>
                </c:pt>
                <c:pt idx="181">
                  <c:v>0.9748607079449263</c:v>
                </c:pt>
                <c:pt idx="182">
                  <c:v>1.0817325624739813</c:v>
                </c:pt>
                <c:pt idx="183">
                  <c:v>0.94382651019861008</c:v>
                </c:pt>
                <c:pt idx="184">
                  <c:v>0.90999230074904958</c:v>
                </c:pt>
                <c:pt idx="185">
                  <c:v>1.0190467251935873</c:v>
                </c:pt>
              </c:numCache>
            </c:numRef>
          </c:xVal>
          <c:yVal>
            <c:numRef>
              <c:f>Modeled_LAI_allmethods!$Q$2:$Q$2409</c:f>
              <c:numCache>
                <c:formatCode>General</c:formatCode>
                <c:ptCount val="186"/>
                <c:pt idx="0">
                  <c:v>1.77</c:v>
                </c:pt>
                <c:pt idx="1">
                  <c:v>2.35</c:v>
                </c:pt>
                <c:pt idx="2">
                  <c:v>2.4900000000000002</c:v>
                </c:pt>
                <c:pt idx="3">
                  <c:v>2.33</c:v>
                </c:pt>
                <c:pt idx="4">
                  <c:v>3.09</c:v>
                </c:pt>
                <c:pt idx="5">
                  <c:v>2.4700000000000002</c:v>
                </c:pt>
                <c:pt idx="6">
                  <c:v>2.4700000000000002</c:v>
                </c:pt>
                <c:pt idx="7">
                  <c:v>1.69</c:v>
                </c:pt>
                <c:pt idx="8">
                  <c:v>1.94</c:v>
                </c:pt>
                <c:pt idx="9">
                  <c:v>1.34</c:v>
                </c:pt>
                <c:pt idx="10">
                  <c:v>2.1</c:v>
                </c:pt>
                <c:pt idx="11">
                  <c:v>1.89</c:v>
                </c:pt>
                <c:pt idx="12">
                  <c:v>1.75</c:v>
                </c:pt>
                <c:pt idx="13">
                  <c:v>1.76</c:v>
                </c:pt>
                <c:pt idx="14">
                  <c:v>1.69</c:v>
                </c:pt>
                <c:pt idx="15">
                  <c:v>1.6</c:v>
                </c:pt>
                <c:pt idx="16">
                  <c:v>2.23</c:v>
                </c:pt>
                <c:pt idx="17">
                  <c:v>2.17</c:v>
                </c:pt>
                <c:pt idx="18">
                  <c:v>1.88</c:v>
                </c:pt>
                <c:pt idx="19">
                  <c:v>2.1800000000000002</c:v>
                </c:pt>
                <c:pt idx="20">
                  <c:v>1.51</c:v>
                </c:pt>
                <c:pt idx="21">
                  <c:v>1.44</c:v>
                </c:pt>
                <c:pt idx="22">
                  <c:v>2.17</c:v>
                </c:pt>
                <c:pt idx="23">
                  <c:v>1.77</c:v>
                </c:pt>
                <c:pt idx="24">
                  <c:v>1.63</c:v>
                </c:pt>
                <c:pt idx="25">
                  <c:v>1.79</c:v>
                </c:pt>
                <c:pt idx="26">
                  <c:v>1.95</c:v>
                </c:pt>
                <c:pt idx="27">
                  <c:v>2.1800000000000002</c:v>
                </c:pt>
                <c:pt idx="28">
                  <c:v>1.59</c:v>
                </c:pt>
                <c:pt idx="29">
                  <c:v>2.15</c:v>
                </c:pt>
                <c:pt idx="30">
                  <c:v>1.74</c:v>
                </c:pt>
                <c:pt idx="31">
                  <c:v>1.72</c:v>
                </c:pt>
                <c:pt idx="32">
                  <c:v>1.88</c:v>
                </c:pt>
                <c:pt idx="33">
                  <c:v>2.31</c:v>
                </c:pt>
                <c:pt idx="34">
                  <c:v>1.94</c:v>
                </c:pt>
                <c:pt idx="35">
                  <c:v>0.8</c:v>
                </c:pt>
                <c:pt idx="36">
                  <c:v>1.1000000000000001</c:v>
                </c:pt>
                <c:pt idx="37">
                  <c:v>1.94</c:v>
                </c:pt>
                <c:pt idx="38">
                  <c:v>1.79</c:v>
                </c:pt>
                <c:pt idx="39">
                  <c:v>0.11</c:v>
                </c:pt>
                <c:pt idx="40">
                  <c:v>2.84</c:v>
                </c:pt>
                <c:pt idx="41">
                  <c:v>2.1800000000000002</c:v>
                </c:pt>
                <c:pt idx="42">
                  <c:v>3.02</c:v>
                </c:pt>
                <c:pt idx="43">
                  <c:v>2.33</c:v>
                </c:pt>
                <c:pt idx="44">
                  <c:v>2.63</c:v>
                </c:pt>
                <c:pt idx="45">
                  <c:v>2.4</c:v>
                </c:pt>
                <c:pt idx="46">
                  <c:v>1.89</c:v>
                </c:pt>
                <c:pt idx="47">
                  <c:v>1.37</c:v>
                </c:pt>
                <c:pt idx="48">
                  <c:v>2</c:v>
                </c:pt>
                <c:pt idx="49">
                  <c:v>1.05</c:v>
                </c:pt>
                <c:pt idx="50">
                  <c:v>1.44</c:v>
                </c:pt>
                <c:pt idx="51">
                  <c:v>2.33</c:v>
                </c:pt>
                <c:pt idx="52">
                  <c:v>2.4300000000000002</c:v>
                </c:pt>
                <c:pt idx="53">
                  <c:v>2.91</c:v>
                </c:pt>
                <c:pt idx="54">
                  <c:v>2.17</c:v>
                </c:pt>
                <c:pt idx="55">
                  <c:v>2.0699999999999998</c:v>
                </c:pt>
                <c:pt idx="56">
                  <c:v>1.74</c:v>
                </c:pt>
                <c:pt idx="57">
                  <c:v>3.04</c:v>
                </c:pt>
                <c:pt idx="58">
                  <c:v>2.75</c:v>
                </c:pt>
                <c:pt idx="59">
                  <c:v>3.14</c:v>
                </c:pt>
                <c:pt idx="60">
                  <c:v>2.3199999999999998</c:v>
                </c:pt>
                <c:pt idx="61">
                  <c:v>2.88</c:v>
                </c:pt>
                <c:pt idx="62">
                  <c:v>2.1</c:v>
                </c:pt>
                <c:pt idx="63">
                  <c:v>2.25</c:v>
                </c:pt>
                <c:pt idx="64">
                  <c:v>2.6</c:v>
                </c:pt>
                <c:pt idx="65">
                  <c:v>2.16</c:v>
                </c:pt>
                <c:pt idx="66">
                  <c:v>2.44</c:v>
                </c:pt>
                <c:pt idx="67">
                  <c:v>2.12</c:v>
                </c:pt>
                <c:pt idx="68">
                  <c:v>2.0499999999999998</c:v>
                </c:pt>
                <c:pt idx="69">
                  <c:v>2.46</c:v>
                </c:pt>
                <c:pt idx="70">
                  <c:v>2.2599999999999998</c:v>
                </c:pt>
                <c:pt idx="71">
                  <c:v>3.21</c:v>
                </c:pt>
                <c:pt idx="72">
                  <c:v>2.4500000000000002</c:v>
                </c:pt>
                <c:pt idx="73">
                  <c:v>2.44</c:v>
                </c:pt>
                <c:pt idx="74">
                  <c:v>2.41</c:v>
                </c:pt>
                <c:pt idx="75">
                  <c:v>1.9</c:v>
                </c:pt>
                <c:pt idx="76">
                  <c:v>1.81</c:v>
                </c:pt>
                <c:pt idx="77">
                  <c:v>2.23</c:v>
                </c:pt>
                <c:pt idx="78">
                  <c:v>2.23</c:v>
                </c:pt>
                <c:pt idx="79">
                  <c:v>1.88</c:v>
                </c:pt>
                <c:pt idx="80">
                  <c:v>1.59</c:v>
                </c:pt>
                <c:pt idx="81">
                  <c:v>1.8</c:v>
                </c:pt>
                <c:pt idx="82">
                  <c:v>2.56</c:v>
                </c:pt>
                <c:pt idx="83">
                  <c:v>1.82</c:v>
                </c:pt>
                <c:pt idx="84">
                  <c:v>2.02</c:v>
                </c:pt>
                <c:pt idx="85">
                  <c:v>1.34</c:v>
                </c:pt>
                <c:pt idx="86">
                  <c:v>0.67</c:v>
                </c:pt>
                <c:pt idx="87">
                  <c:v>1.67</c:v>
                </c:pt>
                <c:pt idx="88">
                  <c:v>1.04</c:v>
                </c:pt>
                <c:pt idx="89">
                  <c:v>1.07</c:v>
                </c:pt>
                <c:pt idx="90">
                  <c:v>2.69</c:v>
                </c:pt>
                <c:pt idx="91">
                  <c:v>2.71</c:v>
                </c:pt>
                <c:pt idx="92">
                  <c:v>1.87</c:v>
                </c:pt>
                <c:pt idx="93">
                  <c:v>2.44</c:v>
                </c:pt>
                <c:pt idx="94">
                  <c:v>2.5299999999999998</c:v>
                </c:pt>
                <c:pt idx="95">
                  <c:v>1.37</c:v>
                </c:pt>
                <c:pt idx="96">
                  <c:v>1.66</c:v>
                </c:pt>
                <c:pt idx="97">
                  <c:v>1.22</c:v>
                </c:pt>
                <c:pt idx="98">
                  <c:v>1.64</c:v>
                </c:pt>
                <c:pt idx="99">
                  <c:v>1.65</c:v>
                </c:pt>
                <c:pt idx="100">
                  <c:v>0.92</c:v>
                </c:pt>
                <c:pt idx="101">
                  <c:v>0.7</c:v>
                </c:pt>
                <c:pt idx="102">
                  <c:v>0.88</c:v>
                </c:pt>
                <c:pt idx="103">
                  <c:v>0.94</c:v>
                </c:pt>
                <c:pt idx="104">
                  <c:v>1.06</c:v>
                </c:pt>
                <c:pt idx="105">
                  <c:v>2.27</c:v>
                </c:pt>
                <c:pt idx="106">
                  <c:v>2.46</c:v>
                </c:pt>
                <c:pt idx="107">
                  <c:v>2.56</c:v>
                </c:pt>
                <c:pt idx="108">
                  <c:v>2.1800000000000002</c:v>
                </c:pt>
                <c:pt idx="109">
                  <c:v>2.58</c:v>
                </c:pt>
                <c:pt idx="110">
                  <c:v>1.74</c:v>
                </c:pt>
                <c:pt idx="111">
                  <c:v>1.42</c:v>
                </c:pt>
                <c:pt idx="112">
                  <c:v>1.23</c:v>
                </c:pt>
                <c:pt idx="113">
                  <c:v>1.8</c:v>
                </c:pt>
                <c:pt idx="114">
                  <c:v>1.92</c:v>
                </c:pt>
                <c:pt idx="115">
                  <c:v>0.74</c:v>
                </c:pt>
                <c:pt idx="116">
                  <c:v>3.14</c:v>
                </c:pt>
                <c:pt idx="117">
                  <c:v>1.97</c:v>
                </c:pt>
                <c:pt idx="118">
                  <c:v>2.65</c:v>
                </c:pt>
                <c:pt idx="119">
                  <c:v>1.28</c:v>
                </c:pt>
                <c:pt idx="120">
                  <c:v>2</c:v>
                </c:pt>
                <c:pt idx="121">
                  <c:v>1.99</c:v>
                </c:pt>
                <c:pt idx="122">
                  <c:v>1.78</c:v>
                </c:pt>
                <c:pt idx="123">
                  <c:v>2.14</c:v>
                </c:pt>
                <c:pt idx="124">
                  <c:v>1.68</c:v>
                </c:pt>
                <c:pt idx="125">
                  <c:v>1.88</c:v>
                </c:pt>
                <c:pt idx="126">
                  <c:v>1.19</c:v>
                </c:pt>
                <c:pt idx="127">
                  <c:v>1.04</c:v>
                </c:pt>
                <c:pt idx="128">
                  <c:v>1.06</c:v>
                </c:pt>
                <c:pt idx="129">
                  <c:v>0.92</c:v>
                </c:pt>
                <c:pt idx="130">
                  <c:v>0.92</c:v>
                </c:pt>
                <c:pt idx="131">
                  <c:v>1.03</c:v>
                </c:pt>
                <c:pt idx="132">
                  <c:v>0.74</c:v>
                </c:pt>
                <c:pt idx="133">
                  <c:v>0.68</c:v>
                </c:pt>
                <c:pt idx="134">
                  <c:v>0.69</c:v>
                </c:pt>
                <c:pt idx="135">
                  <c:v>0.85</c:v>
                </c:pt>
                <c:pt idx="136">
                  <c:v>0.66</c:v>
                </c:pt>
                <c:pt idx="137">
                  <c:v>0.99</c:v>
                </c:pt>
                <c:pt idx="138">
                  <c:v>0.81</c:v>
                </c:pt>
                <c:pt idx="139">
                  <c:v>0.7</c:v>
                </c:pt>
                <c:pt idx="140">
                  <c:v>0.74</c:v>
                </c:pt>
                <c:pt idx="141">
                  <c:v>0.94</c:v>
                </c:pt>
                <c:pt idx="142">
                  <c:v>0.71</c:v>
                </c:pt>
                <c:pt idx="143">
                  <c:v>0.64</c:v>
                </c:pt>
                <c:pt idx="144">
                  <c:v>0.85</c:v>
                </c:pt>
                <c:pt idx="145">
                  <c:v>0.83</c:v>
                </c:pt>
                <c:pt idx="146">
                  <c:v>0.71</c:v>
                </c:pt>
                <c:pt idx="147">
                  <c:v>0.41</c:v>
                </c:pt>
                <c:pt idx="148">
                  <c:v>0.72</c:v>
                </c:pt>
                <c:pt idx="149">
                  <c:v>0.66</c:v>
                </c:pt>
                <c:pt idx="150">
                  <c:v>0.56999999999999995</c:v>
                </c:pt>
                <c:pt idx="151">
                  <c:v>1.37</c:v>
                </c:pt>
                <c:pt idx="152">
                  <c:v>1.25</c:v>
                </c:pt>
                <c:pt idx="153">
                  <c:v>1.28</c:v>
                </c:pt>
                <c:pt idx="154">
                  <c:v>1.21</c:v>
                </c:pt>
                <c:pt idx="155">
                  <c:v>1.27</c:v>
                </c:pt>
                <c:pt idx="156">
                  <c:v>1.28</c:v>
                </c:pt>
                <c:pt idx="157">
                  <c:v>1.33</c:v>
                </c:pt>
                <c:pt idx="158">
                  <c:v>1.31</c:v>
                </c:pt>
                <c:pt idx="159">
                  <c:v>1.21</c:v>
                </c:pt>
                <c:pt idx="160">
                  <c:v>1.17</c:v>
                </c:pt>
                <c:pt idx="161">
                  <c:v>1.21</c:v>
                </c:pt>
                <c:pt idx="162">
                  <c:v>1</c:v>
                </c:pt>
                <c:pt idx="163">
                  <c:v>0.74</c:v>
                </c:pt>
                <c:pt idx="164">
                  <c:v>0.95</c:v>
                </c:pt>
                <c:pt idx="165">
                  <c:v>1</c:v>
                </c:pt>
                <c:pt idx="166">
                  <c:v>1.01</c:v>
                </c:pt>
                <c:pt idx="167">
                  <c:v>0.99</c:v>
                </c:pt>
                <c:pt idx="168">
                  <c:v>0.81</c:v>
                </c:pt>
                <c:pt idx="169">
                  <c:v>0.95</c:v>
                </c:pt>
                <c:pt idx="170">
                  <c:v>1.1499999999999999</c:v>
                </c:pt>
                <c:pt idx="171">
                  <c:v>0.91</c:v>
                </c:pt>
                <c:pt idx="172">
                  <c:v>0.96</c:v>
                </c:pt>
                <c:pt idx="173">
                  <c:v>0.86</c:v>
                </c:pt>
                <c:pt idx="174">
                  <c:v>1.06</c:v>
                </c:pt>
                <c:pt idx="175">
                  <c:v>1.05</c:v>
                </c:pt>
                <c:pt idx="176">
                  <c:v>1.0900000000000001</c:v>
                </c:pt>
                <c:pt idx="177">
                  <c:v>0.91</c:v>
                </c:pt>
                <c:pt idx="178">
                  <c:v>0.56000000000000005</c:v>
                </c:pt>
                <c:pt idx="179">
                  <c:v>0.98</c:v>
                </c:pt>
                <c:pt idx="180">
                  <c:v>1.04</c:v>
                </c:pt>
                <c:pt idx="181">
                  <c:v>1.1200000000000001</c:v>
                </c:pt>
                <c:pt idx="182">
                  <c:v>1.1399999999999999</c:v>
                </c:pt>
                <c:pt idx="183">
                  <c:v>1.07</c:v>
                </c:pt>
                <c:pt idx="184">
                  <c:v>1.1299999999999999</c:v>
                </c:pt>
                <c:pt idx="185">
                  <c:v>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9-4598-BB57-5F8CDDE0305E}"/>
            </c:ext>
          </c:extLst>
        </c:ser>
        <c:ser>
          <c:idx val="1"/>
          <c:order val="1"/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Modeled_LAI_allmethods!$V$23:$V$24</c:f>
            </c:numRef>
          </c:xVal>
          <c:yVal>
            <c:numRef>
              <c:f>Modeled_LAI_allmethods!$W$23:$W$24</c:f>
            </c:numRef>
          </c:yVal>
          <c:smooth val="0"/>
          <c:extLst>
            <c:ext xmlns:c16="http://schemas.microsoft.com/office/drawing/2014/chart" uri="{C3380CC4-5D6E-409C-BE32-E72D297353CC}">
              <c16:uniqueId val="{00000004-9319-4598-BB57-5F8CDDE03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247647"/>
        <c:axId val="1526241887"/>
      </c:scatterChart>
      <c:valAx>
        <c:axId val="1526247647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1887"/>
        <c:crosses val="autoZero"/>
        <c:crossBetween val="midCat"/>
      </c:valAx>
      <c:valAx>
        <c:axId val="1526241887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764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Euqa_b3 original eq</a:t>
            </a:r>
          </a:p>
        </c:rich>
      </c:tx>
      <c:layout>
        <c:manualLayout>
          <c:xMode val="edge"/>
          <c:yMode val="edge"/>
          <c:x val="8.3416447944007002E-2"/>
          <c:y val="4.4362283442777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Modeled_LAI_allmethods!$J$1</c:f>
              <c:strCache>
                <c:ptCount val="1"/>
                <c:pt idx="0">
                  <c:v>Euqa_b3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3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354184893554972"/>
                  <c:y val="-0.26804560437863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Modeled_LAI_allmethods!$J$2:$J$2409</c:f>
              <c:numCache>
                <c:formatCode>General</c:formatCode>
                <c:ptCount val="186"/>
                <c:pt idx="0">
                  <c:v>2.2472136642943101</c:v>
                </c:pt>
                <c:pt idx="1">
                  <c:v>2.5103825302523299</c:v>
                </c:pt>
                <c:pt idx="2">
                  <c:v>2.7084868622801501</c:v>
                </c:pt>
                <c:pt idx="3">
                  <c:v>2.35326018357078</c:v>
                </c:pt>
                <c:pt idx="4">
                  <c:v>1.9889065412006399</c:v>
                </c:pt>
                <c:pt idx="5">
                  <c:v>1.8541642061338599</c:v>
                </c:pt>
                <c:pt idx="6">
                  <c:v>2.3631309194787402</c:v>
                </c:pt>
                <c:pt idx="7">
                  <c:v>2.0894975631549602</c:v>
                </c:pt>
                <c:pt idx="8">
                  <c:v>1.6153913963447599</c:v>
                </c:pt>
                <c:pt idx="9">
                  <c:v>1.8283233498245799</c:v>
                </c:pt>
                <c:pt idx="10">
                  <c:v>2.5638247777336298</c:v>
                </c:pt>
                <c:pt idx="11">
                  <c:v>2.3663366074701302</c:v>
                </c:pt>
                <c:pt idx="12">
                  <c:v>2.2877920796662501</c:v>
                </c:pt>
                <c:pt idx="13">
                  <c:v>2.2285435933503002</c:v>
                </c:pt>
                <c:pt idx="14">
                  <c:v>2.0396180462682199</c:v>
                </c:pt>
                <c:pt idx="15">
                  <c:v>2.01882891153382</c:v>
                </c:pt>
                <c:pt idx="16">
                  <c:v>2.1708139948901302</c:v>
                </c:pt>
                <c:pt idx="17">
                  <c:v>1.86912301613433</c:v>
                </c:pt>
                <c:pt idx="18">
                  <c:v>1.7860249933127701</c:v>
                </c:pt>
                <c:pt idx="19">
                  <c:v>2.2395539981438102</c:v>
                </c:pt>
                <c:pt idx="20">
                  <c:v>1.8818181504840401</c:v>
                </c:pt>
                <c:pt idx="21">
                  <c:v>2.0652563403212598</c:v>
                </c:pt>
                <c:pt idx="22">
                  <c:v>1.5915694742556901</c:v>
                </c:pt>
                <c:pt idx="23">
                  <c:v>1.58604375650672</c:v>
                </c:pt>
                <c:pt idx="24">
                  <c:v>1.5935808929247699</c:v>
                </c:pt>
                <c:pt idx="25">
                  <c:v>1.85295440943348</c:v>
                </c:pt>
                <c:pt idx="26">
                  <c:v>1.7873437875945599</c:v>
                </c:pt>
                <c:pt idx="27">
                  <c:v>1.4880298755802599</c:v>
                </c:pt>
                <c:pt idx="28">
                  <c:v>1.3531753996314</c:v>
                </c:pt>
                <c:pt idx="29">
                  <c:v>1.59488637614587</c:v>
                </c:pt>
                <c:pt idx="30">
                  <c:v>1.3981929325514699</c:v>
                </c:pt>
                <c:pt idx="31">
                  <c:v>1.7982077430478101</c:v>
                </c:pt>
                <c:pt idx="32">
                  <c:v>1.6581844019602201</c:v>
                </c:pt>
                <c:pt idx="33">
                  <c:v>1.45190310422847</c:v>
                </c:pt>
                <c:pt idx="34">
                  <c:v>1.55314337274796</c:v>
                </c:pt>
                <c:pt idx="35">
                  <c:v>1.7235861385311699</c:v>
                </c:pt>
                <c:pt idx="36">
                  <c:v>1.8098339710136899</c:v>
                </c:pt>
                <c:pt idx="37">
                  <c:v>1.1842769902833401</c:v>
                </c:pt>
                <c:pt idx="38">
                  <c:v>1.4154123779298</c:v>
                </c:pt>
                <c:pt idx="39">
                  <c:v>1.36948940845672</c:v>
                </c:pt>
                <c:pt idx="40">
                  <c:v>2.29960437259601</c:v>
                </c:pt>
                <c:pt idx="41">
                  <c:v>2.5938864013315102</c:v>
                </c:pt>
                <c:pt idx="42">
                  <c:v>2.73766493541756</c:v>
                </c:pt>
                <c:pt idx="43">
                  <c:v>2.50307339117205</c:v>
                </c:pt>
                <c:pt idx="44">
                  <c:v>2.7152319517722701</c:v>
                </c:pt>
                <c:pt idx="45">
                  <c:v>1.7957194004840999</c:v>
                </c:pt>
                <c:pt idx="46">
                  <c:v>2.4007554867297598</c:v>
                </c:pt>
                <c:pt idx="47">
                  <c:v>2.3768489307677698</c:v>
                </c:pt>
                <c:pt idx="48">
                  <c:v>2.1427081041904099</c:v>
                </c:pt>
                <c:pt idx="49">
                  <c:v>2.4363918497267498</c:v>
                </c:pt>
                <c:pt idx="50">
                  <c:v>1.60014414516109</c:v>
                </c:pt>
                <c:pt idx="51">
                  <c:v>2.3711412992260699</c:v>
                </c:pt>
                <c:pt idx="52">
                  <c:v>2.3107107511875502</c:v>
                </c:pt>
                <c:pt idx="53">
                  <c:v>2.2869435343519302</c:v>
                </c:pt>
                <c:pt idx="54">
                  <c:v>2.2857581926476298</c:v>
                </c:pt>
                <c:pt idx="55">
                  <c:v>2.3918399833705601</c:v>
                </c:pt>
                <c:pt idx="56">
                  <c:v>2.5870115804338698</c:v>
                </c:pt>
                <c:pt idx="57">
                  <c:v>2.5347816173893101</c:v>
                </c:pt>
                <c:pt idx="58">
                  <c:v>2.7659624342622702</c:v>
                </c:pt>
                <c:pt idx="59">
                  <c:v>2.6653600418519598</c:v>
                </c:pt>
                <c:pt idx="60">
                  <c:v>2.3956332118574601</c:v>
                </c:pt>
                <c:pt idx="61">
                  <c:v>2.3729214257156501</c:v>
                </c:pt>
                <c:pt idx="62">
                  <c:v>2.6292492788989201</c:v>
                </c:pt>
                <c:pt idx="63">
                  <c:v>2.6579347666765898</c:v>
                </c:pt>
                <c:pt idx="64">
                  <c:v>2.77292324141224</c:v>
                </c:pt>
                <c:pt idx="65">
                  <c:v>2.6428807474663798</c:v>
                </c:pt>
                <c:pt idx="66">
                  <c:v>2.3758491613859398</c:v>
                </c:pt>
                <c:pt idx="67">
                  <c:v>2.6706477888804199</c:v>
                </c:pt>
                <c:pt idx="68">
                  <c:v>2.6100800875577099</c:v>
                </c:pt>
                <c:pt idx="69">
                  <c:v>2.92510884381102</c:v>
                </c:pt>
                <c:pt idx="70">
                  <c:v>2.9434527488898499</c:v>
                </c:pt>
                <c:pt idx="71">
                  <c:v>2.4784147305650999</c:v>
                </c:pt>
                <c:pt idx="72">
                  <c:v>2.62627690899643</c:v>
                </c:pt>
                <c:pt idx="73">
                  <c:v>2.6738230422383902</c:v>
                </c:pt>
                <c:pt idx="74">
                  <c:v>2.7000375523608802</c:v>
                </c:pt>
                <c:pt idx="75">
                  <c:v>2.88400748327305</c:v>
                </c:pt>
                <c:pt idx="76">
                  <c:v>2.5860188252762999</c:v>
                </c:pt>
                <c:pt idx="77">
                  <c:v>2.8545017668226902</c:v>
                </c:pt>
                <c:pt idx="78">
                  <c:v>2.5636552451372201</c:v>
                </c:pt>
                <c:pt idx="79">
                  <c:v>2.4405993667080499</c:v>
                </c:pt>
                <c:pt idx="80">
                  <c:v>2.7477991574997498</c:v>
                </c:pt>
                <c:pt idx="81">
                  <c:v>2.75805837784098</c:v>
                </c:pt>
                <c:pt idx="82">
                  <c:v>2.5636269903155799</c:v>
                </c:pt>
                <c:pt idx="83">
                  <c:v>3.3023419989999101</c:v>
                </c:pt>
                <c:pt idx="84">
                  <c:v>2.7283783885100199</c:v>
                </c:pt>
                <c:pt idx="85">
                  <c:v>2.2168211408871401</c:v>
                </c:pt>
                <c:pt idx="86">
                  <c:v>2.01687889877071</c:v>
                </c:pt>
                <c:pt idx="87">
                  <c:v>2.3368020386441102</c:v>
                </c:pt>
                <c:pt idx="88">
                  <c:v>2.6718737241414598</c:v>
                </c:pt>
                <c:pt idx="89">
                  <c:v>2.4830459080669001</c:v>
                </c:pt>
                <c:pt idx="90">
                  <c:v>3.3797644666730999</c:v>
                </c:pt>
                <c:pt idx="91">
                  <c:v>3.3056951028416601</c:v>
                </c:pt>
                <c:pt idx="92">
                  <c:v>3.6934950020514301</c:v>
                </c:pt>
                <c:pt idx="93">
                  <c:v>3.4797914596541402</c:v>
                </c:pt>
                <c:pt idx="94">
                  <c:v>2.9999217491510399</c:v>
                </c:pt>
                <c:pt idx="95">
                  <c:v>2.2283304892425102</c:v>
                </c:pt>
                <c:pt idx="96">
                  <c:v>2.9594865261879</c:v>
                </c:pt>
                <c:pt idx="97">
                  <c:v>2.23308091083</c:v>
                </c:pt>
                <c:pt idx="98">
                  <c:v>2.4201383689501199</c:v>
                </c:pt>
                <c:pt idx="99">
                  <c:v>2.7293528615704701</c:v>
                </c:pt>
                <c:pt idx="100">
                  <c:v>2.2019371200156699</c:v>
                </c:pt>
                <c:pt idx="101">
                  <c:v>1.85366744521799</c:v>
                </c:pt>
                <c:pt idx="102">
                  <c:v>2.3261865648267999</c:v>
                </c:pt>
                <c:pt idx="103">
                  <c:v>1.6309012714248901</c:v>
                </c:pt>
                <c:pt idx="104">
                  <c:v>1.7016873584252099</c:v>
                </c:pt>
                <c:pt idx="105">
                  <c:v>2.4975145156290299</c:v>
                </c:pt>
                <c:pt idx="106">
                  <c:v>2.7894519347576798</c:v>
                </c:pt>
                <c:pt idx="107">
                  <c:v>2.8538558744353102</c:v>
                </c:pt>
                <c:pt idx="108">
                  <c:v>2.6149426307532901</c:v>
                </c:pt>
                <c:pt idx="109">
                  <c:v>2.6956657427486599</c:v>
                </c:pt>
                <c:pt idx="110">
                  <c:v>2.0825237143581901</c:v>
                </c:pt>
                <c:pt idx="111">
                  <c:v>2.6052867633624301</c:v>
                </c:pt>
                <c:pt idx="112">
                  <c:v>2.3266504615361598</c:v>
                </c:pt>
                <c:pt idx="113">
                  <c:v>1.9266828317057101</c:v>
                </c:pt>
                <c:pt idx="114">
                  <c:v>2.0713058674879599</c:v>
                </c:pt>
                <c:pt idx="115">
                  <c:v>1.52619062111556</c:v>
                </c:pt>
                <c:pt idx="116">
                  <c:v>2.7770267201897698</c:v>
                </c:pt>
                <c:pt idx="117">
                  <c:v>2.4601011926930298</c:v>
                </c:pt>
                <c:pt idx="118">
                  <c:v>2.6484475041305799</c:v>
                </c:pt>
                <c:pt idx="119">
                  <c:v>2.67097617717757</c:v>
                </c:pt>
                <c:pt idx="120">
                  <c:v>2.7677682364831702</c:v>
                </c:pt>
                <c:pt idx="121">
                  <c:v>2.8889410389075101</c:v>
                </c:pt>
                <c:pt idx="122">
                  <c:v>2.8537472296617001</c:v>
                </c:pt>
                <c:pt idx="123">
                  <c:v>2.6185628495814899</c:v>
                </c:pt>
                <c:pt idx="124">
                  <c:v>2.3328748143800402</c:v>
                </c:pt>
                <c:pt idx="125">
                  <c:v>2.3614498241672801</c:v>
                </c:pt>
                <c:pt idx="126">
                  <c:v>1.77492498525993</c:v>
                </c:pt>
                <c:pt idx="127">
                  <c:v>1.64622641627335</c:v>
                </c:pt>
                <c:pt idx="128">
                  <c:v>1.6719116782036401</c:v>
                </c:pt>
                <c:pt idx="129">
                  <c:v>1.52624391270668</c:v>
                </c:pt>
                <c:pt idx="130">
                  <c:v>1.84271266672784</c:v>
                </c:pt>
                <c:pt idx="131">
                  <c:v>1.5190695679185</c:v>
                </c:pt>
                <c:pt idx="132">
                  <c:v>1.2318272003948501</c:v>
                </c:pt>
                <c:pt idx="133">
                  <c:v>1.23563642614605</c:v>
                </c:pt>
                <c:pt idx="134">
                  <c:v>1.2177920148829899</c:v>
                </c:pt>
                <c:pt idx="135">
                  <c:v>1.4181773075628901</c:v>
                </c:pt>
                <c:pt idx="136">
                  <c:v>1.4788765889975299</c:v>
                </c:pt>
                <c:pt idx="137">
                  <c:v>1.0288795924418801</c:v>
                </c:pt>
                <c:pt idx="138">
                  <c:v>1.25641245734211</c:v>
                </c:pt>
                <c:pt idx="139">
                  <c:v>1.1320551036070501</c:v>
                </c:pt>
                <c:pt idx="140">
                  <c:v>1.4348557241195401</c:v>
                </c:pt>
                <c:pt idx="141">
                  <c:v>1.5285262845502201</c:v>
                </c:pt>
                <c:pt idx="142">
                  <c:v>1.34463498536209</c:v>
                </c:pt>
                <c:pt idx="143">
                  <c:v>1.36443482629964</c:v>
                </c:pt>
                <c:pt idx="144">
                  <c:v>1.75050498486151</c:v>
                </c:pt>
                <c:pt idx="145">
                  <c:v>2.0204194000467401</c:v>
                </c:pt>
                <c:pt idx="146">
                  <c:v>1.2196286105326399</c:v>
                </c:pt>
                <c:pt idx="147">
                  <c:v>1.5875790029088399</c:v>
                </c:pt>
                <c:pt idx="148">
                  <c:v>1.4465028240295701</c:v>
                </c:pt>
                <c:pt idx="149">
                  <c:v>1.32589973562801</c:v>
                </c:pt>
                <c:pt idx="150">
                  <c:v>1.49126654244338</c:v>
                </c:pt>
                <c:pt idx="151">
                  <c:v>1.4383164779461499</c:v>
                </c:pt>
                <c:pt idx="152">
                  <c:v>1.44280549718294</c:v>
                </c:pt>
                <c:pt idx="153">
                  <c:v>1.46912838327833</c:v>
                </c:pt>
                <c:pt idx="154">
                  <c:v>1.4297689650727301</c:v>
                </c:pt>
                <c:pt idx="155">
                  <c:v>1.40799536458793</c:v>
                </c:pt>
                <c:pt idx="156">
                  <c:v>1.5718800008429401</c:v>
                </c:pt>
                <c:pt idx="157">
                  <c:v>1.5002373392205599</c:v>
                </c:pt>
                <c:pt idx="158">
                  <c:v>1.5719735356217099</c:v>
                </c:pt>
                <c:pt idx="159">
                  <c:v>1.3493200042122799</c:v>
                </c:pt>
                <c:pt idx="160">
                  <c:v>1.3908813729634999</c:v>
                </c:pt>
                <c:pt idx="161">
                  <c:v>1.38885605666292</c:v>
                </c:pt>
                <c:pt idx="162">
                  <c:v>1.5066982940948701</c:v>
                </c:pt>
                <c:pt idx="163">
                  <c:v>0.99233700254038004</c:v>
                </c:pt>
                <c:pt idx="164">
                  <c:v>1.1127159602040799</c:v>
                </c:pt>
                <c:pt idx="165">
                  <c:v>1.19695937914885</c:v>
                </c:pt>
                <c:pt idx="166">
                  <c:v>1.50085509555963</c:v>
                </c:pt>
                <c:pt idx="167">
                  <c:v>1.5430043299904199</c:v>
                </c:pt>
                <c:pt idx="168">
                  <c:v>1.2714706470964501</c:v>
                </c:pt>
                <c:pt idx="169">
                  <c:v>1.18456763987034</c:v>
                </c:pt>
                <c:pt idx="170">
                  <c:v>1.5719603962826401</c:v>
                </c:pt>
                <c:pt idx="171">
                  <c:v>1.94040223576858</c:v>
                </c:pt>
                <c:pt idx="172">
                  <c:v>1.6549814067492401</c:v>
                </c:pt>
                <c:pt idx="173">
                  <c:v>1.40039972899985</c:v>
                </c:pt>
                <c:pt idx="174">
                  <c:v>1.6434418566649101</c:v>
                </c:pt>
                <c:pt idx="175">
                  <c:v>2.01996771240327</c:v>
                </c:pt>
                <c:pt idx="176">
                  <c:v>1.2196530232927401</c:v>
                </c:pt>
                <c:pt idx="177">
                  <c:v>1.2276960112744899</c:v>
                </c:pt>
                <c:pt idx="178">
                  <c:v>1.1985631829697501</c:v>
                </c:pt>
                <c:pt idx="179">
                  <c:v>0.80477911799899504</c:v>
                </c:pt>
                <c:pt idx="180">
                  <c:v>0.978826725485476</c:v>
                </c:pt>
                <c:pt idx="181">
                  <c:v>1.19737640124706</c:v>
                </c:pt>
                <c:pt idx="182">
                  <c:v>1.28874474927692</c:v>
                </c:pt>
                <c:pt idx="183">
                  <c:v>1.16046909035207</c:v>
                </c:pt>
                <c:pt idx="184">
                  <c:v>1.1251872554568001</c:v>
                </c:pt>
                <c:pt idx="185">
                  <c:v>1.2364709771957101</c:v>
                </c:pt>
              </c:numCache>
            </c:numRef>
          </c:xVal>
          <c:yVal>
            <c:numRef>
              <c:f>Modeled_LAI_allmethods!$Q$2:$Q$2409</c:f>
              <c:numCache>
                <c:formatCode>General</c:formatCode>
                <c:ptCount val="186"/>
                <c:pt idx="0">
                  <c:v>1.77</c:v>
                </c:pt>
                <c:pt idx="1">
                  <c:v>2.35</c:v>
                </c:pt>
                <c:pt idx="2">
                  <c:v>2.4900000000000002</c:v>
                </c:pt>
                <c:pt idx="3">
                  <c:v>2.33</c:v>
                </c:pt>
                <c:pt idx="4">
                  <c:v>3.09</c:v>
                </c:pt>
                <c:pt idx="5">
                  <c:v>2.4700000000000002</c:v>
                </c:pt>
                <c:pt idx="6">
                  <c:v>2.4700000000000002</c:v>
                </c:pt>
                <c:pt idx="7">
                  <c:v>1.69</c:v>
                </c:pt>
                <c:pt idx="8">
                  <c:v>1.94</c:v>
                </c:pt>
                <c:pt idx="9">
                  <c:v>1.34</c:v>
                </c:pt>
                <c:pt idx="10">
                  <c:v>2.1</c:v>
                </c:pt>
                <c:pt idx="11">
                  <c:v>1.89</c:v>
                </c:pt>
                <c:pt idx="12">
                  <c:v>1.75</c:v>
                </c:pt>
                <c:pt idx="13">
                  <c:v>1.76</c:v>
                </c:pt>
                <c:pt idx="14">
                  <c:v>1.69</c:v>
                </c:pt>
                <c:pt idx="15">
                  <c:v>1.6</c:v>
                </c:pt>
                <c:pt idx="16">
                  <c:v>2.23</c:v>
                </c:pt>
                <c:pt idx="17">
                  <c:v>2.17</c:v>
                </c:pt>
                <c:pt idx="18">
                  <c:v>1.88</c:v>
                </c:pt>
                <c:pt idx="19">
                  <c:v>2.1800000000000002</c:v>
                </c:pt>
                <c:pt idx="20">
                  <c:v>1.51</c:v>
                </c:pt>
                <c:pt idx="21">
                  <c:v>1.44</c:v>
                </c:pt>
                <c:pt idx="22">
                  <c:v>2.17</c:v>
                </c:pt>
                <c:pt idx="23">
                  <c:v>1.77</c:v>
                </c:pt>
                <c:pt idx="24">
                  <c:v>1.63</c:v>
                </c:pt>
                <c:pt idx="25">
                  <c:v>1.79</c:v>
                </c:pt>
                <c:pt idx="26">
                  <c:v>1.95</c:v>
                </c:pt>
                <c:pt idx="27">
                  <c:v>2.1800000000000002</c:v>
                </c:pt>
                <c:pt idx="28">
                  <c:v>1.59</c:v>
                </c:pt>
                <c:pt idx="29">
                  <c:v>2.15</c:v>
                </c:pt>
                <c:pt idx="30">
                  <c:v>1.74</c:v>
                </c:pt>
                <c:pt idx="31">
                  <c:v>1.72</c:v>
                </c:pt>
                <c:pt idx="32">
                  <c:v>1.88</c:v>
                </c:pt>
                <c:pt idx="33">
                  <c:v>2.31</c:v>
                </c:pt>
                <c:pt idx="34">
                  <c:v>1.94</c:v>
                </c:pt>
                <c:pt idx="35">
                  <c:v>0.8</c:v>
                </c:pt>
                <c:pt idx="36">
                  <c:v>1.1000000000000001</c:v>
                </c:pt>
                <c:pt idx="37">
                  <c:v>1.94</c:v>
                </c:pt>
                <c:pt idx="38">
                  <c:v>1.79</c:v>
                </c:pt>
                <c:pt idx="39">
                  <c:v>0.11</c:v>
                </c:pt>
                <c:pt idx="40">
                  <c:v>2.84</c:v>
                </c:pt>
                <c:pt idx="41">
                  <c:v>2.1800000000000002</c:v>
                </c:pt>
                <c:pt idx="42">
                  <c:v>3.02</c:v>
                </c:pt>
                <c:pt idx="43">
                  <c:v>2.33</c:v>
                </c:pt>
                <c:pt idx="44">
                  <c:v>2.63</c:v>
                </c:pt>
                <c:pt idx="45">
                  <c:v>2.4</c:v>
                </c:pt>
                <c:pt idx="46">
                  <c:v>1.89</c:v>
                </c:pt>
                <c:pt idx="47">
                  <c:v>1.37</c:v>
                </c:pt>
                <c:pt idx="48">
                  <c:v>2</c:v>
                </c:pt>
                <c:pt idx="49">
                  <c:v>1.05</c:v>
                </c:pt>
                <c:pt idx="50">
                  <c:v>1.44</c:v>
                </c:pt>
                <c:pt idx="51">
                  <c:v>2.33</c:v>
                </c:pt>
                <c:pt idx="52">
                  <c:v>2.4300000000000002</c:v>
                </c:pt>
                <c:pt idx="53">
                  <c:v>2.91</c:v>
                </c:pt>
                <c:pt idx="54">
                  <c:v>2.17</c:v>
                </c:pt>
                <c:pt idx="55">
                  <c:v>2.0699999999999998</c:v>
                </c:pt>
                <c:pt idx="56">
                  <c:v>1.74</c:v>
                </c:pt>
                <c:pt idx="57">
                  <c:v>3.04</c:v>
                </c:pt>
                <c:pt idx="58">
                  <c:v>2.75</c:v>
                </c:pt>
                <c:pt idx="59">
                  <c:v>3.14</c:v>
                </c:pt>
                <c:pt idx="60">
                  <c:v>2.3199999999999998</c:v>
                </c:pt>
                <c:pt idx="61">
                  <c:v>2.88</c:v>
                </c:pt>
                <c:pt idx="62">
                  <c:v>2.1</c:v>
                </c:pt>
                <c:pt idx="63">
                  <c:v>2.25</c:v>
                </c:pt>
                <c:pt idx="64">
                  <c:v>2.6</c:v>
                </c:pt>
                <c:pt idx="65">
                  <c:v>2.16</c:v>
                </c:pt>
                <c:pt idx="66">
                  <c:v>2.44</c:v>
                </c:pt>
                <c:pt idx="67">
                  <c:v>2.12</c:v>
                </c:pt>
                <c:pt idx="68">
                  <c:v>2.0499999999999998</c:v>
                </c:pt>
                <c:pt idx="69">
                  <c:v>2.46</c:v>
                </c:pt>
                <c:pt idx="70">
                  <c:v>2.2599999999999998</c:v>
                </c:pt>
                <c:pt idx="71">
                  <c:v>3.21</c:v>
                </c:pt>
                <c:pt idx="72">
                  <c:v>2.4500000000000002</c:v>
                </c:pt>
                <c:pt idx="73">
                  <c:v>2.44</c:v>
                </c:pt>
                <c:pt idx="74">
                  <c:v>2.41</c:v>
                </c:pt>
                <c:pt idx="75">
                  <c:v>1.9</c:v>
                </c:pt>
                <c:pt idx="76">
                  <c:v>1.81</c:v>
                </c:pt>
                <c:pt idx="77">
                  <c:v>2.23</c:v>
                </c:pt>
                <c:pt idx="78">
                  <c:v>2.23</c:v>
                </c:pt>
                <c:pt idx="79">
                  <c:v>1.88</c:v>
                </c:pt>
                <c:pt idx="80">
                  <c:v>1.59</c:v>
                </c:pt>
                <c:pt idx="81">
                  <c:v>1.8</c:v>
                </c:pt>
                <c:pt idx="82">
                  <c:v>2.56</c:v>
                </c:pt>
                <c:pt idx="83">
                  <c:v>1.82</c:v>
                </c:pt>
                <c:pt idx="84">
                  <c:v>2.02</c:v>
                </c:pt>
                <c:pt idx="85">
                  <c:v>1.34</c:v>
                </c:pt>
                <c:pt idx="86">
                  <c:v>0.67</c:v>
                </c:pt>
                <c:pt idx="87">
                  <c:v>1.67</c:v>
                </c:pt>
                <c:pt idx="88">
                  <c:v>1.04</c:v>
                </c:pt>
                <c:pt idx="89">
                  <c:v>1.07</c:v>
                </c:pt>
                <c:pt idx="90">
                  <c:v>2.69</c:v>
                </c:pt>
                <c:pt idx="91">
                  <c:v>2.71</c:v>
                </c:pt>
                <c:pt idx="92">
                  <c:v>1.87</c:v>
                </c:pt>
                <c:pt idx="93">
                  <c:v>2.44</c:v>
                </c:pt>
                <c:pt idx="94">
                  <c:v>2.5299999999999998</c:v>
                </c:pt>
                <c:pt idx="95">
                  <c:v>1.37</c:v>
                </c:pt>
                <c:pt idx="96">
                  <c:v>1.66</c:v>
                </c:pt>
                <c:pt idx="97">
                  <c:v>1.22</c:v>
                </c:pt>
                <c:pt idx="98">
                  <c:v>1.64</c:v>
                </c:pt>
                <c:pt idx="99">
                  <c:v>1.65</c:v>
                </c:pt>
                <c:pt idx="100">
                  <c:v>0.92</c:v>
                </c:pt>
                <c:pt idx="101">
                  <c:v>0.7</c:v>
                </c:pt>
                <c:pt idx="102">
                  <c:v>0.88</c:v>
                </c:pt>
                <c:pt idx="103">
                  <c:v>0.94</c:v>
                </c:pt>
                <c:pt idx="104">
                  <c:v>1.06</c:v>
                </c:pt>
                <c:pt idx="105">
                  <c:v>2.27</c:v>
                </c:pt>
                <c:pt idx="106">
                  <c:v>2.46</c:v>
                </c:pt>
                <c:pt idx="107">
                  <c:v>2.56</c:v>
                </c:pt>
                <c:pt idx="108">
                  <c:v>2.1800000000000002</c:v>
                </c:pt>
                <c:pt idx="109">
                  <c:v>2.58</c:v>
                </c:pt>
                <c:pt idx="110">
                  <c:v>1.74</c:v>
                </c:pt>
                <c:pt idx="111">
                  <c:v>1.42</c:v>
                </c:pt>
                <c:pt idx="112">
                  <c:v>1.23</c:v>
                </c:pt>
                <c:pt idx="113">
                  <c:v>1.8</c:v>
                </c:pt>
                <c:pt idx="114">
                  <c:v>1.92</c:v>
                </c:pt>
                <c:pt idx="115">
                  <c:v>0.74</c:v>
                </c:pt>
                <c:pt idx="116">
                  <c:v>3.14</c:v>
                </c:pt>
                <c:pt idx="117">
                  <c:v>1.97</c:v>
                </c:pt>
                <c:pt idx="118">
                  <c:v>2.65</c:v>
                </c:pt>
                <c:pt idx="119">
                  <c:v>1.28</c:v>
                </c:pt>
                <c:pt idx="120">
                  <c:v>2</c:v>
                </c:pt>
                <c:pt idx="121">
                  <c:v>1.99</c:v>
                </c:pt>
                <c:pt idx="122">
                  <c:v>1.78</c:v>
                </c:pt>
                <c:pt idx="123">
                  <c:v>2.14</c:v>
                </c:pt>
                <c:pt idx="124">
                  <c:v>1.68</c:v>
                </c:pt>
                <c:pt idx="125">
                  <c:v>1.88</c:v>
                </c:pt>
                <c:pt idx="126">
                  <c:v>1.19</c:v>
                </c:pt>
                <c:pt idx="127">
                  <c:v>1.04</c:v>
                </c:pt>
                <c:pt idx="128">
                  <c:v>1.06</c:v>
                </c:pt>
                <c:pt idx="129">
                  <c:v>0.92</c:v>
                </c:pt>
                <c:pt idx="130">
                  <c:v>0.92</c:v>
                </c:pt>
                <c:pt idx="131">
                  <c:v>1.03</c:v>
                </c:pt>
                <c:pt idx="132">
                  <c:v>0.74</c:v>
                </c:pt>
                <c:pt idx="133">
                  <c:v>0.68</c:v>
                </c:pt>
                <c:pt idx="134">
                  <c:v>0.69</c:v>
                </c:pt>
                <c:pt idx="135">
                  <c:v>0.85</c:v>
                </c:pt>
                <c:pt idx="136">
                  <c:v>0.66</c:v>
                </c:pt>
                <c:pt idx="137">
                  <c:v>0.99</c:v>
                </c:pt>
                <c:pt idx="138">
                  <c:v>0.81</c:v>
                </c:pt>
                <c:pt idx="139">
                  <c:v>0.7</c:v>
                </c:pt>
                <c:pt idx="140">
                  <c:v>0.74</c:v>
                </c:pt>
                <c:pt idx="141">
                  <c:v>0.94</c:v>
                </c:pt>
                <c:pt idx="142">
                  <c:v>0.71</c:v>
                </c:pt>
                <c:pt idx="143">
                  <c:v>0.64</c:v>
                </c:pt>
                <c:pt idx="144">
                  <c:v>0.85</c:v>
                </c:pt>
                <c:pt idx="145">
                  <c:v>0.83</c:v>
                </c:pt>
                <c:pt idx="146">
                  <c:v>0.71</c:v>
                </c:pt>
                <c:pt idx="147">
                  <c:v>0.41</c:v>
                </c:pt>
                <c:pt idx="148">
                  <c:v>0.72</c:v>
                </c:pt>
                <c:pt idx="149">
                  <c:v>0.66</c:v>
                </c:pt>
                <c:pt idx="150">
                  <c:v>0.56999999999999995</c:v>
                </c:pt>
                <c:pt idx="151">
                  <c:v>1.37</c:v>
                </c:pt>
                <c:pt idx="152">
                  <c:v>1.25</c:v>
                </c:pt>
                <c:pt idx="153">
                  <c:v>1.28</c:v>
                </c:pt>
                <c:pt idx="154">
                  <c:v>1.21</c:v>
                </c:pt>
                <c:pt idx="155">
                  <c:v>1.27</c:v>
                </c:pt>
                <c:pt idx="156">
                  <c:v>1.28</c:v>
                </c:pt>
                <c:pt idx="157">
                  <c:v>1.33</c:v>
                </c:pt>
                <c:pt idx="158">
                  <c:v>1.31</c:v>
                </c:pt>
                <c:pt idx="159">
                  <c:v>1.21</c:v>
                </c:pt>
                <c:pt idx="160">
                  <c:v>1.17</c:v>
                </c:pt>
                <c:pt idx="161">
                  <c:v>1.21</c:v>
                </c:pt>
                <c:pt idx="162">
                  <c:v>1</c:v>
                </c:pt>
                <c:pt idx="163">
                  <c:v>0.74</c:v>
                </c:pt>
                <c:pt idx="164">
                  <c:v>0.95</c:v>
                </c:pt>
                <c:pt idx="165">
                  <c:v>1</c:v>
                </c:pt>
                <c:pt idx="166">
                  <c:v>1.01</c:v>
                </c:pt>
                <c:pt idx="167">
                  <c:v>0.99</c:v>
                </c:pt>
                <c:pt idx="168">
                  <c:v>0.81</c:v>
                </c:pt>
                <c:pt idx="169">
                  <c:v>0.95</c:v>
                </c:pt>
                <c:pt idx="170">
                  <c:v>1.1499999999999999</c:v>
                </c:pt>
                <c:pt idx="171">
                  <c:v>0.91</c:v>
                </c:pt>
                <c:pt idx="172">
                  <c:v>0.96</c:v>
                </c:pt>
                <c:pt idx="173">
                  <c:v>0.86</c:v>
                </c:pt>
                <c:pt idx="174">
                  <c:v>1.06</c:v>
                </c:pt>
                <c:pt idx="175">
                  <c:v>1.05</c:v>
                </c:pt>
                <c:pt idx="176">
                  <c:v>1.0900000000000001</c:v>
                </c:pt>
                <c:pt idx="177">
                  <c:v>0.91</c:v>
                </c:pt>
                <c:pt idx="178">
                  <c:v>0.56000000000000005</c:v>
                </c:pt>
                <c:pt idx="179">
                  <c:v>0.98</c:v>
                </c:pt>
                <c:pt idx="180">
                  <c:v>1.04</c:v>
                </c:pt>
                <c:pt idx="181">
                  <c:v>1.1200000000000001</c:v>
                </c:pt>
                <c:pt idx="182">
                  <c:v>1.1399999999999999</c:v>
                </c:pt>
                <c:pt idx="183">
                  <c:v>1.07</c:v>
                </c:pt>
                <c:pt idx="184">
                  <c:v>1.1299999999999999</c:v>
                </c:pt>
                <c:pt idx="185">
                  <c:v>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EE-4BCF-9361-E5D28BF341C2}"/>
            </c:ext>
          </c:extLst>
        </c:ser>
        <c:ser>
          <c:idx val="1"/>
          <c:order val="1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gradFill rotWithShape="1">
                  <a:gsLst>
                    <a:gs pos="0">
                      <a:schemeClr val="accent2">
                        <a:lumMod val="110000"/>
                        <a:satMod val="105000"/>
                        <a:tint val="67000"/>
                      </a:schemeClr>
                    </a:gs>
                    <a:gs pos="50000">
                      <a:schemeClr val="accent2">
                        <a:lumMod val="105000"/>
                        <a:satMod val="103000"/>
                        <a:tint val="73000"/>
                      </a:schemeClr>
                    </a:gs>
                    <a:gs pos="100000">
                      <a:schemeClr val="accent2">
                        <a:lumMod val="105000"/>
                        <a:satMod val="109000"/>
                        <a:tint val="81000"/>
                      </a:schemeClr>
                    </a:gs>
                  </a:gsLst>
                  <a:lin ang="5400000" scaled="0"/>
                </a:gradFill>
                <a:ln w="9525" cap="flat" cmpd="sng" algn="ctr">
                  <a:solidFill>
                    <a:schemeClr val="accent2">
                      <a:shade val="95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9525" cap="flat" cmpd="sng" algn="ctr">
                <a:solidFill>
                  <a:schemeClr val="accent2">
                    <a:alpha val="7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7EE-4BCF-9361-E5D28BF341C2}"/>
              </c:ext>
            </c:extLst>
          </c:dPt>
          <c:xVal>
            <c:numRef>
              <c:f>Modeled_LAI_allmethods!$V$23:$V$24</c:f>
            </c:numRef>
          </c:xVal>
          <c:yVal>
            <c:numRef>
              <c:f>Modeled_LAI_allmethods!$W$23:$W$24</c:f>
            </c:numRef>
          </c:yVal>
          <c:smooth val="0"/>
          <c:extLst>
            <c:ext xmlns:c16="http://schemas.microsoft.com/office/drawing/2014/chart" uri="{C3380CC4-5D6E-409C-BE32-E72D297353CC}">
              <c16:uniqueId val="{00000003-87EE-4BCF-9361-E5D28BF34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247647"/>
        <c:axId val="1526241887"/>
      </c:scatterChart>
      <c:valAx>
        <c:axId val="1526247647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1887"/>
        <c:crosses val="autoZero"/>
        <c:crossBetween val="midCat"/>
      </c:valAx>
      <c:valAx>
        <c:axId val="1526241887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764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Euqa_b3 original eq</a:t>
            </a:r>
          </a:p>
        </c:rich>
      </c:tx>
      <c:layout>
        <c:manualLayout>
          <c:xMode val="edge"/>
          <c:yMode val="edge"/>
          <c:x val="8.3416447944007002E-2"/>
          <c:y val="4.4362283442777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Modeled_LAI_allmethods!$J$1</c:f>
              <c:strCache>
                <c:ptCount val="1"/>
                <c:pt idx="0">
                  <c:v>Euqa_b3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3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354184893554972"/>
                  <c:y val="-0.26804560437863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Modeled_LAI_allmethods!$H$6:$H$2413</c:f>
              <c:numCache>
                <c:formatCode>General</c:formatCode>
                <c:ptCount val="190"/>
                <c:pt idx="0">
                  <c:v>1.77</c:v>
                </c:pt>
                <c:pt idx="1">
                  <c:v>2.35</c:v>
                </c:pt>
                <c:pt idx="2">
                  <c:v>2.4900000000000002</c:v>
                </c:pt>
                <c:pt idx="3">
                  <c:v>2.33</c:v>
                </c:pt>
                <c:pt idx="4">
                  <c:v>3.09</c:v>
                </c:pt>
                <c:pt idx="5">
                  <c:v>2.4700000000000002</c:v>
                </c:pt>
                <c:pt idx="6">
                  <c:v>2.4700000000000002</c:v>
                </c:pt>
                <c:pt idx="7">
                  <c:v>1.69</c:v>
                </c:pt>
                <c:pt idx="8">
                  <c:v>1.94</c:v>
                </c:pt>
                <c:pt idx="9">
                  <c:v>1.34</c:v>
                </c:pt>
                <c:pt idx="10">
                  <c:v>2.1</c:v>
                </c:pt>
                <c:pt idx="11">
                  <c:v>1.89</c:v>
                </c:pt>
                <c:pt idx="12">
                  <c:v>1.75</c:v>
                </c:pt>
                <c:pt idx="13">
                  <c:v>1.76</c:v>
                </c:pt>
                <c:pt idx="14">
                  <c:v>1.69</c:v>
                </c:pt>
                <c:pt idx="15">
                  <c:v>1.6</c:v>
                </c:pt>
                <c:pt idx="16">
                  <c:v>2.23</c:v>
                </c:pt>
                <c:pt idx="17">
                  <c:v>2.17</c:v>
                </c:pt>
                <c:pt idx="18">
                  <c:v>1.88</c:v>
                </c:pt>
                <c:pt idx="19">
                  <c:v>2.1800000000000002</c:v>
                </c:pt>
                <c:pt idx="20">
                  <c:v>1.51</c:v>
                </c:pt>
                <c:pt idx="21">
                  <c:v>1.44</c:v>
                </c:pt>
                <c:pt idx="22">
                  <c:v>2.17</c:v>
                </c:pt>
                <c:pt idx="23">
                  <c:v>1.77</c:v>
                </c:pt>
                <c:pt idx="24">
                  <c:v>1.63</c:v>
                </c:pt>
                <c:pt idx="25">
                  <c:v>1.79</c:v>
                </c:pt>
                <c:pt idx="26">
                  <c:v>1.95</c:v>
                </c:pt>
                <c:pt idx="27">
                  <c:v>2.1800000000000002</c:v>
                </c:pt>
                <c:pt idx="28">
                  <c:v>1.59</c:v>
                </c:pt>
                <c:pt idx="29">
                  <c:v>2.15</c:v>
                </c:pt>
                <c:pt idx="30">
                  <c:v>1.74</c:v>
                </c:pt>
                <c:pt idx="31">
                  <c:v>1.72</c:v>
                </c:pt>
                <c:pt idx="32">
                  <c:v>1.88</c:v>
                </c:pt>
                <c:pt idx="33">
                  <c:v>2.31</c:v>
                </c:pt>
                <c:pt idx="34">
                  <c:v>1.94</c:v>
                </c:pt>
                <c:pt idx="35">
                  <c:v>0.8</c:v>
                </c:pt>
                <c:pt idx="36">
                  <c:v>1.1000000000000001</c:v>
                </c:pt>
                <c:pt idx="37">
                  <c:v>1.94</c:v>
                </c:pt>
                <c:pt idx="38">
                  <c:v>1.79</c:v>
                </c:pt>
                <c:pt idx="39">
                  <c:v>0.11</c:v>
                </c:pt>
                <c:pt idx="40">
                  <c:v>2.84</c:v>
                </c:pt>
                <c:pt idx="41">
                  <c:v>2.1800000000000002</c:v>
                </c:pt>
                <c:pt idx="42">
                  <c:v>3.02</c:v>
                </c:pt>
                <c:pt idx="43">
                  <c:v>2.33</c:v>
                </c:pt>
                <c:pt idx="44">
                  <c:v>2.63</c:v>
                </c:pt>
                <c:pt idx="45">
                  <c:v>2.4</c:v>
                </c:pt>
                <c:pt idx="46">
                  <c:v>1.89</c:v>
                </c:pt>
                <c:pt idx="47">
                  <c:v>1.37</c:v>
                </c:pt>
                <c:pt idx="48">
                  <c:v>2</c:v>
                </c:pt>
                <c:pt idx="49">
                  <c:v>1.05</c:v>
                </c:pt>
                <c:pt idx="50">
                  <c:v>1.44</c:v>
                </c:pt>
                <c:pt idx="51">
                  <c:v>2.33</c:v>
                </c:pt>
                <c:pt idx="52">
                  <c:v>2.4300000000000002</c:v>
                </c:pt>
                <c:pt idx="53">
                  <c:v>2.91</c:v>
                </c:pt>
                <c:pt idx="54">
                  <c:v>2.17</c:v>
                </c:pt>
                <c:pt idx="55">
                  <c:v>2.0699999999999998</c:v>
                </c:pt>
                <c:pt idx="56">
                  <c:v>1.74</c:v>
                </c:pt>
                <c:pt idx="57">
                  <c:v>3.04</c:v>
                </c:pt>
                <c:pt idx="58">
                  <c:v>2.75</c:v>
                </c:pt>
                <c:pt idx="59">
                  <c:v>3.14</c:v>
                </c:pt>
                <c:pt idx="60">
                  <c:v>2.3199999999999998</c:v>
                </c:pt>
                <c:pt idx="61">
                  <c:v>2.88</c:v>
                </c:pt>
                <c:pt idx="62">
                  <c:v>2.1</c:v>
                </c:pt>
                <c:pt idx="63">
                  <c:v>2.25</c:v>
                </c:pt>
                <c:pt idx="64">
                  <c:v>2.6</c:v>
                </c:pt>
                <c:pt idx="65">
                  <c:v>2.16</c:v>
                </c:pt>
                <c:pt idx="66">
                  <c:v>2.44</c:v>
                </c:pt>
                <c:pt idx="67">
                  <c:v>2.12</c:v>
                </c:pt>
                <c:pt idx="68">
                  <c:v>2.0499999999999998</c:v>
                </c:pt>
                <c:pt idx="69">
                  <c:v>2.46</c:v>
                </c:pt>
                <c:pt idx="70">
                  <c:v>2.2599999999999998</c:v>
                </c:pt>
                <c:pt idx="71">
                  <c:v>3.21</c:v>
                </c:pt>
                <c:pt idx="72">
                  <c:v>2.4500000000000002</c:v>
                </c:pt>
                <c:pt idx="73">
                  <c:v>2.44</c:v>
                </c:pt>
                <c:pt idx="74">
                  <c:v>2.41</c:v>
                </c:pt>
                <c:pt idx="75">
                  <c:v>1.9</c:v>
                </c:pt>
                <c:pt idx="76">
                  <c:v>1.81</c:v>
                </c:pt>
                <c:pt idx="77">
                  <c:v>2.23</c:v>
                </c:pt>
                <c:pt idx="78">
                  <c:v>2.23</c:v>
                </c:pt>
                <c:pt idx="79">
                  <c:v>1.88</c:v>
                </c:pt>
                <c:pt idx="80">
                  <c:v>1.59</c:v>
                </c:pt>
                <c:pt idx="81">
                  <c:v>1.8</c:v>
                </c:pt>
                <c:pt idx="82">
                  <c:v>2.56</c:v>
                </c:pt>
                <c:pt idx="83">
                  <c:v>1.82</c:v>
                </c:pt>
                <c:pt idx="84">
                  <c:v>2.02</c:v>
                </c:pt>
                <c:pt idx="85">
                  <c:v>1.34</c:v>
                </c:pt>
                <c:pt idx="86">
                  <c:v>0.67</c:v>
                </c:pt>
                <c:pt idx="87">
                  <c:v>1.67</c:v>
                </c:pt>
                <c:pt idx="88">
                  <c:v>1.04</c:v>
                </c:pt>
                <c:pt idx="89">
                  <c:v>1.07</c:v>
                </c:pt>
                <c:pt idx="90">
                  <c:v>2.69</c:v>
                </c:pt>
                <c:pt idx="91">
                  <c:v>2.71</c:v>
                </c:pt>
                <c:pt idx="92">
                  <c:v>1.87</c:v>
                </c:pt>
                <c:pt idx="93">
                  <c:v>2.44</c:v>
                </c:pt>
                <c:pt idx="94">
                  <c:v>2.5299999999999998</c:v>
                </c:pt>
                <c:pt idx="95">
                  <c:v>1.37</c:v>
                </c:pt>
                <c:pt idx="96">
                  <c:v>1.66</c:v>
                </c:pt>
                <c:pt idx="97">
                  <c:v>1.22</c:v>
                </c:pt>
                <c:pt idx="98">
                  <c:v>1.64</c:v>
                </c:pt>
                <c:pt idx="99">
                  <c:v>1.65</c:v>
                </c:pt>
                <c:pt idx="100">
                  <c:v>0.92</c:v>
                </c:pt>
                <c:pt idx="101">
                  <c:v>0.7</c:v>
                </c:pt>
                <c:pt idx="102">
                  <c:v>0.88</c:v>
                </c:pt>
                <c:pt idx="103">
                  <c:v>0.94</c:v>
                </c:pt>
                <c:pt idx="104">
                  <c:v>1.06</c:v>
                </c:pt>
                <c:pt idx="105">
                  <c:v>2.27</c:v>
                </c:pt>
                <c:pt idx="106">
                  <c:v>2.46</c:v>
                </c:pt>
                <c:pt idx="107">
                  <c:v>2.56</c:v>
                </c:pt>
                <c:pt idx="108">
                  <c:v>2.1800000000000002</c:v>
                </c:pt>
                <c:pt idx="109">
                  <c:v>2.58</c:v>
                </c:pt>
                <c:pt idx="110">
                  <c:v>1.74</c:v>
                </c:pt>
                <c:pt idx="111">
                  <c:v>1.42</c:v>
                </c:pt>
                <c:pt idx="112">
                  <c:v>1.23</c:v>
                </c:pt>
                <c:pt idx="113">
                  <c:v>1.8</c:v>
                </c:pt>
                <c:pt idx="114">
                  <c:v>1.92</c:v>
                </c:pt>
                <c:pt idx="115">
                  <c:v>0.74</c:v>
                </c:pt>
                <c:pt idx="116">
                  <c:v>3.14</c:v>
                </c:pt>
                <c:pt idx="117">
                  <c:v>1.97</c:v>
                </c:pt>
                <c:pt idx="118">
                  <c:v>2.65</c:v>
                </c:pt>
                <c:pt idx="119">
                  <c:v>1.28</c:v>
                </c:pt>
                <c:pt idx="120">
                  <c:v>2</c:v>
                </c:pt>
                <c:pt idx="121">
                  <c:v>1.99</c:v>
                </c:pt>
                <c:pt idx="122">
                  <c:v>1.78</c:v>
                </c:pt>
                <c:pt idx="123">
                  <c:v>2.14</c:v>
                </c:pt>
                <c:pt idx="124">
                  <c:v>1.68</c:v>
                </c:pt>
                <c:pt idx="125">
                  <c:v>1.88</c:v>
                </c:pt>
                <c:pt idx="126">
                  <c:v>1.19</c:v>
                </c:pt>
                <c:pt idx="127">
                  <c:v>1.04</c:v>
                </c:pt>
                <c:pt idx="128">
                  <c:v>1.06</c:v>
                </c:pt>
                <c:pt idx="129">
                  <c:v>0.92</c:v>
                </c:pt>
                <c:pt idx="130">
                  <c:v>0.92</c:v>
                </c:pt>
                <c:pt idx="131">
                  <c:v>1.03</c:v>
                </c:pt>
                <c:pt idx="132">
                  <c:v>0.74</c:v>
                </c:pt>
                <c:pt idx="133">
                  <c:v>0.68</c:v>
                </c:pt>
                <c:pt idx="134">
                  <c:v>0.69</c:v>
                </c:pt>
                <c:pt idx="135">
                  <c:v>0.85</c:v>
                </c:pt>
                <c:pt idx="136">
                  <c:v>0.66</c:v>
                </c:pt>
                <c:pt idx="137">
                  <c:v>0.99</c:v>
                </c:pt>
                <c:pt idx="138">
                  <c:v>0.81</c:v>
                </c:pt>
                <c:pt idx="139">
                  <c:v>0.7</c:v>
                </c:pt>
                <c:pt idx="140">
                  <c:v>0.74</c:v>
                </c:pt>
                <c:pt idx="141">
                  <c:v>0.94</c:v>
                </c:pt>
                <c:pt idx="142">
                  <c:v>0.71</c:v>
                </c:pt>
                <c:pt idx="143">
                  <c:v>0.64</c:v>
                </c:pt>
                <c:pt idx="144">
                  <c:v>0.85</c:v>
                </c:pt>
                <c:pt idx="145">
                  <c:v>0.83</c:v>
                </c:pt>
                <c:pt idx="146">
                  <c:v>0.71</c:v>
                </c:pt>
                <c:pt idx="147">
                  <c:v>0.41</c:v>
                </c:pt>
                <c:pt idx="148">
                  <c:v>0.72</c:v>
                </c:pt>
                <c:pt idx="149">
                  <c:v>0.66</c:v>
                </c:pt>
                <c:pt idx="150">
                  <c:v>0.56999999999999995</c:v>
                </c:pt>
                <c:pt idx="151">
                  <c:v>1.37</c:v>
                </c:pt>
                <c:pt idx="152">
                  <c:v>1.25</c:v>
                </c:pt>
                <c:pt idx="153">
                  <c:v>1.28</c:v>
                </c:pt>
                <c:pt idx="154">
                  <c:v>1.21</c:v>
                </c:pt>
                <c:pt idx="155">
                  <c:v>1.27</c:v>
                </c:pt>
                <c:pt idx="156">
                  <c:v>1.28</c:v>
                </c:pt>
                <c:pt idx="157">
                  <c:v>1.33</c:v>
                </c:pt>
                <c:pt idx="158">
                  <c:v>1.31</c:v>
                </c:pt>
                <c:pt idx="159">
                  <c:v>1.21</c:v>
                </c:pt>
                <c:pt idx="160">
                  <c:v>1.17</c:v>
                </c:pt>
                <c:pt idx="161">
                  <c:v>1.21</c:v>
                </c:pt>
                <c:pt idx="162">
                  <c:v>1</c:v>
                </c:pt>
                <c:pt idx="163">
                  <c:v>0.74</c:v>
                </c:pt>
                <c:pt idx="164">
                  <c:v>0.95</c:v>
                </c:pt>
                <c:pt idx="165">
                  <c:v>1</c:v>
                </c:pt>
                <c:pt idx="166">
                  <c:v>1.01</c:v>
                </c:pt>
                <c:pt idx="167">
                  <c:v>0.99</c:v>
                </c:pt>
                <c:pt idx="168">
                  <c:v>0.81</c:v>
                </c:pt>
                <c:pt idx="169">
                  <c:v>0.95</c:v>
                </c:pt>
                <c:pt idx="170">
                  <c:v>1.1499999999999999</c:v>
                </c:pt>
                <c:pt idx="171">
                  <c:v>0.91</c:v>
                </c:pt>
                <c:pt idx="172">
                  <c:v>0.96</c:v>
                </c:pt>
                <c:pt idx="173">
                  <c:v>0.86</c:v>
                </c:pt>
                <c:pt idx="174">
                  <c:v>1.06</c:v>
                </c:pt>
                <c:pt idx="175">
                  <c:v>1.05</c:v>
                </c:pt>
                <c:pt idx="176">
                  <c:v>1.0900000000000001</c:v>
                </c:pt>
                <c:pt idx="177">
                  <c:v>0.91</c:v>
                </c:pt>
                <c:pt idx="178">
                  <c:v>0.56000000000000005</c:v>
                </c:pt>
                <c:pt idx="179">
                  <c:v>0.98</c:v>
                </c:pt>
                <c:pt idx="180">
                  <c:v>1.04</c:v>
                </c:pt>
                <c:pt idx="181">
                  <c:v>1.1200000000000001</c:v>
                </c:pt>
                <c:pt idx="182">
                  <c:v>1.1399999999999999</c:v>
                </c:pt>
                <c:pt idx="183">
                  <c:v>1.07</c:v>
                </c:pt>
                <c:pt idx="184">
                  <c:v>1.1299999999999999</c:v>
                </c:pt>
                <c:pt idx="185">
                  <c:v>1.27</c:v>
                </c:pt>
              </c:numCache>
            </c:numRef>
          </c:xVal>
          <c:yVal>
            <c:numRef>
              <c:f>Modeled_LAI_allmethods!$G$3:$G$2410</c:f>
              <c:numCache>
                <c:formatCode>General</c:formatCode>
                <c:ptCount val="187"/>
                <c:pt idx="0">
                  <c:v>0.77349839499999995</c:v>
                </c:pt>
                <c:pt idx="1">
                  <c:v>0.79460439800000005</c:v>
                </c:pt>
                <c:pt idx="2">
                  <c:v>0.76940535600000004</c:v>
                </c:pt>
                <c:pt idx="3">
                  <c:v>0.76380090499999997</c:v>
                </c:pt>
                <c:pt idx="4">
                  <c:v>0.75458515299999995</c:v>
                </c:pt>
                <c:pt idx="5">
                  <c:v>0.74392361100000004</c:v>
                </c:pt>
                <c:pt idx="6">
                  <c:v>0.76782449699999999</c:v>
                </c:pt>
                <c:pt idx="7">
                  <c:v>0.75618221299999999</c:v>
                </c:pt>
                <c:pt idx="8">
                  <c:v>0.72597526199999995</c:v>
                </c:pt>
                <c:pt idx="9">
                  <c:v>0.72609099399999999</c:v>
                </c:pt>
                <c:pt idx="10">
                  <c:v>0.76330461199999999</c:v>
                </c:pt>
                <c:pt idx="11">
                  <c:v>0.76858275499999995</c:v>
                </c:pt>
                <c:pt idx="12">
                  <c:v>0.78121226799999999</c:v>
                </c:pt>
                <c:pt idx="13">
                  <c:v>0.77640671299999997</c:v>
                </c:pt>
                <c:pt idx="14">
                  <c:v>0.75965002599999998</c:v>
                </c:pt>
                <c:pt idx="15">
                  <c:v>0.76117959899999998</c:v>
                </c:pt>
                <c:pt idx="16">
                  <c:v>0.75965002599999998</c:v>
                </c:pt>
                <c:pt idx="17">
                  <c:v>0.79597244300000003</c:v>
                </c:pt>
                <c:pt idx="18">
                  <c:v>0.77570529300000002</c:v>
                </c:pt>
                <c:pt idx="19">
                  <c:v>0.778838904</c:v>
                </c:pt>
                <c:pt idx="20">
                  <c:v>0.762949137</c:v>
                </c:pt>
                <c:pt idx="21">
                  <c:v>0.77412538200000003</c:v>
                </c:pt>
                <c:pt idx="22">
                  <c:v>0.75786463299999995</c:v>
                </c:pt>
                <c:pt idx="23">
                  <c:v>0.77570529300000002</c:v>
                </c:pt>
                <c:pt idx="24">
                  <c:v>0.75682992900000001</c:v>
                </c:pt>
                <c:pt idx="25">
                  <c:v>0.75786463299999995</c:v>
                </c:pt>
                <c:pt idx="26">
                  <c:v>0.77029021200000003</c:v>
                </c:pt>
                <c:pt idx="27">
                  <c:v>0.773575758</c:v>
                </c:pt>
                <c:pt idx="28">
                  <c:v>0.79440154399999996</c:v>
                </c:pt>
                <c:pt idx="29">
                  <c:v>0.76127819500000005</c:v>
                </c:pt>
                <c:pt idx="30">
                  <c:v>0.74517180800000005</c:v>
                </c:pt>
                <c:pt idx="31">
                  <c:v>0.76246913599999999</c:v>
                </c:pt>
                <c:pt idx="32">
                  <c:v>0.74297381699999998</c:v>
                </c:pt>
                <c:pt idx="33">
                  <c:v>0.74947916699999995</c:v>
                </c:pt>
                <c:pt idx="34">
                  <c:v>0.76858275499999995</c:v>
                </c:pt>
                <c:pt idx="35">
                  <c:v>0.73722627699999999</c:v>
                </c:pt>
                <c:pt idx="36">
                  <c:v>0.73882248800000005</c:v>
                </c:pt>
                <c:pt idx="37">
                  <c:v>0.71262829100000002</c:v>
                </c:pt>
                <c:pt idx="38">
                  <c:v>0.73541570999999994</c:v>
                </c:pt>
                <c:pt idx="39">
                  <c:v>0.63089509099999996</c:v>
                </c:pt>
                <c:pt idx="40">
                  <c:v>0.77412538200000003</c:v>
                </c:pt>
                <c:pt idx="41">
                  <c:v>0.78328452400000004</c:v>
                </c:pt>
                <c:pt idx="42">
                  <c:v>0.76652847499999999</c:v>
                </c:pt>
                <c:pt idx="43">
                  <c:v>0.79449945</c:v>
                </c:pt>
                <c:pt idx="44">
                  <c:v>0.79571034200000001</c:v>
                </c:pt>
                <c:pt idx="45">
                  <c:v>0.74517180800000005</c:v>
                </c:pt>
                <c:pt idx="46">
                  <c:v>0.790326313</c:v>
                </c:pt>
                <c:pt idx="47">
                  <c:v>0.77033937699999999</c:v>
                </c:pt>
                <c:pt idx="48">
                  <c:v>0.79599189400000003</c:v>
                </c:pt>
                <c:pt idx="49">
                  <c:v>0.78832298099999998</c:v>
                </c:pt>
                <c:pt idx="50">
                  <c:v>0.75362652500000005</c:v>
                </c:pt>
                <c:pt idx="51">
                  <c:v>0.76008537899999995</c:v>
                </c:pt>
                <c:pt idx="52">
                  <c:v>0.76236786499999998</c:v>
                </c:pt>
                <c:pt idx="53">
                  <c:v>0.75296703300000001</c:v>
                </c:pt>
                <c:pt idx="54">
                  <c:v>0.76380090499999997</c:v>
                </c:pt>
                <c:pt idx="55">
                  <c:v>0.76218678799999995</c:v>
                </c:pt>
                <c:pt idx="56">
                  <c:v>0.77699736600000002</c:v>
                </c:pt>
                <c:pt idx="57">
                  <c:v>0.78272027399999999</c:v>
                </c:pt>
                <c:pt idx="58">
                  <c:v>0.77551922200000001</c:v>
                </c:pt>
                <c:pt idx="59">
                  <c:v>0.765344468</c:v>
                </c:pt>
                <c:pt idx="60">
                  <c:v>0.77726325500000004</c:v>
                </c:pt>
                <c:pt idx="61">
                  <c:v>0.77155361099999997</c:v>
                </c:pt>
                <c:pt idx="62">
                  <c:v>0.76851441200000004</c:v>
                </c:pt>
                <c:pt idx="63">
                  <c:v>0.77726325500000004</c:v>
                </c:pt>
                <c:pt idx="64">
                  <c:v>0.77451403900000004</c:v>
                </c:pt>
                <c:pt idx="65">
                  <c:v>0.788926554</c:v>
                </c:pt>
                <c:pt idx="66">
                  <c:v>0.78102836899999994</c:v>
                </c:pt>
                <c:pt idx="67">
                  <c:v>0.77528593899999998</c:v>
                </c:pt>
                <c:pt idx="68">
                  <c:v>0.78547297299999996</c:v>
                </c:pt>
                <c:pt idx="69">
                  <c:v>0.78617470499999997</c:v>
                </c:pt>
                <c:pt idx="70">
                  <c:v>0.79313399799999995</c:v>
                </c:pt>
                <c:pt idx="71">
                  <c:v>0.76954555199999997</c:v>
                </c:pt>
                <c:pt idx="72">
                  <c:v>0.77155361099999997</c:v>
                </c:pt>
                <c:pt idx="73">
                  <c:v>0.78247468099999995</c:v>
                </c:pt>
                <c:pt idx="74">
                  <c:v>0.77504553700000001</c:v>
                </c:pt>
                <c:pt idx="75">
                  <c:v>0.79319790000000001</c:v>
                </c:pt>
                <c:pt idx="76">
                  <c:v>0.82734496599999996</c:v>
                </c:pt>
                <c:pt idx="77">
                  <c:v>0.83817227800000005</c:v>
                </c:pt>
                <c:pt idx="78">
                  <c:v>0.82669033300000005</c:v>
                </c:pt>
                <c:pt idx="79">
                  <c:v>0.83498811399999995</c:v>
                </c:pt>
                <c:pt idx="80">
                  <c:v>0.82544243799999995</c:v>
                </c:pt>
                <c:pt idx="81">
                  <c:v>0.84432322400000004</c:v>
                </c:pt>
                <c:pt idx="82">
                  <c:v>0.81395769600000001</c:v>
                </c:pt>
                <c:pt idx="83">
                  <c:v>0.85561887599999997</c:v>
                </c:pt>
                <c:pt idx="84">
                  <c:v>0.84974917800000005</c:v>
                </c:pt>
                <c:pt idx="85">
                  <c:v>0.82664517100000001</c:v>
                </c:pt>
                <c:pt idx="86">
                  <c:v>0.77967085999999997</c:v>
                </c:pt>
                <c:pt idx="87">
                  <c:v>0.829347414</c:v>
                </c:pt>
                <c:pt idx="88">
                  <c:v>0.82518080800000004</c:v>
                </c:pt>
                <c:pt idx="89">
                  <c:v>0.82594758599999996</c:v>
                </c:pt>
                <c:pt idx="90">
                  <c:v>0.86082098200000001</c:v>
                </c:pt>
                <c:pt idx="91">
                  <c:v>0.87275972499999999</c:v>
                </c:pt>
                <c:pt idx="92">
                  <c:v>0.87427714199999995</c:v>
                </c:pt>
                <c:pt idx="93">
                  <c:v>0.86258996300000002</c:v>
                </c:pt>
                <c:pt idx="94">
                  <c:v>0.85420973200000005</c:v>
                </c:pt>
                <c:pt idx="95">
                  <c:v>0.805398799</c:v>
                </c:pt>
                <c:pt idx="96">
                  <c:v>0.82528268999999999</c:v>
                </c:pt>
                <c:pt idx="97">
                  <c:v>0.81619674600000003</c:v>
                </c:pt>
                <c:pt idx="98">
                  <c:v>0.80193755899999997</c:v>
                </c:pt>
                <c:pt idx="99">
                  <c:v>0.81080060899999995</c:v>
                </c:pt>
                <c:pt idx="100">
                  <c:v>0.74090898999999999</c:v>
                </c:pt>
                <c:pt idx="101">
                  <c:v>0.71854926600000002</c:v>
                </c:pt>
                <c:pt idx="102">
                  <c:v>0.77422442899999999</c:v>
                </c:pt>
                <c:pt idx="103">
                  <c:v>0.72620722100000001</c:v>
                </c:pt>
                <c:pt idx="104">
                  <c:v>0.74448071900000001</c:v>
                </c:pt>
                <c:pt idx="105">
                  <c:v>0.81153635499999999</c:v>
                </c:pt>
                <c:pt idx="106">
                  <c:v>0.82598540399999998</c:v>
                </c:pt>
                <c:pt idx="107">
                  <c:v>0.83293731800000004</c:v>
                </c:pt>
                <c:pt idx="108">
                  <c:v>0.81841432400000003</c:v>
                </c:pt>
                <c:pt idx="109">
                  <c:v>0.82491090899999997</c:v>
                </c:pt>
                <c:pt idx="110">
                  <c:v>0.77157687600000002</c:v>
                </c:pt>
                <c:pt idx="111">
                  <c:v>0.79522525899999996</c:v>
                </c:pt>
                <c:pt idx="112">
                  <c:v>0.78441956400000001</c:v>
                </c:pt>
                <c:pt idx="113">
                  <c:v>0.74809606100000003</c:v>
                </c:pt>
                <c:pt idx="114">
                  <c:v>0.76522824300000003</c:v>
                </c:pt>
                <c:pt idx="115">
                  <c:v>0.70220355099999998</c:v>
                </c:pt>
                <c:pt idx="116">
                  <c:v>0.81541907999999996</c:v>
                </c:pt>
                <c:pt idx="117">
                  <c:v>0.79230756300000005</c:v>
                </c:pt>
                <c:pt idx="118">
                  <c:v>0.81567364200000003</c:v>
                </c:pt>
                <c:pt idx="119">
                  <c:v>0.81778964399999998</c:v>
                </c:pt>
                <c:pt idx="120">
                  <c:v>0.81461129399999999</c:v>
                </c:pt>
                <c:pt idx="121">
                  <c:v>0.81918486300000004</c:v>
                </c:pt>
                <c:pt idx="122">
                  <c:v>0.84927041400000003</c:v>
                </c:pt>
                <c:pt idx="123">
                  <c:v>0.83410360800000005</c:v>
                </c:pt>
                <c:pt idx="124">
                  <c:v>0.79007217600000001</c:v>
                </c:pt>
                <c:pt idx="125">
                  <c:v>0.790199557</c:v>
                </c:pt>
                <c:pt idx="126">
                  <c:v>0.72674334399999996</c:v>
                </c:pt>
                <c:pt idx="127">
                  <c:v>0.72194027599999999</c:v>
                </c:pt>
                <c:pt idx="128">
                  <c:v>0.72254739999999995</c:v>
                </c:pt>
                <c:pt idx="129">
                  <c:v>0.71374064000000004</c:v>
                </c:pt>
                <c:pt idx="130">
                  <c:v>0.73111041600000004</c:v>
                </c:pt>
                <c:pt idx="131">
                  <c:v>0.71496732299999999</c:v>
                </c:pt>
                <c:pt idx="132">
                  <c:v>0.67241935500000005</c:v>
                </c:pt>
                <c:pt idx="133">
                  <c:v>0.68780051399999997</c:v>
                </c:pt>
                <c:pt idx="134">
                  <c:v>0.69479551299999998</c:v>
                </c:pt>
                <c:pt idx="135">
                  <c:v>0.69630119999999995</c:v>
                </c:pt>
                <c:pt idx="136">
                  <c:v>0.70731320499999994</c:v>
                </c:pt>
                <c:pt idx="137">
                  <c:v>0.66692535100000006</c:v>
                </c:pt>
                <c:pt idx="138">
                  <c:v>0.69695638999999998</c:v>
                </c:pt>
                <c:pt idx="139">
                  <c:v>0.68688607300000004</c:v>
                </c:pt>
                <c:pt idx="140">
                  <c:v>0.69867723199999998</c:v>
                </c:pt>
                <c:pt idx="141">
                  <c:v>0.71970672099999999</c:v>
                </c:pt>
                <c:pt idx="142">
                  <c:v>0.71892553100000001</c:v>
                </c:pt>
                <c:pt idx="143">
                  <c:v>0.69784715600000002</c:v>
                </c:pt>
                <c:pt idx="144">
                  <c:v>0.73750808199999995</c:v>
                </c:pt>
                <c:pt idx="145">
                  <c:v>0.75085750600000001</c:v>
                </c:pt>
                <c:pt idx="146">
                  <c:v>0.692212736</c:v>
                </c:pt>
                <c:pt idx="147">
                  <c:v>0.71214226199999997</c:v>
                </c:pt>
                <c:pt idx="148">
                  <c:v>0.70454388000000001</c:v>
                </c:pt>
                <c:pt idx="149">
                  <c:v>0.70001580699999999</c:v>
                </c:pt>
                <c:pt idx="150">
                  <c:v>0.71228857400000001</c:v>
                </c:pt>
                <c:pt idx="151">
                  <c:v>0.70503447299999999</c:v>
                </c:pt>
                <c:pt idx="152">
                  <c:v>0.70717994799999995</c:v>
                </c:pt>
                <c:pt idx="153">
                  <c:v>0.70890088600000001</c:v>
                </c:pt>
                <c:pt idx="154">
                  <c:v>0.70615582499999996</c:v>
                </c:pt>
                <c:pt idx="155">
                  <c:v>0.69600858399999999</c:v>
                </c:pt>
                <c:pt idx="156">
                  <c:v>0.72326451700000005</c:v>
                </c:pt>
                <c:pt idx="157">
                  <c:v>0.70610859999999998</c:v>
                </c:pt>
                <c:pt idx="158">
                  <c:v>0.71806789999999998</c:v>
                </c:pt>
                <c:pt idx="159">
                  <c:v>0.70442492800000001</c:v>
                </c:pt>
                <c:pt idx="160">
                  <c:v>0.71110912999999998</c:v>
                </c:pt>
                <c:pt idx="161">
                  <c:v>0.70417829499999995</c:v>
                </c:pt>
                <c:pt idx="162">
                  <c:v>0.70572424</c:v>
                </c:pt>
                <c:pt idx="163">
                  <c:v>0.66127086800000001</c:v>
                </c:pt>
                <c:pt idx="164">
                  <c:v>0.67088677600000002</c:v>
                </c:pt>
                <c:pt idx="165">
                  <c:v>0.68238716300000002</c:v>
                </c:pt>
                <c:pt idx="166">
                  <c:v>0.71356268899999997</c:v>
                </c:pt>
                <c:pt idx="167">
                  <c:v>0.71978385600000006</c:v>
                </c:pt>
                <c:pt idx="168">
                  <c:v>0.68909206599999995</c:v>
                </c:pt>
                <c:pt idx="169">
                  <c:v>0.66117339500000005</c:v>
                </c:pt>
                <c:pt idx="170">
                  <c:v>0.71518630699999997</c:v>
                </c:pt>
                <c:pt idx="171">
                  <c:v>0.73621519999999996</c:v>
                </c:pt>
                <c:pt idx="172">
                  <c:v>0.723242473</c:v>
                </c:pt>
                <c:pt idx="173">
                  <c:v>0.70976354200000003</c:v>
                </c:pt>
                <c:pt idx="174">
                  <c:v>0.73099632000000003</c:v>
                </c:pt>
                <c:pt idx="175">
                  <c:v>0.74944137799999999</c:v>
                </c:pt>
                <c:pt idx="176">
                  <c:v>0.69660093599999995</c:v>
                </c:pt>
                <c:pt idx="177">
                  <c:v>0.69199537600000005</c:v>
                </c:pt>
                <c:pt idx="178">
                  <c:v>0.69692473499999996</c:v>
                </c:pt>
                <c:pt idx="179">
                  <c:v>0.66514171700000002</c:v>
                </c:pt>
                <c:pt idx="180">
                  <c:v>0.67865914900000002</c:v>
                </c:pt>
                <c:pt idx="181">
                  <c:v>0.70251648099999997</c:v>
                </c:pt>
                <c:pt idx="182">
                  <c:v>0.70591416900000004</c:v>
                </c:pt>
                <c:pt idx="183">
                  <c:v>0.69052945700000001</c:v>
                </c:pt>
                <c:pt idx="184">
                  <c:v>0.69026204800000002</c:v>
                </c:pt>
                <c:pt idx="185">
                  <c:v>0.69384847000000005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D7-480E-9398-32AFABA027BB}"/>
            </c:ext>
          </c:extLst>
        </c:ser>
        <c:ser>
          <c:idx val="1"/>
          <c:order val="1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gradFill rotWithShape="1">
                  <a:gsLst>
                    <a:gs pos="0">
                      <a:schemeClr val="accent2">
                        <a:lumMod val="110000"/>
                        <a:satMod val="105000"/>
                        <a:tint val="67000"/>
                      </a:schemeClr>
                    </a:gs>
                    <a:gs pos="50000">
                      <a:schemeClr val="accent2">
                        <a:lumMod val="105000"/>
                        <a:satMod val="103000"/>
                        <a:tint val="73000"/>
                      </a:schemeClr>
                    </a:gs>
                    <a:gs pos="100000">
                      <a:schemeClr val="accent2">
                        <a:lumMod val="105000"/>
                        <a:satMod val="109000"/>
                        <a:tint val="81000"/>
                      </a:schemeClr>
                    </a:gs>
                  </a:gsLst>
                  <a:lin ang="5400000" scaled="0"/>
                </a:gradFill>
                <a:ln w="9525" cap="flat" cmpd="sng" algn="ctr">
                  <a:solidFill>
                    <a:schemeClr val="accent2">
                      <a:shade val="95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9525" cap="flat" cmpd="sng" algn="ctr">
                <a:solidFill>
                  <a:schemeClr val="accent2">
                    <a:alpha val="7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D7-480E-9398-32AFABA027BB}"/>
              </c:ext>
            </c:extLst>
          </c:dPt>
          <c:xVal>
            <c:numRef>
              <c:f>Modeled_LAI_allmethods!$V$23:$V$24</c:f>
            </c:numRef>
          </c:xVal>
          <c:yVal>
            <c:numRef>
              <c:f>Modeled_LAI_allmethods!$W$23:$W$24</c:f>
            </c:numRef>
          </c:yVal>
          <c:smooth val="0"/>
          <c:extLst>
            <c:ext xmlns:c16="http://schemas.microsoft.com/office/drawing/2014/chart" uri="{C3380CC4-5D6E-409C-BE32-E72D297353CC}">
              <c16:uniqueId val="{00000004-02D7-480E-9398-32AFABA02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247647"/>
        <c:axId val="1526241887"/>
      </c:scatterChart>
      <c:valAx>
        <c:axId val="152624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1887"/>
        <c:crosses val="autoZero"/>
        <c:crossBetween val="midCat"/>
      </c:valAx>
      <c:valAx>
        <c:axId val="152624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764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Euqa_b3 original eq</a:t>
            </a:r>
          </a:p>
        </c:rich>
      </c:tx>
      <c:layout>
        <c:manualLayout>
          <c:xMode val="edge"/>
          <c:yMode val="edge"/>
          <c:x val="8.3416447944007002E-2"/>
          <c:y val="4.4362283442777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Modeled_LAI_allmethods!$J$1</c:f>
              <c:strCache>
                <c:ptCount val="1"/>
                <c:pt idx="0">
                  <c:v>Euqa_b3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3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354184893554972"/>
                  <c:y val="-0.26804560437863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Modeled_LAI_allmethods!$J$2:$J$2409</c:f>
              <c:numCache>
                <c:formatCode>General</c:formatCode>
                <c:ptCount val="186"/>
                <c:pt idx="0">
                  <c:v>2.2472136642943101</c:v>
                </c:pt>
                <c:pt idx="1">
                  <c:v>2.5103825302523299</c:v>
                </c:pt>
                <c:pt idx="2">
                  <c:v>2.7084868622801501</c:v>
                </c:pt>
                <c:pt idx="3">
                  <c:v>2.35326018357078</c:v>
                </c:pt>
                <c:pt idx="4">
                  <c:v>1.9889065412006399</c:v>
                </c:pt>
                <c:pt idx="5">
                  <c:v>1.8541642061338599</c:v>
                </c:pt>
                <c:pt idx="6">
                  <c:v>2.3631309194787402</c:v>
                </c:pt>
                <c:pt idx="7">
                  <c:v>2.0894975631549602</c:v>
                </c:pt>
                <c:pt idx="8">
                  <c:v>1.6153913963447599</c:v>
                </c:pt>
                <c:pt idx="9">
                  <c:v>1.8283233498245799</c:v>
                </c:pt>
                <c:pt idx="10">
                  <c:v>2.5638247777336298</c:v>
                </c:pt>
                <c:pt idx="11">
                  <c:v>2.3663366074701302</c:v>
                </c:pt>
                <c:pt idx="12">
                  <c:v>2.2877920796662501</c:v>
                </c:pt>
                <c:pt idx="13">
                  <c:v>2.2285435933503002</c:v>
                </c:pt>
                <c:pt idx="14">
                  <c:v>2.0396180462682199</c:v>
                </c:pt>
                <c:pt idx="15">
                  <c:v>2.01882891153382</c:v>
                </c:pt>
                <c:pt idx="16">
                  <c:v>2.1708139948901302</c:v>
                </c:pt>
                <c:pt idx="17">
                  <c:v>1.86912301613433</c:v>
                </c:pt>
                <c:pt idx="18">
                  <c:v>1.7860249933127701</c:v>
                </c:pt>
                <c:pt idx="19">
                  <c:v>2.2395539981438102</c:v>
                </c:pt>
                <c:pt idx="20">
                  <c:v>1.8818181504840401</c:v>
                </c:pt>
                <c:pt idx="21">
                  <c:v>2.0652563403212598</c:v>
                </c:pt>
                <c:pt idx="22">
                  <c:v>1.5915694742556901</c:v>
                </c:pt>
                <c:pt idx="23">
                  <c:v>1.58604375650672</c:v>
                </c:pt>
                <c:pt idx="24">
                  <c:v>1.5935808929247699</c:v>
                </c:pt>
                <c:pt idx="25">
                  <c:v>1.85295440943348</c:v>
                </c:pt>
                <c:pt idx="26">
                  <c:v>1.7873437875945599</c:v>
                </c:pt>
                <c:pt idx="27">
                  <c:v>1.4880298755802599</c:v>
                </c:pt>
                <c:pt idx="28">
                  <c:v>1.3531753996314</c:v>
                </c:pt>
                <c:pt idx="29">
                  <c:v>1.59488637614587</c:v>
                </c:pt>
                <c:pt idx="30">
                  <c:v>1.3981929325514699</c:v>
                </c:pt>
                <c:pt idx="31">
                  <c:v>1.7982077430478101</c:v>
                </c:pt>
                <c:pt idx="32">
                  <c:v>1.6581844019602201</c:v>
                </c:pt>
                <c:pt idx="33">
                  <c:v>1.45190310422847</c:v>
                </c:pt>
                <c:pt idx="34">
                  <c:v>1.55314337274796</c:v>
                </c:pt>
                <c:pt idx="35">
                  <c:v>1.7235861385311699</c:v>
                </c:pt>
                <c:pt idx="36">
                  <c:v>1.8098339710136899</c:v>
                </c:pt>
                <c:pt idx="37">
                  <c:v>1.1842769902833401</c:v>
                </c:pt>
                <c:pt idx="38">
                  <c:v>1.4154123779298</c:v>
                </c:pt>
                <c:pt idx="39">
                  <c:v>1.36948940845672</c:v>
                </c:pt>
                <c:pt idx="40">
                  <c:v>2.29960437259601</c:v>
                </c:pt>
                <c:pt idx="41">
                  <c:v>2.5938864013315102</c:v>
                </c:pt>
                <c:pt idx="42">
                  <c:v>2.73766493541756</c:v>
                </c:pt>
                <c:pt idx="43">
                  <c:v>2.50307339117205</c:v>
                </c:pt>
                <c:pt idx="44">
                  <c:v>2.7152319517722701</c:v>
                </c:pt>
                <c:pt idx="45">
                  <c:v>1.7957194004840999</c:v>
                </c:pt>
                <c:pt idx="46">
                  <c:v>2.4007554867297598</c:v>
                </c:pt>
                <c:pt idx="47">
                  <c:v>2.3768489307677698</c:v>
                </c:pt>
                <c:pt idx="48">
                  <c:v>2.1427081041904099</c:v>
                </c:pt>
                <c:pt idx="49">
                  <c:v>2.4363918497267498</c:v>
                </c:pt>
                <c:pt idx="50">
                  <c:v>1.60014414516109</c:v>
                </c:pt>
                <c:pt idx="51">
                  <c:v>2.3711412992260699</c:v>
                </c:pt>
                <c:pt idx="52">
                  <c:v>2.3107107511875502</c:v>
                </c:pt>
                <c:pt idx="53">
                  <c:v>2.2869435343519302</c:v>
                </c:pt>
                <c:pt idx="54">
                  <c:v>2.2857581926476298</c:v>
                </c:pt>
                <c:pt idx="55">
                  <c:v>2.3918399833705601</c:v>
                </c:pt>
                <c:pt idx="56">
                  <c:v>2.5870115804338698</c:v>
                </c:pt>
                <c:pt idx="57">
                  <c:v>2.5347816173893101</c:v>
                </c:pt>
                <c:pt idx="58">
                  <c:v>2.7659624342622702</c:v>
                </c:pt>
                <c:pt idx="59">
                  <c:v>2.6653600418519598</c:v>
                </c:pt>
                <c:pt idx="60">
                  <c:v>2.3956332118574601</c:v>
                </c:pt>
                <c:pt idx="61">
                  <c:v>2.3729214257156501</c:v>
                </c:pt>
                <c:pt idx="62">
                  <c:v>2.6292492788989201</c:v>
                </c:pt>
                <c:pt idx="63">
                  <c:v>2.6579347666765898</c:v>
                </c:pt>
                <c:pt idx="64">
                  <c:v>2.77292324141224</c:v>
                </c:pt>
                <c:pt idx="65">
                  <c:v>2.6428807474663798</c:v>
                </c:pt>
                <c:pt idx="66">
                  <c:v>2.3758491613859398</c:v>
                </c:pt>
                <c:pt idx="67">
                  <c:v>2.6706477888804199</c:v>
                </c:pt>
                <c:pt idx="68">
                  <c:v>2.6100800875577099</c:v>
                </c:pt>
                <c:pt idx="69">
                  <c:v>2.92510884381102</c:v>
                </c:pt>
                <c:pt idx="70">
                  <c:v>2.9434527488898499</c:v>
                </c:pt>
                <c:pt idx="71">
                  <c:v>2.4784147305650999</c:v>
                </c:pt>
                <c:pt idx="72">
                  <c:v>2.62627690899643</c:v>
                </c:pt>
                <c:pt idx="73">
                  <c:v>2.6738230422383902</c:v>
                </c:pt>
                <c:pt idx="74">
                  <c:v>2.7000375523608802</c:v>
                </c:pt>
                <c:pt idx="75">
                  <c:v>2.88400748327305</c:v>
                </c:pt>
                <c:pt idx="76">
                  <c:v>2.5860188252762999</c:v>
                </c:pt>
                <c:pt idx="77">
                  <c:v>2.8545017668226902</c:v>
                </c:pt>
                <c:pt idx="78">
                  <c:v>2.5636552451372201</c:v>
                </c:pt>
                <c:pt idx="79">
                  <c:v>2.4405993667080499</c:v>
                </c:pt>
                <c:pt idx="80">
                  <c:v>2.7477991574997498</c:v>
                </c:pt>
                <c:pt idx="81">
                  <c:v>2.75805837784098</c:v>
                </c:pt>
                <c:pt idx="82">
                  <c:v>2.5636269903155799</c:v>
                </c:pt>
                <c:pt idx="83">
                  <c:v>3.3023419989999101</c:v>
                </c:pt>
                <c:pt idx="84">
                  <c:v>2.7283783885100199</c:v>
                </c:pt>
                <c:pt idx="85">
                  <c:v>2.2168211408871401</c:v>
                </c:pt>
                <c:pt idx="86">
                  <c:v>2.01687889877071</c:v>
                </c:pt>
                <c:pt idx="87">
                  <c:v>2.3368020386441102</c:v>
                </c:pt>
                <c:pt idx="88">
                  <c:v>2.6718737241414598</c:v>
                </c:pt>
                <c:pt idx="89">
                  <c:v>2.4830459080669001</c:v>
                </c:pt>
                <c:pt idx="90">
                  <c:v>3.3797644666730999</c:v>
                </c:pt>
                <c:pt idx="91">
                  <c:v>3.3056951028416601</c:v>
                </c:pt>
                <c:pt idx="92">
                  <c:v>3.6934950020514301</c:v>
                </c:pt>
                <c:pt idx="93">
                  <c:v>3.4797914596541402</c:v>
                </c:pt>
                <c:pt idx="94">
                  <c:v>2.9999217491510399</c:v>
                </c:pt>
                <c:pt idx="95">
                  <c:v>2.2283304892425102</c:v>
                </c:pt>
                <c:pt idx="96">
                  <c:v>2.9594865261879</c:v>
                </c:pt>
                <c:pt idx="97">
                  <c:v>2.23308091083</c:v>
                </c:pt>
                <c:pt idx="98">
                  <c:v>2.4201383689501199</c:v>
                </c:pt>
                <c:pt idx="99">
                  <c:v>2.7293528615704701</c:v>
                </c:pt>
                <c:pt idx="100">
                  <c:v>2.2019371200156699</c:v>
                </c:pt>
                <c:pt idx="101">
                  <c:v>1.85366744521799</c:v>
                </c:pt>
                <c:pt idx="102">
                  <c:v>2.3261865648267999</c:v>
                </c:pt>
                <c:pt idx="103">
                  <c:v>1.6309012714248901</c:v>
                </c:pt>
                <c:pt idx="104">
                  <c:v>1.7016873584252099</c:v>
                </c:pt>
                <c:pt idx="105">
                  <c:v>2.4975145156290299</c:v>
                </c:pt>
                <c:pt idx="106">
                  <c:v>2.7894519347576798</c:v>
                </c:pt>
                <c:pt idx="107">
                  <c:v>2.8538558744353102</c:v>
                </c:pt>
                <c:pt idx="108">
                  <c:v>2.6149426307532901</c:v>
                </c:pt>
                <c:pt idx="109">
                  <c:v>2.6956657427486599</c:v>
                </c:pt>
                <c:pt idx="110">
                  <c:v>2.0825237143581901</c:v>
                </c:pt>
                <c:pt idx="111">
                  <c:v>2.6052867633624301</c:v>
                </c:pt>
                <c:pt idx="112">
                  <c:v>2.3266504615361598</c:v>
                </c:pt>
                <c:pt idx="113">
                  <c:v>1.9266828317057101</c:v>
                </c:pt>
                <c:pt idx="114">
                  <c:v>2.0713058674879599</c:v>
                </c:pt>
                <c:pt idx="115">
                  <c:v>1.52619062111556</c:v>
                </c:pt>
                <c:pt idx="116">
                  <c:v>2.7770267201897698</c:v>
                </c:pt>
                <c:pt idx="117">
                  <c:v>2.4601011926930298</c:v>
                </c:pt>
                <c:pt idx="118">
                  <c:v>2.6484475041305799</c:v>
                </c:pt>
                <c:pt idx="119">
                  <c:v>2.67097617717757</c:v>
                </c:pt>
                <c:pt idx="120">
                  <c:v>2.7677682364831702</c:v>
                </c:pt>
                <c:pt idx="121">
                  <c:v>2.8889410389075101</c:v>
                </c:pt>
                <c:pt idx="122">
                  <c:v>2.8537472296617001</c:v>
                </c:pt>
                <c:pt idx="123">
                  <c:v>2.6185628495814899</c:v>
                </c:pt>
                <c:pt idx="124">
                  <c:v>2.3328748143800402</c:v>
                </c:pt>
                <c:pt idx="125">
                  <c:v>2.3614498241672801</c:v>
                </c:pt>
                <c:pt idx="126">
                  <c:v>1.77492498525993</c:v>
                </c:pt>
                <c:pt idx="127">
                  <c:v>1.64622641627335</c:v>
                </c:pt>
                <c:pt idx="128">
                  <c:v>1.6719116782036401</c:v>
                </c:pt>
                <c:pt idx="129">
                  <c:v>1.52624391270668</c:v>
                </c:pt>
                <c:pt idx="130">
                  <c:v>1.84271266672784</c:v>
                </c:pt>
                <c:pt idx="131">
                  <c:v>1.5190695679185</c:v>
                </c:pt>
                <c:pt idx="132">
                  <c:v>1.2318272003948501</c:v>
                </c:pt>
                <c:pt idx="133">
                  <c:v>1.23563642614605</c:v>
                </c:pt>
                <c:pt idx="134">
                  <c:v>1.2177920148829899</c:v>
                </c:pt>
                <c:pt idx="135">
                  <c:v>1.4181773075628901</c:v>
                </c:pt>
                <c:pt idx="136">
                  <c:v>1.4788765889975299</c:v>
                </c:pt>
                <c:pt idx="137">
                  <c:v>1.0288795924418801</c:v>
                </c:pt>
                <c:pt idx="138">
                  <c:v>1.25641245734211</c:v>
                </c:pt>
                <c:pt idx="139">
                  <c:v>1.1320551036070501</c:v>
                </c:pt>
                <c:pt idx="140">
                  <c:v>1.4348557241195401</c:v>
                </c:pt>
                <c:pt idx="141">
                  <c:v>1.5285262845502201</c:v>
                </c:pt>
                <c:pt idx="142">
                  <c:v>1.34463498536209</c:v>
                </c:pt>
                <c:pt idx="143">
                  <c:v>1.36443482629964</c:v>
                </c:pt>
                <c:pt idx="144">
                  <c:v>1.75050498486151</c:v>
                </c:pt>
                <c:pt idx="145">
                  <c:v>2.0204194000467401</c:v>
                </c:pt>
                <c:pt idx="146">
                  <c:v>1.2196286105326399</c:v>
                </c:pt>
                <c:pt idx="147">
                  <c:v>1.5875790029088399</c:v>
                </c:pt>
                <c:pt idx="148">
                  <c:v>1.4465028240295701</c:v>
                </c:pt>
                <c:pt idx="149">
                  <c:v>1.32589973562801</c:v>
                </c:pt>
                <c:pt idx="150">
                  <c:v>1.49126654244338</c:v>
                </c:pt>
                <c:pt idx="151">
                  <c:v>1.4383164779461499</c:v>
                </c:pt>
                <c:pt idx="152">
                  <c:v>1.44280549718294</c:v>
                </c:pt>
                <c:pt idx="153">
                  <c:v>1.46912838327833</c:v>
                </c:pt>
                <c:pt idx="154">
                  <c:v>1.4297689650727301</c:v>
                </c:pt>
                <c:pt idx="155">
                  <c:v>1.40799536458793</c:v>
                </c:pt>
                <c:pt idx="156">
                  <c:v>1.5718800008429401</c:v>
                </c:pt>
                <c:pt idx="157">
                  <c:v>1.5002373392205599</c:v>
                </c:pt>
                <c:pt idx="158">
                  <c:v>1.5719735356217099</c:v>
                </c:pt>
                <c:pt idx="159">
                  <c:v>1.3493200042122799</c:v>
                </c:pt>
                <c:pt idx="160">
                  <c:v>1.3908813729634999</c:v>
                </c:pt>
                <c:pt idx="161">
                  <c:v>1.38885605666292</c:v>
                </c:pt>
                <c:pt idx="162">
                  <c:v>1.5066982940948701</c:v>
                </c:pt>
                <c:pt idx="163">
                  <c:v>0.99233700254038004</c:v>
                </c:pt>
                <c:pt idx="164">
                  <c:v>1.1127159602040799</c:v>
                </c:pt>
                <c:pt idx="165">
                  <c:v>1.19695937914885</c:v>
                </c:pt>
                <c:pt idx="166">
                  <c:v>1.50085509555963</c:v>
                </c:pt>
                <c:pt idx="167">
                  <c:v>1.5430043299904199</c:v>
                </c:pt>
                <c:pt idx="168">
                  <c:v>1.2714706470964501</c:v>
                </c:pt>
                <c:pt idx="169">
                  <c:v>1.18456763987034</c:v>
                </c:pt>
                <c:pt idx="170">
                  <c:v>1.5719603962826401</c:v>
                </c:pt>
                <c:pt idx="171">
                  <c:v>1.94040223576858</c:v>
                </c:pt>
                <c:pt idx="172">
                  <c:v>1.6549814067492401</c:v>
                </c:pt>
                <c:pt idx="173">
                  <c:v>1.40039972899985</c:v>
                </c:pt>
                <c:pt idx="174">
                  <c:v>1.6434418566649101</c:v>
                </c:pt>
                <c:pt idx="175">
                  <c:v>2.01996771240327</c:v>
                </c:pt>
                <c:pt idx="176">
                  <c:v>1.2196530232927401</c:v>
                </c:pt>
                <c:pt idx="177">
                  <c:v>1.2276960112744899</c:v>
                </c:pt>
                <c:pt idx="178">
                  <c:v>1.1985631829697501</c:v>
                </c:pt>
                <c:pt idx="179">
                  <c:v>0.80477911799899504</c:v>
                </c:pt>
                <c:pt idx="180">
                  <c:v>0.978826725485476</c:v>
                </c:pt>
                <c:pt idx="181">
                  <c:v>1.19737640124706</c:v>
                </c:pt>
                <c:pt idx="182">
                  <c:v>1.28874474927692</c:v>
                </c:pt>
                <c:pt idx="183">
                  <c:v>1.16046909035207</c:v>
                </c:pt>
                <c:pt idx="184">
                  <c:v>1.1251872554568001</c:v>
                </c:pt>
                <c:pt idx="185">
                  <c:v>1.2364709771957101</c:v>
                </c:pt>
              </c:numCache>
            </c:numRef>
          </c:xVal>
          <c:yVal>
            <c:numRef>
              <c:f>Modeled_LAI_allmethods!$Q$2:$Q$2409</c:f>
              <c:numCache>
                <c:formatCode>General</c:formatCode>
                <c:ptCount val="186"/>
                <c:pt idx="0">
                  <c:v>1.77</c:v>
                </c:pt>
                <c:pt idx="1">
                  <c:v>2.35</c:v>
                </c:pt>
                <c:pt idx="2">
                  <c:v>2.4900000000000002</c:v>
                </c:pt>
                <c:pt idx="3">
                  <c:v>2.33</c:v>
                </c:pt>
                <c:pt idx="4">
                  <c:v>3.09</c:v>
                </c:pt>
                <c:pt idx="5">
                  <c:v>2.4700000000000002</c:v>
                </c:pt>
                <c:pt idx="6">
                  <c:v>2.4700000000000002</c:v>
                </c:pt>
                <c:pt idx="7">
                  <c:v>1.69</c:v>
                </c:pt>
                <c:pt idx="8">
                  <c:v>1.94</c:v>
                </c:pt>
                <c:pt idx="9">
                  <c:v>1.34</c:v>
                </c:pt>
                <c:pt idx="10">
                  <c:v>2.1</c:v>
                </c:pt>
                <c:pt idx="11">
                  <c:v>1.89</c:v>
                </c:pt>
                <c:pt idx="12">
                  <c:v>1.75</c:v>
                </c:pt>
                <c:pt idx="13">
                  <c:v>1.76</c:v>
                </c:pt>
                <c:pt idx="14">
                  <c:v>1.69</c:v>
                </c:pt>
                <c:pt idx="15">
                  <c:v>1.6</c:v>
                </c:pt>
                <c:pt idx="16">
                  <c:v>2.23</c:v>
                </c:pt>
                <c:pt idx="17">
                  <c:v>2.17</c:v>
                </c:pt>
                <c:pt idx="18">
                  <c:v>1.88</c:v>
                </c:pt>
                <c:pt idx="19">
                  <c:v>2.1800000000000002</c:v>
                </c:pt>
                <c:pt idx="20">
                  <c:v>1.51</c:v>
                </c:pt>
                <c:pt idx="21">
                  <c:v>1.44</c:v>
                </c:pt>
                <c:pt idx="22">
                  <c:v>2.17</c:v>
                </c:pt>
                <c:pt idx="23">
                  <c:v>1.77</c:v>
                </c:pt>
                <c:pt idx="24">
                  <c:v>1.63</c:v>
                </c:pt>
                <c:pt idx="25">
                  <c:v>1.79</c:v>
                </c:pt>
                <c:pt idx="26">
                  <c:v>1.95</c:v>
                </c:pt>
                <c:pt idx="27">
                  <c:v>2.1800000000000002</c:v>
                </c:pt>
                <c:pt idx="28">
                  <c:v>1.59</c:v>
                </c:pt>
                <c:pt idx="29">
                  <c:v>2.15</c:v>
                </c:pt>
                <c:pt idx="30">
                  <c:v>1.74</c:v>
                </c:pt>
                <c:pt idx="31">
                  <c:v>1.72</c:v>
                </c:pt>
                <c:pt idx="32">
                  <c:v>1.88</c:v>
                </c:pt>
                <c:pt idx="33">
                  <c:v>2.31</c:v>
                </c:pt>
                <c:pt idx="34">
                  <c:v>1.94</c:v>
                </c:pt>
                <c:pt idx="35">
                  <c:v>0.8</c:v>
                </c:pt>
                <c:pt idx="36">
                  <c:v>1.1000000000000001</c:v>
                </c:pt>
                <c:pt idx="37">
                  <c:v>1.94</c:v>
                </c:pt>
                <c:pt idx="38">
                  <c:v>1.79</c:v>
                </c:pt>
                <c:pt idx="39">
                  <c:v>0.11</c:v>
                </c:pt>
                <c:pt idx="40">
                  <c:v>2.84</c:v>
                </c:pt>
                <c:pt idx="41">
                  <c:v>2.1800000000000002</c:v>
                </c:pt>
                <c:pt idx="42">
                  <c:v>3.02</c:v>
                </c:pt>
                <c:pt idx="43">
                  <c:v>2.33</c:v>
                </c:pt>
                <c:pt idx="44">
                  <c:v>2.63</c:v>
                </c:pt>
                <c:pt idx="45">
                  <c:v>2.4</c:v>
                </c:pt>
                <c:pt idx="46">
                  <c:v>1.89</c:v>
                </c:pt>
                <c:pt idx="47">
                  <c:v>1.37</c:v>
                </c:pt>
                <c:pt idx="48">
                  <c:v>2</c:v>
                </c:pt>
                <c:pt idx="49">
                  <c:v>1.05</c:v>
                </c:pt>
                <c:pt idx="50">
                  <c:v>1.44</c:v>
                </c:pt>
                <c:pt idx="51">
                  <c:v>2.33</c:v>
                </c:pt>
                <c:pt idx="52">
                  <c:v>2.4300000000000002</c:v>
                </c:pt>
                <c:pt idx="53">
                  <c:v>2.91</c:v>
                </c:pt>
                <c:pt idx="54">
                  <c:v>2.17</c:v>
                </c:pt>
                <c:pt idx="55">
                  <c:v>2.0699999999999998</c:v>
                </c:pt>
                <c:pt idx="56">
                  <c:v>1.74</c:v>
                </c:pt>
                <c:pt idx="57">
                  <c:v>3.04</c:v>
                </c:pt>
                <c:pt idx="58">
                  <c:v>2.75</c:v>
                </c:pt>
                <c:pt idx="59">
                  <c:v>3.14</c:v>
                </c:pt>
                <c:pt idx="60">
                  <c:v>2.3199999999999998</c:v>
                </c:pt>
                <c:pt idx="61">
                  <c:v>2.88</c:v>
                </c:pt>
                <c:pt idx="62">
                  <c:v>2.1</c:v>
                </c:pt>
                <c:pt idx="63">
                  <c:v>2.25</c:v>
                </c:pt>
                <c:pt idx="64">
                  <c:v>2.6</c:v>
                </c:pt>
                <c:pt idx="65">
                  <c:v>2.16</c:v>
                </c:pt>
                <c:pt idx="66">
                  <c:v>2.44</c:v>
                </c:pt>
                <c:pt idx="67">
                  <c:v>2.12</c:v>
                </c:pt>
                <c:pt idx="68">
                  <c:v>2.0499999999999998</c:v>
                </c:pt>
                <c:pt idx="69">
                  <c:v>2.46</c:v>
                </c:pt>
                <c:pt idx="70">
                  <c:v>2.2599999999999998</c:v>
                </c:pt>
                <c:pt idx="71">
                  <c:v>3.21</c:v>
                </c:pt>
                <c:pt idx="72">
                  <c:v>2.4500000000000002</c:v>
                </c:pt>
                <c:pt idx="73">
                  <c:v>2.44</c:v>
                </c:pt>
                <c:pt idx="74">
                  <c:v>2.41</c:v>
                </c:pt>
                <c:pt idx="75">
                  <c:v>1.9</c:v>
                </c:pt>
                <c:pt idx="76">
                  <c:v>1.81</c:v>
                </c:pt>
                <c:pt idx="77">
                  <c:v>2.23</c:v>
                </c:pt>
                <c:pt idx="78">
                  <c:v>2.23</c:v>
                </c:pt>
                <c:pt idx="79">
                  <c:v>1.88</c:v>
                </c:pt>
                <c:pt idx="80">
                  <c:v>1.59</c:v>
                </c:pt>
                <c:pt idx="81">
                  <c:v>1.8</c:v>
                </c:pt>
                <c:pt idx="82">
                  <c:v>2.56</c:v>
                </c:pt>
                <c:pt idx="83">
                  <c:v>1.82</c:v>
                </c:pt>
                <c:pt idx="84">
                  <c:v>2.02</c:v>
                </c:pt>
                <c:pt idx="85">
                  <c:v>1.34</c:v>
                </c:pt>
                <c:pt idx="86">
                  <c:v>0.67</c:v>
                </c:pt>
                <c:pt idx="87">
                  <c:v>1.67</c:v>
                </c:pt>
                <c:pt idx="88">
                  <c:v>1.04</c:v>
                </c:pt>
                <c:pt idx="89">
                  <c:v>1.07</c:v>
                </c:pt>
                <c:pt idx="90">
                  <c:v>2.69</c:v>
                </c:pt>
                <c:pt idx="91">
                  <c:v>2.71</c:v>
                </c:pt>
                <c:pt idx="92">
                  <c:v>1.87</c:v>
                </c:pt>
                <c:pt idx="93">
                  <c:v>2.44</c:v>
                </c:pt>
                <c:pt idx="94">
                  <c:v>2.5299999999999998</c:v>
                </c:pt>
                <c:pt idx="95">
                  <c:v>1.37</c:v>
                </c:pt>
                <c:pt idx="96">
                  <c:v>1.66</c:v>
                </c:pt>
                <c:pt idx="97">
                  <c:v>1.22</c:v>
                </c:pt>
                <c:pt idx="98">
                  <c:v>1.64</c:v>
                </c:pt>
                <c:pt idx="99">
                  <c:v>1.65</c:v>
                </c:pt>
                <c:pt idx="100">
                  <c:v>0.92</c:v>
                </c:pt>
                <c:pt idx="101">
                  <c:v>0.7</c:v>
                </c:pt>
                <c:pt idx="102">
                  <c:v>0.88</c:v>
                </c:pt>
                <c:pt idx="103">
                  <c:v>0.94</c:v>
                </c:pt>
                <c:pt idx="104">
                  <c:v>1.06</c:v>
                </c:pt>
                <c:pt idx="105">
                  <c:v>2.27</c:v>
                </c:pt>
                <c:pt idx="106">
                  <c:v>2.46</c:v>
                </c:pt>
                <c:pt idx="107">
                  <c:v>2.56</c:v>
                </c:pt>
                <c:pt idx="108">
                  <c:v>2.1800000000000002</c:v>
                </c:pt>
                <c:pt idx="109">
                  <c:v>2.58</c:v>
                </c:pt>
                <c:pt idx="110">
                  <c:v>1.74</c:v>
                </c:pt>
                <c:pt idx="111">
                  <c:v>1.42</c:v>
                </c:pt>
                <c:pt idx="112">
                  <c:v>1.23</c:v>
                </c:pt>
                <c:pt idx="113">
                  <c:v>1.8</c:v>
                </c:pt>
                <c:pt idx="114">
                  <c:v>1.92</c:v>
                </c:pt>
                <c:pt idx="115">
                  <c:v>0.74</c:v>
                </c:pt>
                <c:pt idx="116">
                  <c:v>3.14</c:v>
                </c:pt>
                <c:pt idx="117">
                  <c:v>1.97</c:v>
                </c:pt>
                <c:pt idx="118">
                  <c:v>2.65</c:v>
                </c:pt>
                <c:pt idx="119">
                  <c:v>1.28</c:v>
                </c:pt>
                <c:pt idx="120">
                  <c:v>2</c:v>
                </c:pt>
                <c:pt idx="121">
                  <c:v>1.99</c:v>
                </c:pt>
                <c:pt idx="122">
                  <c:v>1.78</c:v>
                </c:pt>
                <c:pt idx="123">
                  <c:v>2.14</c:v>
                </c:pt>
                <c:pt idx="124">
                  <c:v>1.68</c:v>
                </c:pt>
                <c:pt idx="125">
                  <c:v>1.88</c:v>
                </c:pt>
                <c:pt idx="126">
                  <c:v>1.19</c:v>
                </c:pt>
                <c:pt idx="127">
                  <c:v>1.04</c:v>
                </c:pt>
                <c:pt idx="128">
                  <c:v>1.06</c:v>
                </c:pt>
                <c:pt idx="129">
                  <c:v>0.92</c:v>
                </c:pt>
                <c:pt idx="130">
                  <c:v>0.92</c:v>
                </c:pt>
                <c:pt idx="131">
                  <c:v>1.03</c:v>
                </c:pt>
                <c:pt idx="132">
                  <c:v>0.74</c:v>
                </c:pt>
                <c:pt idx="133">
                  <c:v>0.68</c:v>
                </c:pt>
                <c:pt idx="134">
                  <c:v>0.69</c:v>
                </c:pt>
                <c:pt idx="135">
                  <c:v>0.85</c:v>
                </c:pt>
                <c:pt idx="136">
                  <c:v>0.66</c:v>
                </c:pt>
                <c:pt idx="137">
                  <c:v>0.99</c:v>
                </c:pt>
                <c:pt idx="138">
                  <c:v>0.81</c:v>
                </c:pt>
                <c:pt idx="139">
                  <c:v>0.7</c:v>
                </c:pt>
                <c:pt idx="140">
                  <c:v>0.74</c:v>
                </c:pt>
                <c:pt idx="141">
                  <c:v>0.94</c:v>
                </c:pt>
                <c:pt idx="142">
                  <c:v>0.71</c:v>
                </c:pt>
                <c:pt idx="143">
                  <c:v>0.64</c:v>
                </c:pt>
                <c:pt idx="144">
                  <c:v>0.85</c:v>
                </c:pt>
                <c:pt idx="145">
                  <c:v>0.83</c:v>
                </c:pt>
                <c:pt idx="146">
                  <c:v>0.71</c:v>
                </c:pt>
                <c:pt idx="147">
                  <c:v>0.41</c:v>
                </c:pt>
                <c:pt idx="148">
                  <c:v>0.72</c:v>
                </c:pt>
                <c:pt idx="149">
                  <c:v>0.66</c:v>
                </c:pt>
                <c:pt idx="150">
                  <c:v>0.56999999999999995</c:v>
                </c:pt>
                <c:pt idx="151">
                  <c:v>1.37</c:v>
                </c:pt>
                <c:pt idx="152">
                  <c:v>1.25</c:v>
                </c:pt>
                <c:pt idx="153">
                  <c:v>1.28</c:v>
                </c:pt>
                <c:pt idx="154">
                  <c:v>1.21</c:v>
                </c:pt>
                <c:pt idx="155">
                  <c:v>1.27</c:v>
                </c:pt>
                <c:pt idx="156">
                  <c:v>1.28</c:v>
                </c:pt>
                <c:pt idx="157">
                  <c:v>1.33</c:v>
                </c:pt>
                <c:pt idx="158">
                  <c:v>1.31</c:v>
                </c:pt>
                <c:pt idx="159">
                  <c:v>1.21</c:v>
                </c:pt>
                <c:pt idx="160">
                  <c:v>1.17</c:v>
                </c:pt>
                <c:pt idx="161">
                  <c:v>1.21</c:v>
                </c:pt>
                <c:pt idx="162">
                  <c:v>1</c:v>
                </c:pt>
                <c:pt idx="163">
                  <c:v>0.74</c:v>
                </c:pt>
                <c:pt idx="164">
                  <c:v>0.95</c:v>
                </c:pt>
                <c:pt idx="165">
                  <c:v>1</c:v>
                </c:pt>
                <c:pt idx="166">
                  <c:v>1.01</c:v>
                </c:pt>
                <c:pt idx="167">
                  <c:v>0.99</c:v>
                </c:pt>
                <c:pt idx="168">
                  <c:v>0.81</c:v>
                </c:pt>
                <c:pt idx="169">
                  <c:v>0.95</c:v>
                </c:pt>
                <c:pt idx="170">
                  <c:v>1.1499999999999999</c:v>
                </c:pt>
                <c:pt idx="171">
                  <c:v>0.91</c:v>
                </c:pt>
                <c:pt idx="172">
                  <c:v>0.96</c:v>
                </c:pt>
                <c:pt idx="173">
                  <c:v>0.86</c:v>
                </c:pt>
                <c:pt idx="174">
                  <c:v>1.06</c:v>
                </c:pt>
                <c:pt idx="175">
                  <c:v>1.05</c:v>
                </c:pt>
                <c:pt idx="176">
                  <c:v>1.0900000000000001</c:v>
                </c:pt>
                <c:pt idx="177">
                  <c:v>0.91</c:v>
                </c:pt>
                <c:pt idx="178">
                  <c:v>0.56000000000000005</c:v>
                </c:pt>
                <c:pt idx="179">
                  <c:v>0.98</c:v>
                </c:pt>
                <c:pt idx="180">
                  <c:v>1.04</c:v>
                </c:pt>
                <c:pt idx="181">
                  <c:v>1.1200000000000001</c:v>
                </c:pt>
                <c:pt idx="182">
                  <c:v>1.1399999999999999</c:v>
                </c:pt>
                <c:pt idx="183">
                  <c:v>1.07</c:v>
                </c:pt>
                <c:pt idx="184">
                  <c:v>1.1299999999999999</c:v>
                </c:pt>
                <c:pt idx="185">
                  <c:v>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54-4BC8-B357-0387952C1603}"/>
            </c:ext>
          </c:extLst>
        </c:ser>
        <c:ser>
          <c:idx val="1"/>
          <c:order val="1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gradFill rotWithShape="1">
                  <a:gsLst>
                    <a:gs pos="0">
                      <a:schemeClr val="accent2">
                        <a:lumMod val="110000"/>
                        <a:satMod val="105000"/>
                        <a:tint val="67000"/>
                      </a:schemeClr>
                    </a:gs>
                    <a:gs pos="50000">
                      <a:schemeClr val="accent2">
                        <a:lumMod val="105000"/>
                        <a:satMod val="103000"/>
                        <a:tint val="73000"/>
                      </a:schemeClr>
                    </a:gs>
                    <a:gs pos="100000">
                      <a:schemeClr val="accent2">
                        <a:lumMod val="105000"/>
                        <a:satMod val="109000"/>
                        <a:tint val="81000"/>
                      </a:schemeClr>
                    </a:gs>
                  </a:gsLst>
                  <a:lin ang="5400000" scaled="0"/>
                </a:gradFill>
                <a:ln w="9525" cap="flat" cmpd="sng" algn="ctr">
                  <a:solidFill>
                    <a:schemeClr val="accent2">
                      <a:shade val="95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9525" cap="flat" cmpd="sng" algn="ctr">
                <a:solidFill>
                  <a:schemeClr val="accent2">
                    <a:alpha val="7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54-4BC8-B357-0387952C1603}"/>
              </c:ext>
            </c:extLst>
          </c:dPt>
          <c:xVal>
            <c:numRef>
              <c:f>Modeled_LAI_allmethods!$V$23:$V$24</c:f>
            </c:numRef>
          </c:xVal>
          <c:yVal>
            <c:numRef>
              <c:f>Modeled_LAI_allmethods!$W$23:$W$24</c:f>
            </c:numRef>
          </c:yVal>
          <c:smooth val="0"/>
          <c:extLst>
            <c:ext xmlns:c16="http://schemas.microsoft.com/office/drawing/2014/chart" uri="{C3380CC4-5D6E-409C-BE32-E72D297353CC}">
              <c16:uniqueId val="{00000004-C754-4BC8-B357-0387952C1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247647"/>
        <c:axId val="1526241887"/>
      </c:scatterChart>
      <c:valAx>
        <c:axId val="1526247647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1887"/>
        <c:crosses val="autoZero"/>
        <c:crossBetween val="midCat"/>
      </c:valAx>
      <c:valAx>
        <c:axId val="1526241887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764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LAI_eureqa_b3 solver</a:t>
            </a:r>
          </a:p>
        </c:rich>
      </c:tx>
      <c:layout>
        <c:manualLayout>
          <c:xMode val="edge"/>
          <c:yMode val="edge"/>
          <c:x val="0.17705540974044912"/>
          <c:y val="2.8021010609740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Modeled_LAI_allmethods!$R$1</c:f>
              <c:strCache>
                <c:ptCount val="1"/>
                <c:pt idx="0">
                  <c:v>LAI_eureqa_b3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3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354184893554972"/>
                  <c:y val="-0.26804560437863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Modeled_LAI_allmethods!$R$2:$R$2409</c:f>
              <c:numCache>
                <c:formatCode>General</c:formatCode>
                <c:ptCount val="186"/>
                <c:pt idx="0">
                  <c:v>2.1906450176988246</c:v>
                </c:pt>
                <c:pt idx="1">
                  <c:v>2.4987391594189932</c:v>
                </c:pt>
                <c:pt idx="2">
                  <c:v>2.7431152202591038</c:v>
                </c:pt>
                <c:pt idx="3">
                  <c:v>2.3347558796117616</c:v>
                </c:pt>
                <c:pt idx="4">
                  <c:v>1.8960822146077736</c:v>
                </c:pt>
                <c:pt idx="5">
                  <c:v>1.742621724986432</c:v>
                </c:pt>
                <c:pt idx="6">
                  <c:v>2.3368163465602563</c:v>
                </c:pt>
                <c:pt idx="7">
                  <c:v>2.0215005067990184</c:v>
                </c:pt>
                <c:pt idx="8">
                  <c:v>1.4840511260955933</c:v>
                </c:pt>
                <c:pt idx="9">
                  <c:v>1.7385310413502568</c:v>
                </c:pt>
                <c:pt idx="10">
                  <c:v>2.5633508022894276</c:v>
                </c:pt>
                <c:pt idx="11">
                  <c:v>2.3323342936815834</c:v>
                </c:pt>
                <c:pt idx="12">
                  <c:v>2.2186562644434966</c:v>
                </c:pt>
                <c:pt idx="13">
                  <c:v>2.143548900103013</c:v>
                </c:pt>
                <c:pt idx="14">
                  <c:v>1.9398743718711291</c:v>
                </c:pt>
                <c:pt idx="15">
                  <c:v>1.920618882381508</c:v>
                </c:pt>
                <c:pt idx="16">
                  <c:v>2.0965454462351603</c:v>
                </c:pt>
                <c:pt idx="17">
                  <c:v>1.7009688742477311</c:v>
                </c:pt>
                <c:pt idx="18">
                  <c:v>1.624677875619335</c:v>
                </c:pt>
                <c:pt idx="19">
                  <c:v>2.1541251637944177</c:v>
                </c:pt>
                <c:pt idx="20">
                  <c:v>1.7498417011816159</c:v>
                </c:pt>
                <c:pt idx="21">
                  <c:v>1.9711018354174241</c:v>
                </c:pt>
                <c:pt idx="22">
                  <c:v>1.4164592719599951</c:v>
                </c:pt>
                <c:pt idx="23">
                  <c:v>1.3794000042742733</c:v>
                </c:pt>
                <c:pt idx="24">
                  <c:v>1.4091259418035929</c:v>
                </c:pt>
                <c:pt idx="25">
                  <c:v>1.7188672565579268</c:v>
                </c:pt>
                <c:pt idx="26">
                  <c:v>1.6203217484135179</c:v>
                </c:pt>
                <c:pt idx="27">
                  <c:v>1.2686580877101017</c:v>
                </c:pt>
                <c:pt idx="28">
                  <c:v>1.0779359862148929</c:v>
                </c:pt>
                <c:pt idx="29">
                  <c:v>1.4013910635902525</c:v>
                </c:pt>
                <c:pt idx="30">
                  <c:v>1.1805889534876042</c:v>
                </c:pt>
                <c:pt idx="31">
                  <c:v>1.6528596254030341</c:v>
                </c:pt>
                <c:pt idx="32">
                  <c:v>1.4950489532460867</c:v>
                </c:pt>
                <c:pt idx="33">
                  <c:v>1.2446759432474868</c:v>
                </c:pt>
                <c:pt idx="34">
                  <c:v>1.3603949737268715</c:v>
                </c:pt>
                <c:pt idx="35">
                  <c:v>1.613742331986874</c:v>
                </c:pt>
                <c:pt idx="36">
                  <c:v>1.7193209617729448</c:v>
                </c:pt>
                <c:pt idx="37">
                  <c:v>0.98391511683781818</c:v>
                </c:pt>
                <c:pt idx="38">
                  <c:v>1.2429040407885135</c:v>
                </c:pt>
                <c:pt idx="39">
                  <c:v>1.272635798631506</c:v>
                </c:pt>
                <c:pt idx="40">
                  <c:v>2.2666398690077156</c:v>
                </c:pt>
                <c:pt idx="41">
                  <c:v>2.5992807156972848</c:v>
                </c:pt>
                <c:pt idx="42">
                  <c:v>2.7852934045457713</c:v>
                </c:pt>
                <c:pt idx="43">
                  <c:v>2.4738570621771685</c:v>
                </c:pt>
                <c:pt idx="44">
                  <c:v>2.7354115196668003</c:v>
                </c:pt>
                <c:pt idx="45">
                  <c:v>1.6963285740451797</c:v>
                </c:pt>
                <c:pt idx="46">
                  <c:v>2.3853368397352996</c:v>
                </c:pt>
                <c:pt idx="47">
                  <c:v>2.3566680198858121</c:v>
                </c:pt>
                <c:pt idx="48">
                  <c:v>2.064905736755843</c:v>
                </c:pt>
                <c:pt idx="49">
                  <c:v>2.392638505185146</c:v>
                </c:pt>
                <c:pt idx="50">
                  <c:v>1.4509775462650381</c:v>
                </c:pt>
                <c:pt idx="51">
                  <c:v>2.3562595047421686</c:v>
                </c:pt>
                <c:pt idx="52">
                  <c:v>2.2784870977451184</c:v>
                </c:pt>
                <c:pt idx="53">
                  <c:v>2.2643151802719124</c:v>
                </c:pt>
                <c:pt idx="54">
                  <c:v>2.2532698751110551</c:v>
                </c:pt>
                <c:pt idx="55">
                  <c:v>2.382303172410241</c:v>
                </c:pt>
                <c:pt idx="56">
                  <c:v>2.5936813430999779</c:v>
                </c:pt>
                <c:pt idx="57">
                  <c:v>2.5301311561595847</c:v>
                </c:pt>
                <c:pt idx="58">
                  <c:v>2.807187564765234</c:v>
                </c:pt>
                <c:pt idx="59">
                  <c:v>2.701373995375409</c:v>
                </c:pt>
                <c:pt idx="60">
                  <c:v>2.3718402773378444</c:v>
                </c:pt>
                <c:pt idx="61">
                  <c:v>2.3497785683554628</c:v>
                </c:pt>
                <c:pt idx="62">
                  <c:v>2.6485619097896267</c:v>
                </c:pt>
                <c:pt idx="63">
                  <c:v>2.6802396298728923</c:v>
                </c:pt>
                <c:pt idx="64">
                  <c:v>2.8144087701278719</c:v>
                </c:pt>
                <c:pt idx="65">
                  <c:v>2.6568426351547663</c:v>
                </c:pt>
                <c:pt idx="66">
                  <c:v>2.3369530763887987</c:v>
                </c:pt>
                <c:pt idx="67">
                  <c:v>2.7074966856944247</c:v>
                </c:pt>
                <c:pt idx="68">
                  <c:v>2.6182471017200206</c:v>
                </c:pt>
                <c:pt idx="69">
                  <c:v>2.9987451654144706</c:v>
                </c:pt>
                <c:pt idx="70">
                  <c:v>3.0164775512681592</c:v>
                </c:pt>
                <c:pt idx="71">
                  <c:v>2.4747396682873153</c:v>
                </c:pt>
                <c:pt idx="72">
                  <c:v>2.6406534741401821</c:v>
                </c:pt>
                <c:pt idx="73">
                  <c:v>2.6932521079401308</c:v>
                </c:pt>
                <c:pt idx="74">
                  <c:v>2.7305672537596881</c:v>
                </c:pt>
                <c:pt idx="75">
                  <c:v>2.9332407136659207</c:v>
                </c:pt>
                <c:pt idx="76">
                  <c:v>2.5375085146324947</c:v>
                </c:pt>
                <c:pt idx="77">
                  <c:v>2.8528492138484487</c:v>
                </c:pt>
                <c:pt idx="78">
                  <c:v>2.5178292582984523</c:v>
                </c:pt>
                <c:pt idx="79">
                  <c:v>2.3663758757564688</c:v>
                </c:pt>
                <c:pt idx="80">
                  <c:v>2.7447326437416155</c:v>
                </c:pt>
                <c:pt idx="81">
                  <c:v>2.7318401034633508</c:v>
                </c:pt>
                <c:pt idx="82">
                  <c:v>2.5427098167166786</c:v>
                </c:pt>
                <c:pt idx="83">
                  <c:v>3.3846009340752845</c:v>
                </c:pt>
                <c:pt idx="84">
                  <c:v>2.6815833216819076</c:v>
                </c:pt>
                <c:pt idx="85">
                  <c:v>2.0874325493219539</c:v>
                </c:pt>
                <c:pt idx="86">
                  <c:v>1.9345619842266408</c:v>
                </c:pt>
                <c:pt idx="87">
                  <c:v>2.2534797406656435</c:v>
                </c:pt>
                <c:pt idx="88">
                  <c:v>2.6623118557129084</c:v>
                </c:pt>
                <c:pt idx="89">
                  <c:v>2.4484040932010029</c:v>
                </c:pt>
                <c:pt idx="90">
                  <c:v>3.4817906307381437</c:v>
                </c:pt>
                <c:pt idx="91">
                  <c:v>3.3520822109086117</c:v>
                </c:pt>
                <c:pt idx="92">
                  <c:v>3.8098065169700313</c:v>
                </c:pt>
                <c:pt idx="93">
                  <c:v>3.5561282789773272</c:v>
                </c:pt>
                <c:pt idx="94">
                  <c:v>2.985739271708129</c:v>
                </c:pt>
                <c:pt idx="95">
                  <c:v>2.1488621754059376</c:v>
                </c:pt>
                <c:pt idx="96">
                  <c:v>2.9957962612950224</c:v>
                </c:pt>
                <c:pt idx="97">
                  <c:v>2.1379194147214053</c:v>
                </c:pt>
                <c:pt idx="98">
                  <c:v>2.3854030386172456</c:v>
                </c:pt>
                <c:pt idx="99">
                  <c:v>2.7403058344614148</c:v>
                </c:pt>
                <c:pt idx="100">
                  <c:v>2.2050129905136138</c:v>
                </c:pt>
                <c:pt idx="101">
                  <c:v>1.8057440804137479</c:v>
                </c:pt>
                <c:pt idx="102">
                  <c:v>2.3225882309839418</c:v>
                </c:pt>
                <c:pt idx="103">
                  <c:v>1.5352246349469225</c:v>
                </c:pt>
                <c:pt idx="104">
                  <c:v>1.6029508336929228</c:v>
                </c:pt>
                <c:pt idx="105">
                  <c:v>2.4969798827111598</c:v>
                </c:pt>
                <c:pt idx="106">
                  <c:v>2.81995081289881</c:v>
                </c:pt>
                <c:pt idx="107">
                  <c:v>2.8921172830033606</c:v>
                </c:pt>
                <c:pt idx="108">
                  <c:v>2.6116173129740199</c:v>
                </c:pt>
                <c:pt idx="109">
                  <c:v>2.7109061765093654</c:v>
                </c:pt>
                <c:pt idx="110">
                  <c:v>2.0491677886193882</c:v>
                </c:pt>
                <c:pt idx="111">
                  <c:v>2.6474056396039876</c:v>
                </c:pt>
                <c:pt idx="112">
                  <c:v>2.3197468583929739</c:v>
                </c:pt>
                <c:pt idx="113">
                  <c:v>1.8664182626981074</c:v>
                </c:pt>
                <c:pt idx="114">
                  <c:v>2.0197180068647151</c:v>
                </c:pt>
                <c:pt idx="115">
                  <c:v>1.4235723099643733</c:v>
                </c:pt>
                <c:pt idx="116">
                  <c:v>2.8175001683185248</c:v>
                </c:pt>
                <c:pt idx="117">
                  <c:v>2.4591257915170819</c:v>
                </c:pt>
                <c:pt idx="118">
                  <c:v>2.6674025879011554</c:v>
                </c:pt>
                <c:pt idx="119">
                  <c:v>2.7024622052617704</c:v>
                </c:pt>
                <c:pt idx="120">
                  <c:v>2.8090886597810467</c:v>
                </c:pt>
                <c:pt idx="121">
                  <c:v>2.9500127353457657</c:v>
                </c:pt>
                <c:pt idx="122">
                  <c:v>2.8979744235195066</c:v>
                </c:pt>
                <c:pt idx="123">
                  <c:v>2.6162619770180768</c:v>
                </c:pt>
                <c:pt idx="124">
                  <c:v>2.3111069843013752</c:v>
                </c:pt>
                <c:pt idx="125">
                  <c:v>2.3471151133562191</c:v>
                </c:pt>
                <c:pt idx="126">
                  <c:v>1.6085849197276829</c:v>
                </c:pt>
                <c:pt idx="127">
                  <c:v>1.4719370971511716</c:v>
                </c:pt>
                <c:pt idx="128">
                  <c:v>1.4961360746985419</c:v>
                </c:pt>
                <c:pt idx="129">
                  <c:v>1.3384362950845419</c:v>
                </c:pt>
                <c:pt idx="130">
                  <c:v>1.6857718526866905</c:v>
                </c:pt>
                <c:pt idx="131">
                  <c:v>1.345087860650692</c:v>
                </c:pt>
                <c:pt idx="132">
                  <c:v>1.0708940671768219</c:v>
                </c:pt>
                <c:pt idx="133">
                  <c:v>1.0404197447777026</c:v>
                </c:pt>
                <c:pt idx="134">
                  <c:v>1.0201509031755935</c:v>
                </c:pt>
                <c:pt idx="135">
                  <c:v>1.248772697473064</c:v>
                </c:pt>
                <c:pt idx="136">
                  <c:v>1.3018403419684041</c:v>
                </c:pt>
                <c:pt idx="137">
                  <c:v>0.83356465380116651</c:v>
                </c:pt>
                <c:pt idx="138">
                  <c:v>1.047066634544624</c:v>
                </c:pt>
                <c:pt idx="139">
                  <c:v>0.92056549293249024</c:v>
                </c:pt>
                <c:pt idx="140">
                  <c:v>1.264095174961545</c:v>
                </c:pt>
                <c:pt idx="141">
                  <c:v>1.3219077547713511</c:v>
                </c:pt>
                <c:pt idx="142">
                  <c:v>1.0983174936411557</c:v>
                </c:pt>
                <c:pt idx="143">
                  <c:v>1.169333473060318</c:v>
                </c:pt>
                <c:pt idx="144">
                  <c:v>1.5485824657486589</c:v>
                </c:pt>
                <c:pt idx="145">
                  <c:v>1.8579876982590813</c:v>
                </c:pt>
                <c:pt idx="146">
                  <c:v>1.0140081208871119</c:v>
                </c:pt>
                <c:pt idx="147">
                  <c:v>1.4093900242816533</c:v>
                </c:pt>
                <c:pt idx="148">
                  <c:v>1.2568693926692611</c:v>
                </c:pt>
                <c:pt idx="149">
                  <c:v>1.1187790258067549</c:v>
                </c:pt>
                <c:pt idx="150">
                  <c:v>1.3042506434048069</c:v>
                </c:pt>
                <c:pt idx="151">
                  <c:v>1.2488358842253509</c:v>
                </c:pt>
                <c:pt idx="152">
                  <c:v>1.2576447128349533</c:v>
                </c:pt>
                <c:pt idx="153">
                  <c:v>1.2835347957841794</c:v>
                </c:pt>
                <c:pt idx="154">
                  <c:v>1.2425958447973708</c:v>
                </c:pt>
                <c:pt idx="155">
                  <c:v>1.2295284916374145</c:v>
                </c:pt>
                <c:pt idx="156">
                  <c:v>1.3825530582621313</c:v>
                </c:pt>
                <c:pt idx="157">
                  <c:v>1.3192270735269513</c:v>
                </c:pt>
                <c:pt idx="158">
                  <c:v>1.3902285193432711</c:v>
                </c:pt>
                <c:pt idx="159">
                  <c:v>1.1502873098383248</c:v>
                </c:pt>
                <c:pt idx="160">
                  <c:v>1.1900204426441898</c:v>
                </c:pt>
                <c:pt idx="161">
                  <c:v>1.2102274865419016</c:v>
                </c:pt>
                <c:pt idx="162">
                  <c:v>1.3393243391256453</c:v>
                </c:pt>
                <c:pt idx="163">
                  <c:v>0.79728222409560123</c:v>
                </c:pt>
                <c:pt idx="164">
                  <c:v>0.92570830253384573</c:v>
                </c:pt>
                <c:pt idx="165">
                  <c:v>1.000562110789283</c:v>
                </c:pt>
                <c:pt idx="166">
                  <c:v>1.3105721937398096</c:v>
                </c:pt>
                <c:pt idx="167">
                  <c:v>1.3561619738165893</c:v>
                </c:pt>
                <c:pt idx="168">
                  <c:v>1.0783438263006486</c:v>
                </c:pt>
                <c:pt idx="169">
                  <c:v>1.0170285857488599</c:v>
                </c:pt>
                <c:pt idx="170">
                  <c:v>1.3980203663557211</c:v>
                </c:pt>
                <c:pt idx="171">
                  <c:v>1.7963254036842473</c:v>
                </c:pt>
                <c:pt idx="172">
                  <c:v>1.4725572175332986</c:v>
                </c:pt>
                <c:pt idx="173">
                  <c:v>1.1919489467294833</c:v>
                </c:pt>
                <c:pt idx="174">
                  <c:v>1.4456533043635833</c:v>
                </c:pt>
                <c:pt idx="175">
                  <c:v>1.8581699431502789</c:v>
                </c:pt>
                <c:pt idx="176">
                  <c:v>1.0081752449722248</c:v>
                </c:pt>
                <c:pt idx="177">
                  <c:v>1.0240569448997077</c:v>
                </c:pt>
                <c:pt idx="178">
                  <c:v>0.98671219132372512</c:v>
                </c:pt>
                <c:pt idx="179">
                  <c:v>0.56186861194247673</c:v>
                </c:pt>
                <c:pt idx="180">
                  <c:v>0.7550373263415171</c:v>
                </c:pt>
                <c:pt idx="181">
                  <c:v>0.9748607079449263</c:v>
                </c:pt>
                <c:pt idx="182">
                  <c:v>1.0817325624739813</c:v>
                </c:pt>
                <c:pt idx="183">
                  <c:v>0.94382651019861008</c:v>
                </c:pt>
                <c:pt idx="184">
                  <c:v>0.90999230074904958</c:v>
                </c:pt>
                <c:pt idx="185">
                  <c:v>1.0190467251935873</c:v>
                </c:pt>
              </c:numCache>
            </c:numRef>
          </c:xVal>
          <c:yVal>
            <c:numRef>
              <c:f>Modeled_LAI_allmethods!$Q$2:$Q$2409</c:f>
              <c:numCache>
                <c:formatCode>General</c:formatCode>
                <c:ptCount val="186"/>
                <c:pt idx="0">
                  <c:v>1.77</c:v>
                </c:pt>
                <c:pt idx="1">
                  <c:v>2.35</c:v>
                </c:pt>
                <c:pt idx="2">
                  <c:v>2.4900000000000002</c:v>
                </c:pt>
                <c:pt idx="3">
                  <c:v>2.33</c:v>
                </c:pt>
                <c:pt idx="4">
                  <c:v>3.09</c:v>
                </c:pt>
                <c:pt idx="5">
                  <c:v>2.4700000000000002</c:v>
                </c:pt>
                <c:pt idx="6">
                  <c:v>2.4700000000000002</c:v>
                </c:pt>
                <c:pt idx="7">
                  <c:v>1.69</c:v>
                </c:pt>
                <c:pt idx="8">
                  <c:v>1.94</c:v>
                </c:pt>
                <c:pt idx="9">
                  <c:v>1.34</c:v>
                </c:pt>
                <c:pt idx="10">
                  <c:v>2.1</c:v>
                </c:pt>
                <c:pt idx="11">
                  <c:v>1.89</c:v>
                </c:pt>
                <c:pt idx="12">
                  <c:v>1.75</c:v>
                </c:pt>
                <c:pt idx="13">
                  <c:v>1.76</c:v>
                </c:pt>
                <c:pt idx="14">
                  <c:v>1.69</c:v>
                </c:pt>
                <c:pt idx="15">
                  <c:v>1.6</c:v>
                </c:pt>
                <c:pt idx="16">
                  <c:v>2.23</c:v>
                </c:pt>
                <c:pt idx="17">
                  <c:v>2.17</c:v>
                </c:pt>
                <c:pt idx="18">
                  <c:v>1.88</c:v>
                </c:pt>
                <c:pt idx="19">
                  <c:v>2.1800000000000002</c:v>
                </c:pt>
                <c:pt idx="20">
                  <c:v>1.51</c:v>
                </c:pt>
                <c:pt idx="21">
                  <c:v>1.44</c:v>
                </c:pt>
                <c:pt idx="22">
                  <c:v>2.17</c:v>
                </c:pt>
                <c:pt idx="23">
                  <c:v>1.77</c:v>
                </c:pt>
                <c:pt idx="24">
                  <c:v>1.63</c:v>
                </c:pt>
                <c:pt idx="25">
                  <c:v>1.79</c:v>
                </c:pt>
                <c:pt idx="26">
                  <c:v>1.95</c:v>
                </c:pt>
                <c:pt idx="27">
                  <c:v>2.1800000000000002</c:v>
                </c:pt>
                <c:pt idx="28">
                  <c:v>1.59</c:v>
                </c:pt>
                <c:pt idx="29">
                  <c:v>2.15</c:v>
                </c:pt>
                <c:pt idx="30">
                  <c:v>1.74</c:v>
                </c:pt>
                <c:pt idx="31">
                  <c:v>1.72</c:v>
                </c:pt>
                <c:pt idx="32">
                  <c:v>1.88</c:v>
                </c:pt>
                <c:pt idx="33">
                  <c:v>2.31</c:v>
                </c:pt>
                <c:pt idx="34">
                  <c:v>1.94</c:v>
                </c:pt>
                <c:pt idx="35">
                  <c:v>0.8</c:v>
                </c:pt>
                <c:pt idx="36">
                  <c:v>1.1000000000000001</c:v>
                </c:pt>
                <c:pt idx="37">
                  <c:v>1.94</c:v>
                </c:pt>
                <c:pt idx="38">
                  <c:v>1.79</c:v>
                </c:pt>
                <c:pt idx="39">
                  <c:v>0.11</c:v>
                </c:pt>
                <c:pt idx="40">
                  <c:v>2.84</c:v>
                </c:pt>
                <c:pt idx="41">
                  <c:v>2.1800000000000002</c:v>
                </c:pt>
                <c:pt idx="42">
                  <c:v>3.02</c:v>
                </c:pt>
                <c:pt idx="43">
                  <c:v>2.33</c:v>
                </c:pt>
                <c:pt idx="44">
                  <c:v>2.63</c:v>
                </c:pt>
                <c:pt idx="45">
                  <c:v>2.4</c:v>
                </c:pt>
                <c:pt idx="46">
                  <c:v>1.89</c:v>
                </c:pt>
                <c:pt idx="47">
                  <c:v>1.37</c:v>
                </c:pt>
                <c:pt idx="48">
                  <c:v>2</c:v>
                </c:pt>
                <c:pt idx="49">
                  <c:v>1.05</c:v>
                </c:pt>
                <c:pt idx="50">
                  <c:v>1.44</c:v>
                </c:pt>
                <c:pt idx="51">
                  <c:v>2.33</c:v>
                </c:pt>
                <c:pt idx="52">
                  <c:v>2.4300000000000002</c:v>
                </c:pt>
                <c:pt idx="53">
                  <c:v>2.91</c:v>
                </c:pt>
                <c:pt idx="54">
                  <c:v>2.17</c:v>
                </c:pt>
                <c:pt idx="55">
                  <c:v>2.0699999999999998</c:v>
                </c:pt>
                <c:pt idx="56">
                  <c:v>1.74</c:v>
                </c:pt>
                <c:pt idx="57">
                  <c:v>3.04</c:v>
                </c:pt>
                <c:pt idx="58">
                  <c:v>2.75</c:v>
                </c:pt>
                <c:pt idx="59">
                  <c:v>3.14</c:v>
                </c:pt>
                <c:pt idx="60">
                  <c:v>2.3199999999999998</c:v>
                </c:pt>
                <c:pt idx="61">
                  <c:v>2.88</c:v>
                </c:pt>
                <c:pt idx="62">
                  <c:v>2.1</c:v>
                </c:pt>
                <c:pt idx="63">
                  <c:v>2.25</c:v>
                </c:pt>
                <c:pt idx="64">
                  <c:v>2.6</c:v>
                </c:pt>
                <c:pt idx="65">
                  <c:v>2.16</c:v>
                </c:pt>
                <c:pt idx="66">
                  <c:v>2.44</c:v>
                </c:pt>
                <c:pt idx="67">
                  <c:v>2.12</c:v>
                </c:pt>
                <c:pt idx="68">
                  <c:v>2.0499999999999998</c:v>
                </c:pt>
                <c:pt idx="69">
                  <c:v>2.46</c:v>
                </c:pt>
                <c:pt idx="70">
                  <c:v>2.2599999999999998</c:v>
                </c:pt>
                <c:pt idx="71">
                  <c:v>3.21</c:v>
                </c:pt>
                <c:pt idx="72">
                  <c:v>2.4500000000000002</c:v>
                </c:pt>
                <c:pt idx="73">
                  <c:v>2.44</c:v>
                </c:pt>
                <c:pt idx="74">
                  <c:v>2.41</c:v>
                </c:pt>
                <c:pt idx="75">
                  <c:v>1.9</c:v>
                </c:pt>
                <c:pt idx="76">
                  <c:v>1.81</c:v>
                </c:pt>
                <c:pt idx="77">
                  <c:v>2.23</c:v>
                </c:pt>
                <c:pt idx="78">
                  <c:v>2.23</c:v>
                </c:pt>
                <c:pt idx="79">
                  <c:v>1.88</c:v>
                </c:pt>
                <c:pt idx="80">
                  <c:v>1.59</c:v>
                </c:pt>
                <c:pt idx="81">
                  <c:v>1.8</c:v>
                </c:pt>
                <c:pt idx="82">
                  <c:v>2.56</c:v>
                </c:pt>
                <c:pt idx="83">
                  <c:v>1.82</c:v>
                </c:pt>
                <c:pt idx="84">
                  <c:v>2.02</c:v>
                </c:pt>
                <c:pt idx="85">
                  <c:v>1.34</c:v>
                </c:pt>
                <c:pt idx="86">
                  <c:v>0.67</c:v>
                </c:pt>
                <c:pt idx="87">
                  <c:v>1.67</c:v>
                </c:pt>
                <c:pt idx="88">
                  <c:v>1.04</c:v>
                </c:pt>
                <c:pt idx="89">
                  <c:v>1.07</c:v>
                </c:pt>
                <c:pt idx="90">
                  <c:v>2.69</c:v>
                </c:pt>
                <c:pt idx="91">
                  <c:v>2.71</c:v>
                </c:pt>
                <c:pt idx="92">
                  <c:v>1.87</c:v>
                </c:pt>
                <c:pt idx="93">
                  <c:v>2.44</c:v>
                </c:pt>
                <c:pt idx="94">
                  <c:v>2.5299999999999998</c:v>
                </c:pt>
                <c:pt idx="95">
                  <c:v>1.37</c:v>
                </c:pt>
                <c:pt idx="96">
                  <c:v>1.66</c:v>
                </c:pt>
                <c:pt idx="97">
                  <c:v>1.22</c:v>
                </c:pt>
                <c:pt idx="98">
                  <c:v>1.64</c:v>
                </c:pt>
                <c:pt idx="99">
                  <c:v>1.65</c:v>
                </c:pt>
                <c:pt idx="100">
                  <c:v>0.92</c:v>
                </c:pt>
                <c:pt idx="101">
                  <c:v>0.7</c:v>
                </c:pt>
                <c:pt idx="102">
                  <c:v>0.88</c:v>
                </c:pt>
                <c:pt idx="103">
                  <c:v>0.94</c:v>
                </c:pt>
                <c:pt idx="104">
                  <c:v>1.06</c:v>
                </c:pt>
                <c:pt idx="105">
                  <c:v>2.27</c:v>
                </c:pt>
                <c:pt idx="106">
                  <c:v>2.46</c:v>
                </c:pt>
                <c:pt idx="107">
                  <c:v>2.56</c:v>
                </c:pt>
                <c:pt idx="108">
                  <c:v>2.1800000000000002</c:v>
                </c:pt>
                <c:pt idx="109">
                  <c:v>2.58</c:v>
                </c:pt>
                <c:pt idx="110">
                  <c:v>1.74</c:v>
                </c:pt>
                <c:pt idx="111">
                  <c:v>1.42</c:v>
                </c:pt>
                <c:pt idx="112">
                  <c:v>1.23</c:v>
                </c:pt>
                <c:pt idx="113">
                  <c:v>1.8</c:v>
                </c:pt>
                <c:pt idx="114">
                  <c:v>1.92</c:v>
                </c:pt>
                <c:pt idx="115">
                  <c:v>0.74</c:v>
                </c:pt>
                <c:pt idx="116">
                  <c:v>3.14</c:v>
                </c:pt>
                <c:pt idx="117">
                  <c:v>1.97</c:v>
                </c:pt>
                <c:pt idx="118">
                  <c:v>2.65</c:v>
                </c:pt>
                <c:pt idx="119">
                  <c:v>1.28</c:v>
                </c:pt>
                <c:pt idx="120">
                  <c:v>2</c:v>
                </c:pt>
                <c:pt idx="121">
                  <c:v>1.99</c:v>
                </c:pt>
                <c:pt idx="122">
                  <c:v>1.78</c:v>
                </c:pt>
                <c:pt idx="123">
                  <c:v>2.14</c:v>
                </c:pt>
                <c:pt idx="124">
                  <c:v>1.68</c:v>
                </c:pt>
                <c:pt idx="125">
                  <c:v>1.88</c:v>
                </c:pt>
                <c:pt idx="126">
                  <c:v>1.19</c:v>
                </c:pt>
                <c:pt idx="127">
                  <c:v>1.04</c:v>
                </c:pt>
                <c:pt idx="128">
                  <c:v>1.06</c:v>
                </c:pt>
                <c:pt idx="129">
                  <c:v>0.92</c:v>
                </c:pt>
                <c:pt idx="130">
                  <c:v>0.92</c:v>
                </c:pt>
                <c:pt idx="131">
                  <c:v>1.03</c:v>
                </c:pt>
                <c:pt idx="132">
                  <c:v>0.74</c:v>
                </c:pt>
                <c:pt idx="133">
                  <c:v>0.68</c:v>
                </c:pt>
                <c:pt idx="134">
                  <c:v>0.69</c:v>
                </c:pt>
                <c:pt idx="135">
                  <c:v>0.85</c:v>
                </c:pt>
                <c:pt idx="136">
                  <c:v>0.66</c:v>
                </c:pt>
                <c:pt idx="137">
                  <c:v>0.99</c:v>
                </c:pt>
                <c:pt idx="138">
                  <c:v>0.81</c:v>
                </c:pt>
                <c:pt idx="139">
                  <c:v>0.7</c:v>
                </c:pt>
                <c:pt idx="140">
                  <c:v>0.74</c:v>
                </c:pt>
                <c:pt idx="141">
                  <c:v>0.94</c:v>
                </c:pt>
                <c:pt idx="142">
                  <c:v>0.71</c:v>
                </c:pt>
                <c:pt idx="143">
                  <c:v>0.64</c:v>
                </c:pt>
                <c:pt idx="144">
                  <c:v>0.85</c:v>
                </c:pt>
                <c:pt idx="145">
                  <c:v>0.83</c:v>
                </c:pt>
                <c:pt idx="146">
                  <c:v>0.71</c:v>
                </c:pt>
                <c:pt idx="147">
                  <c:v>0.41</c:v>
                </c:pt>
                <c:pt idx="148">
                  <c:v>0.72</c:v>
                </c:pt>
                <c:pt idx="149">
                  <c:v>0.66</c:v>
                </c:pt>
                <c:pt idx="150">
                  <c:v>0.56999999999999995</c:v>
                </c:pt>
                <c:pt idx="151">
                  <c:v>1.37</c:v>
                </c:pt>
                <c:pt idx="152">
                  <c:v>1.25</c:v>
                </c:pt>
                <c:pt idx="153">
                  <c:v>1.28</c:v>
                </c:pt>
                <c:pt idx="154">
                  <c:v>1.21</c:v>
                </c:pt>
                <c:pt idx="155">
                  <c:v>1.27</c:v>
                </c:pt>
                <c:pt idx="156">
                  <c:v>1.28</c:v>
                </c:pt>
                <c:pt idx="157">
                  <c:v>1.33</c:v>
                </c:pt>
                <c:pt idx="158">
                  <c:v>1.31</c:v>
                </c:pt>
                <c:pt idx="159">
                  <c:v>1.21</c:v>
                </c:pt>
                <c:pt idx="160">
                  <c:v>1.17</c:v>
                </c:pt>
                <c:pt idx="161">
                  <c:v>1.21</c:v>
                </c:pt>
                <c:pt idx="162">
                  <c:v>1</c:v>
                </c:pt>
                <c:pt idx="163">
                  <c:v>0.74</c:v>
                </c:pt>
                <c:pt idx="164">
                  <c:v>0.95</c:v>
                </c:pt>
                <c:pt idx="165">
                  <c:v>1</c:v>
                </c:pt>
                <c:pt idx="166">
                  <c:v>1.01</c:v>
                </c:pt>
                <c:pt idx="167">
                  <c:v>0.99</c:v>
                </c:pt>
                <c:pt idx="168">
                  <c:v>0.81</c:v>
                </c:pt>
                <c:pt idx="169">
                  <c:v>0.95</c:v>
                </c:pt>
                <c:pt idx="170">
                  <c:v>1.1499999999999999</c:v>
                </c:pt>
                <c:pt idx="171">
                  <c:v>0.91</c:v>
                </c:pt>
                <c:pt idx="172">
                  <c:v>0.96</c:v>
                </c:pt>
                <c:pt idx="173">
                  <c:v>0.86</c:v>
                </c:pt>
                <c:pt idx="174">
                  <c:v>1.06</c:v>
                </c:pt>
                <c:pt idx="175">
                  <c:v>1.05</c:v>
                </c:pt>
                <c:pt idx="176">
                  <c:v>1.0900000000000001</c:v>
                </c:pt>
                <c:pt idx="177">
                  <c:v>0.91</c:v>
                </c:pt>
                <c:pt idx="178">
                  <c:v>0.56000000000000005</c:v>
                </c:pt>
                <c:pt idx="179">
                  <c:v>0.98</c:v>
                </c:pt>
                <c:pt idx="180">
                  <c:v>1.04</c:v>
                </c:pt>
                <c:pt idx="181">
                  <c:v>1.1200000000000001</c:v>
                </c:pt>
                <c:pt idx="182">
                  <c:v>1.1399999999999999</c:v>
                </c:pt>
                <c:pt idx="183">
                  <c:v>1.07</c:v>
                </c:pt>
                <c:pt idx="184">
                  <c:v>1.1299999999999999</c:v>
                </c:pt>
                <c:pt idx="185">
                  <c:v>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2-4EFC-ADBC-32BE659E1BDE}"/>
            </c:ext>
          </c:extLst>
        </c:ser>
        <c:ser>
          <c:idx val="1"/>
          <c:order val="1"/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Modeled_LAI_allmethods!$V$23:$V$24</c:f>
            </c:numRef>
          </c:xVal>
          <c:yVal>
            <c:numRef>
              <c:f>Modeled_LAI_allmethods!$W$23:$W$24</c:f>
            </c:numRef>
          </c:yVal>
          <c:smooth val="0"/>
          <c:extLst>
            <c:ext xmlns:c16="http://schemas.microsoft.com/office/drawing/2014/chart" uri="{C3380CC4-5D6E-409C-BE32-E72D297353CC}">
              <c16:uniqueId val="{00000002-5882-4EFC-ADBC-32BE659E1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247647"/>
        <c:axId val="1526241887"/>
      </c:scatterChart>
      <c:valAx>
        <c:axId val="1526247647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1887"/>
        <c:crosses val="autoZero"/>
        <c:crossBetween val="midCat"/>
      </c:valAx>
      <c:valAx>
        <c:axId val="1526241887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764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32AE66E-0B24-44A1-A73E-3CE8901F5F4A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05E82D-F8AE-4CDB-8ABB-7F8A7A96AA0B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310404</xdr:colOff>
      <xdr:row>15</xdr:row>
      <xdr:rowOff>108858</xdr:rowOff>
    </xdr:from>
    <xdr:to>
      <xdr:col>36</xdr:col>
      <xdr:colOff>446527</xdr:colOff>
      <xdr:row>2226</xdr:row>
      <xdr:rowOff>104054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CE5B44-DED0-A1AF-D6C7-FDF9DFA6F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06368" y="2966358"/>
          <a:ext cx="5647016" cy="675554"/>
        </a:xfrm>
        <a:prstGeom prst="rect">
          <a:avLst/>
        </a:prstGeom>
      </xdr:spPr>
    </xdr:pic>
    <xdr:clientData/>
  </xdr:twoCellAnchor>
  <xdr:twoCellAnchor editAs="absolute">
    <xdr:from>
      <xdr:col>32</xdr:col>
      <xdr:colOff>107575</xdr:colOff>
      <xdr:row>2242</xdr:row>
      <xdr:rowOff>59390</xdr:rowOff>
    </xdr:from>
    <xdr:to>
      <xdr:col>38</xdr:col>
      <xdr:colOff>235324</xdr:colOff>
      <xdr:row>2262</xdr:row>
      <xdr:rowOff>33618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F8CCCB-D91E-9A65-1DFE-5D9563105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25</xdr:col>
      <xdr:colOff>533400</xdr:colOff>
      <xdr:row>2242</xdr:row>
      <xdr:rowOff>19050</xdr:rowOff>
    </xdr:from>
    <xdr:to>
      <xdr:col>31</xdr:col>
      <xdr:colOff>466726</xdr:colOff>
      <xdr:row>2262</xdr:row>
      <xdr:rowOff>56029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2B8F48-6477-456B-BB34-F0357BBEB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601757</xdr:colOff>
      <xdr:row>49</xdr:row>
      <xdr:rowOff>60511</xdr:rowOff>
    </xdr:from>
    <xdr:to>
      <xdr:col>37</xdr:col>
      <xdr:colOff>199303</xdr:colOff>
      <xdr:row>2227</xdr:row>
      <xdr:rowOff>152528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51ABD9-904A-0440-1B67-6D8915CAA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31404" y="9395011"/>
          <a:ext cx="6858957" cy="914528"/>
        </a:xfrm>
        <a:prstGeom prst="rect">
          <a:avLst/>
        </a:prstGeom>
      </xdr:spPr>
    </xdr:pic>
    <xdr:clientData/>
  </xdr:twoCellAnchor>
  <xdr:twoCellAnchor>
    <xdr:from>
      <xdr:col>19</xdr:col>
      <xdr:colOff>598714</xdr:colOff>
      <xdr:row>40</xdr:row>
      <xdr:rowOff>40821</xdr:rowOff>
    </xdr:from>
    <xdr:to>
      <xdr:col>25</xdr:col>
      <xdr:colOff>532041</xdr:colOff>
      <xdr:row>60</xdr:row>
      <xdr:rowOff>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CD6CF3-9472-4C58-B5CE-4144B8308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8EB9D-F68A-FEF3-3EEB-6C9F1D5CDD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E177C7-AE64-3FDB-D555-7E0F16F587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C8BB-E9CC-4515-87CF-B8A35986E68A}">
  <sheetPr filterMode="1"/>
  <dimension ref="A1:AG2409"/>
  <sheetViews>
    <sheetView tabSelected="1" zoomScale="55" zoomScaleNormal="55" workbookViewId="0">
      <pane ySplit="1" topLeftCell="A2" activePane="bottomLeft" state="frozen"/>
      <selection pane="bottomLeft" activeCell="I2253" sqref="I2253"/>
    </sheetView>
  </sheetViews>
  <sheetFormatPr defaultRowHeight="15" x14ac:dyDescent="0.25"/>
  <cols>
    <col min="2" max="2" width="25.5703125" customWidth="1"/>
    <col min="18" max="18" width="13.7109375" bestFit="1" customWidth="1"/>
  </cols>
  <sheetData>
    <row r="1" spans="1:33" x14ac:dyDescent="0.25">
      <c r="A1" t="s">
        <v>2438</v>
      </c>
      <c r="B1" t="s">
        <v>0</v>
      </c>
      <c r="C1" t="s">
        <v>2424</v>
      </c>
      <c r="D1" t="s">
        <v>2425</v>
      </c>
      <c r="E1" t="s">
        <v>2426</v>
      </c>
      <c r="F1" t="s">
        <v>2427</v>
      </c>
      <c r="G1" t="s">
        <v>2437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Q1" t="str">
        <f t="shared" ref="Q1:Q64" si="0">H1</f>
        <v>LAI</v>
      </c>
      <c r="R1" t="s">
        <v>2416</v>
      </c>
      <c r="S1" t="s">
        <v>2417</v>
      </c>
      <c r="T1" t="s">
        <v>2418</v>
      </c>
      <c r="Y1" t="s">
        <v>2422</v>
      </c>
    </row>
    <row r="2" spans="1:33" hidden="1" x14ac:dyDescent="0.25">
      <c r="A2" t="str">
        <f>LEFT(B2,3)</f>
        <v>BAR</v>
      </c>
      <c r="B2" t="s">
        <v>8</v>
      </c>
      <c r="C2">
        <v>1.9726028440000001</v>
      </c>
      <c r="D2">
        <v>5.6040759000000002E-2</v>
      </c>
      <c r="E2">
        <v>0.70491375499999998</v>
      </c>
      <c r="F2">
        <v>0.52401367600000004</v>
      </c>
      <c r="G2">
        <v>0.81000742100000001</v>
      </c>
      <c r="H2">
        <v>1.47</v>
      </c>
      <c r="I2">
        <v>1.5191578008142299</v>
      </c>
      <c r="J2">
        <v>1.4568191915454201</v>
      </c>
      <c r="K2">
        <v>1.6403590735965099</v>
      </c>
      <c r="L2">
        <v>1.77606325496518</v>
      </c>
      <c r="M2">
        <v>1.48798849617983</v>
      </c>
      <c r="N2">
        <v>1.48766200435855</v>
      </c>
      <c r="Q2">
        <f t="shared" si="0"/>
        <v>1.47</v>
      </c>
      <c r="R2">
        <f>$X$2*F2+$X$3*D2*E2+($X$4/(D2-$X$5))-$X$6*C2</f>
        <v>1.414297265923619</v>
      </c>
      <c r="S2">
        <f>Q2-R2</f>
        <v>5.5702734076380933E-2</v>
      </c>
      <c r="T2">
        <f>S2^2</f>
        <v>3.1027945835840095E-3</v>
      </c>
      <c r="W2" t="s">
        <v>2419</v>
      </c>
      <c r="X2">
        <v>4.2863175652982379</v>
      </c>
      <c r="AG2" t="e" cm="1">
        <f t="array" ref="AG2">3.67261957013485*NDVIf + 17.2418567409071*BCC*GBNDVI + -0.069729243764334/(BCC - 0.140684322103464) - CH</f>
        <v>#NAME?</v>
      </c>
    </row>
    <row r="3" spans="1:33" hidden="1" x14ac:dyDescent="0.25">
      <c r="A3" t="str">
        <f t="shared" ref="A3:A66" si="1">LEFT(B3,3)</f>
        <v>BAR</v>
      </c>
      <c r="B3" t="s">
        <v>9</v>
      </c>
      <c r="C3">
        <v>1.9463166000000001</v>
      </c>
      <c r="D3">
        <v>5.681021E-2</v>
      </c>
      <c r="E3">
        <v>0.70742021300000002</v>
      </c>
      <c r="F3">
        <v>0.49660573899999999</v>
      </c>
      <c r="G3">
        <v>0.81242038800000005</v>
      </c>
      <c r="H3">
        <v>1.5</v>
      </c>
      <c r="I3">
        <v>1.46329937042045</v>
      </c>
      <c r="J3">
        <v>1.4018109673652299</v>
      </c>
      <c r="K3">
        <v>1.57990862671273</v>
      </c>
      <c r="L3">
        <v>1.7139662162771401</v>
      </c>
      <c r="M3">
        <v>1.43255516889284</v>
      </c>
      <c r="N3">
        <v>1.432225228794</v>
      </c>
      <c r="Q3">
        <f t="shared" si="0"/>
        <v>1.5</v>
      </c>
      <c r="R3">
        <f t="shared" ref="R3:R66" si="2">$X$2*F3+$X$3*D3*E3+($X$4/(D3-$X$5))-$X$6*C3</f>
        <v>1.3482952629388429</v>
      </c>
      <c r="S3">
        <f t="shared" ref="S3:S66" si="3">Q3-R3</f>
        <v>0.15170473706115706</v>
      </c>
      <c r="T3">
        <f t="shared" ref="T3:T66" si="4">S3^2</f>
        <v>2.3014327246794801E-2</v>
      </c>
      <c r="W3" t="s">
        <v>2420</v>
      </c>
      <c r="X3">
        <v>17.808861035667341</v>
      </c>
    </row>
    <row r="4" spans="1:33" hidden="1" x14ac:dyDescent="0.25">
      <c r="A4" t="str">
        <f t="shared" si="1"/>
        <v>BAR</v>
      </c>
      <c r="B4" t="s">
        <v>10</v>
      </c>
      <c r="C4">
        <v>1.9885388770000001</v>
      </c>
      <c r="D4">
        <v>5.4411550000000003E-2</v>
      </c>
      <c r="E4">
        <v>0.69837159999999998</v>
      </c>
      <c r="F4">
        <v>0.434985501</v>
      </c>
      <c r="G4">
        <v>0.792099043</v>
      </c>
      <c r="H4">
        <v>1.18</v>
      </c>
      <c r="I4">
        <v>1.1407740675910201</v>
      </c>
      <c r="J4">
        <v>1.0724206054775001</v>
      </c>
      <c r="K4">
        <v>1.23814857995563</v>
      </c>
      <c r="L4">
        <v>1.3325524123594901</v>
      </c>
      <c r="M4">
        <v>1.1065973365342601</v>
      </c>
      <c r="N4">
        <v>1.1060694446005599</v>
      </c>
      <c r="Q4">
        <f t="shared" si="0"/>
        <v>1.18</v>
      </c>
      <c r="R4">
        <f t="shared" si="2"/>
        <v>0.97134974206277702</v>
      </c>
      <c r="S4">
        <f t="shared" si="3"/>
        <v>0.20865025793722292</v>
      </c>
      <c r="T4">
        <f t="shared" si="4"/>
        <v>4.3534930137269653E-2</v>
      </c>
      <c r="W4" t="s">
        <v>2421</v>
      </c>
      <c r="X4">
        <v>-7.7652248824996412E-2</v>
      </c>
    </row>
    <row r="5" spans="1:33" hidden="1" x14ac:dyDescent="0.25">
      <c r="A5" t="str">
        <f t="shared" si="1"/>
        <v>BAR</v>
      </c>
      <c r="B5" t="s">
        <v>11</v>
      </c>
      <c r="C5">
        <v>2.0244390390000002</v>
      </c>
      <c r="D5">
        <v>5.3416300999999999E-2</v>
      </c>
      <c r="E5">
        <v>0.69196779799999997</v>
      </c>
      <c r="F5">
        <v>0.44879379600000002</v>
      </c>
      <c r="G5">
        <v>0.78421031900000004</v>
      </c>
      <c r="H5">
        <v>1.1599999999999999</v>
      </c>
      <c r="I5">
        <v>1.1375650430505599</v>
      </c>
      <c r="J5">
        <v>1.06013355431543</v>
      </c>
      <c r="K5">
        <v>1.24876544831158</v>
      </c>
      <c r="L5">
        <v>1.36773922652768</v>
      </c>
      <c r="M5">
        <v>1.0988492986829901</v>
      </c>
      <c r="N5">
        <v>1.0981670512058599</v>
      </c>
      <c r="Q5">
        <f t="shared" si="0"/>
        <v>1.1599999999999999</v>
      </c>
      <c r="R5">
        <f t="shared" si="2"/>
        <v>0.95946175449136195</v>
      </c>
      <c r="S5">
        <f t="shared" si="3"/>
        <v>0.20053824550863797</v>
      </c>
      <c r="T5">
        <f t="shared" si="4"/>
        <v>4.0215587911682754E-2</v>
      </c>
      <c r="W5" t="s">
        <v>2431</v>
      </c>
      <c r="X5">
        <v>0.14643355900500624</v>
      </c>
    </row>
    <row r="6" spans="1:33" hidden="1" x14ac:dyDescent="0.25">
      <c r="A6" t="str">
        <f t="shared" si="1"/>
        <v>BAR</v>
      </c>
      <c r="B6" t="s">
        <v>12</v>
      </c>
      <c r="C6">
        <v>1.9468006090000001</v>
      </c>
      <c r="D6">
        <v>5.9422601999999998E-2</v>
      </c>
      <c r="E6">
        <v>0.67461196800000001</v>
      </c>
      <c r="F6">
        <v>0.36044850699999997</v>
      </c>
      <c r="G6">
        <v>0.76424453000000003</v>
      </c>
      <c r="H6">
        <v>1.19</v>
      </c>
      <c r="I6">
        <v>0.95603544069630697</v>
      </c>
      <c r="J6">
        <v>0.92624965589203301</v>
      </c>
      <c r="K6">
        <v>0.94051430846995199</v>
      </c>
      <c r="L6">
        <v>0.87525893223034501</v>
      </c>
      <c r="M6">
        <v>0.94114254829416999</v>
      </c>
      <c r="N6">
        <v>0.94102470635235902</v>
      </c>
      <c r="Q6">
        <f t="shared" si="0"/>
        <v>1.19</v>
      </c>
      <c r="R6">
        <f t="shared" si="2"/>
        <v>0.78830057817982579</v>
      </c>
      <c r="S6">
        <f t="shared" si="3"/>
        <v>0.40169942182017415</v>
      </c>
      <c r="T6">
        <f t="shared" si="4"/>
        <v>0.16136242549066221</v>
      </c>
      <c r="W6" t="s">
        <v>2423</v>
      </c>
      <c r="X6">
        <v>1.2138098337208261</v>
      </c>
    </row>
    <row r="7" spans="1:33" hidden="1" x14ac:dyDescent="0.25">
      <c r="A7" t="str">
        <f t="shared" si="1"/>
        <v>BAR</v>
      </c>
      <c r="B7" t="s">
        <v>13</v>
      </c>
      <c r="C7">
        <v>2.099311793</v>
      </c>
      <c r="D7">
        <v>6.3028045000000005E-2</v>
      </c>
      <c r="E7">
        <v>0.70462166699999995</v>
      </c>
      <c r="F7">
        <v>0.49733636399999998</v>
      </c>
      <c r="G7">
        <v>0.81200786199999997</v>
      </c>
      <c r="H7">
        <v>1.65</v>
      </c>
      <c r="I7">
        <v>1.4142301539870401</v>
      </c>
      <c r="J7">
        <v>1.39086384153568</v>
      </c>
      <c r="K7">
        <v>1.30001033585933</v>
      </c>
      <c r="L7">
        <v>1.5006889835364501</v>
      </c>
      <c r="M7">
        <v>1.40254699776136</v>
      </c>
      <c r="N7">
        <v>1.4024983368225401</v>
      </c>
      <c r="Q7">
        <f t="shared" si="0"/>
        <v>1.65</v>
      </c>
      <c r="R7">
        <f t="shared" si="2"/>
        <v>1.305504872123096</v>
      </c>
      <c r="S7">
        <f t="shared" si="3"/>
        <v>0.34449512787690395</v>
      </c>
      <c r="T7">
        <f t="shared" si="4"/>
        <v>0.1186768931309244</v>
      </c>
    </row>
    <row r="8" spans="1:33" hidden="1" x14ac:dyDescent="0.25">
      <c r="A8" t="str">
        <f t="shared" si="1"/>
        <v>BAR</v>
      </c>
      <c r="B8" t="s">
        <v>14</v>
      </c>
      <c r="C8">
        <v>2.1849891659999998</v>
      </c>
      <c r="D8">
        <v>6.2616771000000002E-2</v>
      </c>
      <c r="E8">
        <v>0.70639829200000004</v>
      </c>
      <c r="F8">
        <v>0.495002954</v>
      </c>
      <c r="G8">
        <v>0.80824299200000005</v>
      </c>
      <c r="H8">
        <v>1.38</v>
      </c>
      <c r="I8">
        <v>1.29003277180855</v>
      </c>
      <c r="J8">
        <v>1.28880784283509</v>
      </c>
      <c r="K8">
        <v>1.1447606446591401</v>
      </c>
      <c r="L8">
        <v>1.39532998865374</v>
      </c>
      <c r="M8">
        <v>1.28942030732182</v>
      </c>
      <c r="N8">
        <v>1.2894201618639101</v>
      </c>
      <c r="Q8">
        <f t="shared" si="0"/>
        <v>1.38</v>
      </c>
      <c r="R8">
        <f t="shared" si="2"/>
        <v>1.1837590446384003</v>
      </c>
      <c r="S8">
        <f t="shared" si="3"/>
        <v>0.19624095536159958</v>
      </c>
      <c r="T8">
        <f t="shared" si="4"/>
        <v>3.851051256123332E-2</v>
      </c>
    </row>
    <row r="9" spans="1:33" hidden="1" x14ac:dyDescent="0.25">
      <c r="A9" t="str">
        <f t="shared" si="1"/>
        <v>BAR</v>
      </c>
      <c r="B9" t="s">
        <v>15</v>
      </c>
      <c r="C9">
        <v>2.1248756690000001</v>
      </c>
      <c r="D9">
        <v>5.7713989E-2</v>
      </c>
      <c r="E9">
        <v>0.69740064199999996</v>
      </c>
      <c r="F9">
        <v>0.39345465800000001</v>
      </c>
      <c r="G9">
        <v>0.79385214000000004</v>
      </c>
      <c r="H9">
        <v>1.17</v>
      </c>
      <c r="I9">
        <v>0.88161170788115295</v>
      </c>
      <c r="J9">
        <v>0.85452619242667505</v>
      </c>
      <c r="K9">
        <v>0.76297316925176595</v>
      </c>
      <c r="L9">
        <v>0.79392003953703305</v>
      </c>
      <c r="M9">
        <v>0.86806895015391405</v>
      </c>
      <c r="N9">
        <v>0.86796330333399396</v>
      </c>
      <c r="Q9">
        <f t="shared" si="0"/>
        <v>1.17</v>
      </c>
      <c r="R9">
        <f t="shared" si="2"/>
        <v>0.69933426081484562</v>
      </c>
      <c r="S9">
        <f t="shared" si="3"/>
        <v>0.47066573918515431</v>
      </c>
      <c r="T9">
        <f t="shared" si="4"/>
        <v>0.22152623804270771</v>
      </c>
    </row>
    <row r="10" spans="1:33" hidden="1" x14ac:dyDescent="0.25">
      <c r="A10" t="str">
        <f t="shared" si="1"/>
        <v>BAR</v>
      </c>
      <c r="B10" t="s">
        <v>16</v>
      </c>
      <c r="C10">
        <v>2.0991246819999998</v>
      </c>
      <c r="D10">
        <v>5.5928962999999998E-2</v>
      </c>
      <c r="E10">
        <v>0.70319039299999997</v>
      </c>
      <c r="F10">
        <v>0.43373953599999998</v>
      </c>
      <c r="G10">
        <v>0.79380751599999999</v>
      </c>
      <c r="H10">
        <v>1.1399999999999999</v>
      </c>
      <c r="I10">
        <v>1.02808785470599</v>
      </c>
      <c r="J10">
        <v>0.99464751225384695</v>
      </c>
      <c r="K10">
        <v>1.0254814671388299</v>
      </c>
      <c r="L10">
        <v>1.1519281104712999</v>
      </c>
      <c r="M10">
        <v>1.0113676834799099</v>
      </c>
      <c r="N10">
        <v>1.0112294631099801</v>
      </c>
      <c r="Q10">
        <f t="shared" si="0"/>
        <v>1.1399999999999999</v>
      </c>
      <c r="R10">
        <f t="shared" si="2"/>
        <v>0.86959905823726213</v>
      </c>
      <c r="S10">
        <f t="shared" si="3"/>
        <v>0.27040094176273777</v>
      </c>
      <c r="T10">
        <f t="shared" si="4"/>
        <v>7.3116669306175497E-2</v>
      </c>
      <c r="W10" t="s">
        <v>2428</v>
      </c>
      <c r="X10">
        <f>SUM(T2:T2409)</f>
        <v>523.29813194248823</v>
      </c>
    </row>
    <row r="11" spans="1:33" hidden="1" x14ac:dyDescent="0.25">
      <c r="A11" t="str">
        <f t="shared" si="1"/>
        <v>BAR</v>
      </c>
      <c r="B11" t="s">
        <v>17</v>
      </c>
      <c r="C11">
        <v>2.0856541970000002</v>
      </c>
      <c r="D11">
        <v>5.4735928000000003E-2</v>
      </c>
      <c r="E11">
        <v>0.69640190999999996</v>
      </c>
      <c r="F11">
        <v>0.383479656</v>
      </c>
      <c r="G11">
        <v>0.78569981700000002</v>
      </c>
      <c r="H11">
        <v>1.35</v>
      </c>
      <c r="I11">
        <v>0.82749946277081898</v>
      </c>
      <c r="J11">
        <v>0.79124131894392802</v>
      </c>
      <c r="K11">
        <v>0.800750585492089</v>
      </c>
      <c r="L11">
        <v>0.84289947679225397</v>
      </c>
      <c r="M11">
        <v>0.80937039085737295</v>
      </c>
      <c r="N11">
        <v>0.809167329016795</v>
      </c>
      <c r="Q11">
        <f t="shared" si="0"/>
        <v>1.35</v>
      </c>
      <c r="R11">
        <f t="shared" si="2"/>
        <v>0.63779921255798655</v>
      </c>
      <c r="S11">
        <f t="shared" si="3"/>
        <v>0.71220078744201354</v>
      </c>
      <c r="T11">
        <f t="shared" si="4"/>
        <v>0.50722996163302414</v>
      </c>
      <c r="W11" t="s">
        <v>2429</v>
      </c>
      <c r="X11">
        <v>2408</v>
      </c>
    </row>
    <row r="12" spans="1:33" hidden="1" x14ac:dyDescent="0.25">
      <c r="A12" t="str">
        <f t="shared" si="1"/>
        <v>BAR</v>
      </c>
      <c r="B12" t="s">
        <v>18</v>
      </c>
      <c r="C12">
        <v>2.0988058330000001</v>
      </c>
      <c r="D12">
        <v>6.1228496E-2</v>
      </c>
      <c r="E12">
        <v>0.69792311200000001</v>
      </c>
      <c r="F12">
        <v>0.45355933900000001</v>
      </c>
      <c r="G12">
        <v>0.79691111800000003</v>
      </c>
      <c r="H12">
        <v>1.35</v>
      </c>
      <c r="I12">
        <v>1.2033662613160701</v>
      </c>
      <c r="J12">
        <v>1.18132261097595</v>
      </c>
      <c r="K12">
        <v>1.1523435018566801</v>
      </c>
      <c r="L12">
        <v>1.3569197202059999</v>
      </c>
      <c r="M12">
        <v>1.19234443614601</v>
      </c>
      <c r="N12">
        <v>1.1922934931375999</v>
      </c>
      <c r="Q12">
        <f t="shared" si="0"/>
        <v>1.35</v>
      </c>
      <c r="R12">
        <f t="shared" si="2"/>
        <v>1.0689276010316724</v>
      </c>
      <c r="S12">
        <f t="shared" si="3"/>
        <v>0.2810723989683277</v>
      </c>
      <c r="T12">
        <f t="shared" si="4"/>
        <v>7.9001693461810782E-2</v>
      </c>
      <c r="W12" t="s">
        <v>2433</v>
      </c>
      <c r="X12">
        <f>X10/X11</f>
        <v>0.21731649997611638</v>
      </c>
    </row>
    <row r="13" spans="1:33" hidden="1" x14ac:dyDescent="0.25">
      <c r="A13" t="str">
        <f t="shared" si="1"/>
        <v>BAR</v>
      </c>
      <c r="B13" t="s">
        <v>19</v>
      </c>
      <c r="C13">
        <v>2.132492874</v>
      </c>
      <c r="D13">
        <v>6.2365139999999999E-2</v>
      </c>
      <c r="E13">
        <v>0.71218463499999995</v>
      </c>
      <c r="F13">
        <v>0.47236813599999999</v>
      </c>
      <c r="G13">
        <v>0.81177343599999996</v>
      </c>
      <c r="H13">
        <v>1.45</v>
      </c>
      <c r="I13">
        <v>1.2588266995002499</v>
      </c>
      <c r="J13">
        <v>1.2584625697572001</v>
      </c>
      <c r="K13">
        <v>1.1392465751087799</v>
      </c>
      <c r="L13">
        <v>1.3257809114783701</v>
      </c>
      <c r="M13">
        <v>1.2586446346287199</v>
      </c>
      <c r="N13">
        <v>1.2586446214607401</v>
      </c>
      <c r="Q13">
        <f t="shared" si="0"/>
        <v>1.45</v>
      </c>
      <c r="R13">
        <f t="shared" si="2"/>
        <v>1.1509475725103444</v>
      </c>
      <c r="S13">
        <f t="shared" si="3"/>
        <v>0.29905242748965555</v>
      </c>
      <c r="T13">
        <f t="shared" si="4"/>
        <v>8.9432354387455684E-2</v>
      </c>
      <c r="W13" t="s">
        <v>2430</v>
      </c>
      <c r="X13">
        <f>SQRT(X10/X11)</f>
        <v>0.46617217846640779</v>
      </c>
    </row>
    <row r="14" spans="1:33" hidden="1" x14ac:dyDescent="0.25">
      <c r="A14" t="str">
        <f t="shared" si="1"/>
        <v>BAR</v>
      </c>
      <c r="B14" t="s">
        <v>20</v>
      </c>
      <c r="C14">
        <v>2.0002170050000001</v>
      </c>
      <c r="D14">
        <v>5.6715972000000003E-2</v>
      </c>
      <c r="E14">
        <v>0.72258095899999997</v>
      </c>
      <c r="F14">
        <v>0.49496413299999997</v>
      </c>
      <c r="G14">
        <v>0.81513458999999999</v>
      </c>
      <c r="H14">
        <v>1.71</v>
      </c>
      <c r="I14">
        <v>1.3802610263909401</v>
      </c>
      <c r="J14">
        <v>1.3546246166944</v>
      </c>
      <c r="K14">
        <v>1.45369208017491</v>
      </c>
      <c r="L14">
        <v>1.54274179831647</v>
      </c>
      <c r="M14">
        <v>1.3674428215426699</v>
      </c>
      <c r="N14">
        <v>1.36738274225363</v>
      </c>
      <c r="Q14">
        <f t="shared" si="0"/>
        <v>1.71</v>
      </c>
      <c r="R14">
        <f t="shared" si="2"/>
        <v>1.2890497137630406</v>
      </c>
      <c r="S14">
        <f t="shared" si="3"/>
        <v>0.4209502862369594</v>
      </c>
      <c r="T14">
        <f t="shared" si="4"/>
        <v>0.17719914348297805</v>
      </c>
    </row>
    <row r="15" spans="1:33" hidden="1" x14ac:dyDescent="0.25">
      <c r="A15" t="str">
        <f t="shared" si="1"/>
        <v>BAR</v>
      </c>
      <c r="B15" t="s">
        <v>21</v>
      </c>
      <c r="C15">
        <v>2.1390953060000002</v>
      </c>
      <c r="D15">
        <v>5.5332641000000002E-2</v>
      </c>
      <c r="E15">
        <v>0.70817049799999998</v>
      </c>
      <c r="F15">
        <v>0.49549331400000002</v>
      </c>
      <c r="G15">
        <v>0.809521037</v>
      </c>
      <c r="H15">
        <v>1.45</v>
      </c>
      <c r="I15">
        <v>1.2147803493065299</v>
      </c>
      <c r="J15">
        <v>1.17324823584511</v>
      </c>
      <c r="K15">
        <v>1.2259197309063901</v>
      </c>
      <c r="L15">
        <v>1.3885662725169401</v>
      </c>
      <c r="M15">
        <v>1.1940142925758199</v>
      </c>
      <c r="N15">
        <v>1.1938336993749199</v>
      </c>
      <c r="Q15">
        <f t="shared" si="0"/>
        <v>1.45</v>
      </c>
      <c r="R15">
        <f t="shared" si="2"/>
        <v>1.0776021386238117</v>
      </c>
      <c r="S15">
        <f t="shared" si="3"/>
        <v>0.37239786137618824</v>
      </c>
      <c r="T15">
        <f t="shared" si="4"/>
        <v>0.13868016715755871</v>
      </c>
    </row>
    <row r="16" spans="1:33" hidden="1" x14ac:dyDescent="0.25">
      <c r="A16" t="str">
        <f t="shared" si="1"/>
        <v>BAR</v>
      </c>
      <c r="B16" t="s">
        <v>22</v>
      </c>
      <c r="C16">
        <v>2.0278544429999998</v>
      </c>
      <c r="D16">
        <v>5.6906467000000002E-2</v>
      </c>
      <c r="E16">
        <v>0.71047313700000003</v>
      </c>
      <c r="F16">
        <v>0.436108512</v>
      </c>
      <c r="G16">
        <v>0.79935352199999998</v>
      </c>
      <c r="H16">
        <v>1.34</v>
      </c>
      <c r="I16">
        <v>1.1326908029154299</v>
      </c>
      <c r="J16">
        <v>1.10321454335779</v>
      </c>
      <c r="K16">
        <v>1.16479061512261</v>
      </c>
      <c r="L16">
        <v>1.26545654409536</v>
      </c>
      <c r="M16">
        <v>1.1179526731366101</v>
      </c>
      <c r="N16">
        <v>1.1178555214802699</v>
      </c>
      <c r="Q16">
        <f t="shared" si="0"/>
        <v>1.34</v>
      </c>
      <c r="R16">
        <f t="shared" si="2"/>
        <v>0.99525169285012671</v>
      </c>
      <c r="S16">
        <f t="shared" si="3"/>
        <v>0.34474830714987337</v>
      </c>
      <c r="T16">
        <f t="shared" si="4"/>
        <v>0.11885139528270343</v>
      </c>
      <c r="AA16" t="s">
        <v>2436</v>
      </c>
    </row>
    <row r="17" spans="1:23" hidden="1" x14ac:dyDescent="0.25">
      <c r="A17" t="str">
        <f t="shared" si="1"/>
        <v>BAR</v>
      </c>
      <c r="B17" t="s">
        <v>23</v>
      </c>
      <c r="C17">
        <v>2.1172781559999998</v>
      </c>
      <c r="D17">
        <v>5.6008305000000001E-2</v>
      </c>
      <c r="E17">
        <v>0.71851190600000003</v>
      </c>
      <c r="F17">
        <v>0.53831626899999996</v>
      </c>
      <c r="G17">
        <v>0.81029803300000003</v>
      </c>
      <c r="H17">
        <v>1.48</v>
      </c>
      <c r="I17">
        <v>1.3943062064432901</v>
      </c>
      <c r="J17">
        <v>1.3770932362302699</v>
      </c>
      <c r="K17">
        <v>1.3795500848912901</v>
      </c>
      <c r="L17">
        <v>1.4858209528805599</v>
      </c>
      <c r="M17">
        <v>1.3856997213367801</v>
      </c>
      <c r="N17">
        <v>1.3856729939372201</v>
      </c>
      <c r="Q17">
        <f t="shared" si="0"/>
        <v>1.48</v>
      </c>
      <c r="R17">
        <f t="shared" si="2"/>
        <v>1.3128420648853165</v>
      </c>
      <c r="S17">
        <f t="shared" si="3"/>
        <v>0.16715793511468346</v>
      </c>
      <c r="T17">
        <f t="shared" si="4"/>
        <v>2.7941775271804727E-2</v>
      </c>
      <c r="W17" t="s">
        <v>2432</v>
      </c>
    </row>
    <row r="18" spans="1:23" hidden="1" x14ac:dyDescent="0.25">
      <c r="A18" t="str">
        <f t="shared" si="1"/>
        <v>BAR</v>
      </c>
      <c r="B18" t="s">
        <v>24</v>
      </c>
      <c r="C18">
        <v>2.0345183919999998</v>
      </c>
      <c r="D18">
        <v>5.2799087000000001E-2</v>
      </c>
      <c r="E18">
        <v>0.72366842200000003</v>
      </c>
      <c r="F18">
        <v>0.563068181</v>
      </c>
      <c r="G18">
        <v>0.82250783599999999</v>
      </c>
      <c r="H18">
        <v>1.61</v>
      </c>
      <c r="I18">
        <v>1.5159567023859499</v>
      </c>
      <c r="J18">
        <v>1.4856239848917201</v>
      </c>
      <c r="K18">
        <v>1.5778235689128199</v>
      </c>
      <c r="L18">
        <v>1.5792999671918899</v>
      </c>
      <c r="M18">
        <v>1.5007903436388399</v>
      </c>
      <c r="N18">
        <v>1.50071370924702</v>
      </c>
      <c r="Q18">
        <f t="shared" si="0"/>
        <v>1.61</v>
      </c>
      <c r="R18">
        <f t="shared" si="2"/>
        <v>1.4537425592065776</v>
      </c>
      <c r="S18">
        <f t="shared" si="3"/>
        <v>0.15625744079342252</v>
      </c>
      <c r="T18">
        <f t="shared" si="4"/>
        <v>2.4416387803309944E-2</v>
      </c>
    </row>
    <row r="19" spans="1:23" hidden="1" x14ac:dyDescent="0.25">
      <c r="A19" t="str">
        <f t="shared" si="1"/>
        <v>BAR</v>
      </c>
      <c r="B19" t="s">
        <v>25</v>
      </c>
      <c r="C19">
        <v>1.991264849</v>
      </c>
      <c r="D19">
        <v>5.2180601E-2</v>
      </c>
      <c r="E19">
        <v>0.71888785499999996</v>
      </c>
      <c r="F19">
        <v>0.57108018699999996</v>
      </c>
      <c r="G19">
        <v>0.82221467400000003</v>
      </c>
      <c r="H19">
        <v>1.72</v>
      </c>
      <c r="I19">
        <v>1.5837687433188401</v>
      </c>
      <c r="J19">
        <v>1.54073989181996</v>
      </c>
      <c r="K19">
        <v>1.67943462424701</v>
      </c>
      <c r="L19">
        <v>1.6689369489775501</v>
      </c>
      <c r="M19">
        <v>1.5622543175693999</v>
      </c>
      <c r="N19">
        <v>1.56210616868666</v>
      </c>
      <c r="Q19">
        <f t="shared" si="0"/>
        <v>1.72</v>
      </c>
      <c r="R19">
        <f t="shared" si="2"/>
        <v>1.522730864788842</v>
      </c>
      <c r="S19">
        <f t="shared" si="3"/>
        <v>0.19726913521115796</v>
      </c>
      <c r="T19">
        <f t="shared" si="4"/>
        <v>3.8915111706958126E-2</v>
      </c>
    </row>
    <row r="20" spans="1:23" hidden="1" x14ac:dyDescent="0.25">
      <c r="A20" t="str">
        <f t="shared" si="1"/>
        <v>BAR</v>
      </c>
      <c r="B20" t="s">
        <v>26</v>
      </c>
      <c r="C20">
        <v>2.0382725239999999</v>
      </c>
      <c r="D20">
        <v>5.0823775000000002E-2</v>
      </c>
      <c r="E20">
        <v>0.71866888699999998</v>
      </c>
      <c r="F20">
        <v>0.56393049399999995</v>
      </c>
      <c r="G20">
        <v>0.822419122</v>
      </c>
      <c r="H20">
        <v>1.67</v>
      </c>
      <c r="I20">
        <v>1.48467371813259</v>
      </c>
      <c r="J20">
        <v>1.4385682258138599</v>
      </c>
      <c r="K20">
        <v>1.5930471924963201</v>
      </c>
      <c r="L20">
        <v>1.6497114870507199</v>
      </c>
      <c r="M20">
        <v>1.4616209719732201</v>
      </c>
      <c r="N20">
        <v>1.4614391662352799</v>
      </c>
      <c r="Q20">
        <f t="shared" si="0"/>
        <v>1.67</v>
      </c>
      <c r="R20">
        <f t="shared" si="2"/>
        <v>1.4057657895736089</v>
      </c>
      <c r="S20">
        <f t="shared" si="3"/>
        <v>0.26423421042639106</v>
      </c>
      <c r="T20">
        <f t="shared" si="4"/>
        <v>6.9819717959658315E-2</v>
      </c>
    </row>
    <row r="21" spans="1:23" hidden="1" x14ac:dyDescent="0.25">
      <c r="A21" t="str">
        <f t="shared" si="1"/>
        <v>BAR</v>
      </c>
      <c r="B21" t="s">
        <v>27</v>
      </c>
      <c r="C21">
        <v>1.9160227869999999</v>
      </c>
      <c r="D21">
        <v>5.5395513E-2</v>
      </c>
      <c r="E21">
        <v>0.70406934099999996</v>
      </c>
      <c r="F21">
        <v>0.53043012700000003</v>
      </c>
      <c r="G21">
        <v>0.80085944499999995</v>
      </c>
      <c r="H21">
        <v>1.65</v>
      </c>
      <c r="I21">
        <v>1.59620622509809</v>
      </c>
      <c r="J21">
        <v>1.5220831930477801</v>
      </c>
      <c r="K21">
        <v>1.7075231489955101</v>
      </c>
      <c r="L21">
        <v>1.77647588815008</v>
      </c>
      <c r="M21">
        <v>1.55914470907293</v>
      </c>
      <c r="N21">
        <v>1.55870416303416</v>
      </c>
      <c r="Q21">
        <f t="shared" si="0"/>
        <v>1.65</v>
      </c>
      <c r="R21">
        <f t="shared" si="2"/>
        <v>1.495455697498397</v>
      </c>
      <c r="S21">
        <f t="shared" si="3"/>
        <v>0.15454430250160289</v>
      </c>
      <c r="T21">
        <f t="shared" si="4"/>
        <v>2.3883941435706942E-2</v>
      </c>
    </row>
    <row r="22" spans="1:23" hidden="1" x14ac:dyDescent="0.25">
      <c r="A22" t="str">
        <f t="shared" si="1"/>
        <v>BAR</v>
      </c>
      <c r="B22" t="s">
        <v>28</v>
      </c>
      <c r="C22">
        <v>1.9944847379999999</v>
      </c>
      <c r="D22">
        <v>5.4965166000000003E-2</v>
      </c>
      <c r="E22">
        <v>0.70516128</v>
      </c>
      <c r="F22">
        <v>0.56537161499999999</v>
      </c>
      <c r="G22">
        <v>0.80613923899999995</v>
      </c>
      <c r="H22">
        <v>1.36</v>
      </c>
      <c r="I22">
        <v>1.6248844539188401</v>
      </c>
      <c r="J22">
        <v>1.56365416489077</v>
      </c>
      <c r="K22">
        <v>1.62863643022924</v>
      </c>
      <c r="L22">
        <v>1.6125213108210199</v>
      </c>
      <c r="M22">
        <v>1.5942693094048099</v>
      </c>
      <c r="N22">
        <v>1.5939753272357999</v>
      </c>
      <c r="Q22">
        <f t="shared" si="0"/>
        <v>1.36</v>
      </c>
      <c r="R22">
        <f t="shared" si="2"/>
        <v>1.5416479168435289</v>
      </c>
      <c r="S22">
        <f t="shared" si="3"/>
        <v>-0.18164791684352877</v>
      </c>
      <c r="T22">
        <f t="shared" si="4"/>
        <v>3.2995965693593539E-2</v>
      </c>
      <c r="V22" t="s">
        <v>2434</v>
      </c>
    </row>
    <row r="23" spans="1:23" hidden="1" x14ac:dyDescent="0.25">
      <c r="A23" t="str">
        <f t="shared" si="1"/>
        <v>BAR</v>
      </c>
      <c r="B23" t="s">
        <v>29</v>
      </c>
      <c r="C23">
        <v>1.956414227</v>
      </c>
      <c r="D23">
        <v>5.4764604000000001E-2</v>
      </c>
      <c r="E23">
        <v>0.712367792</v>
      </c>
      <c r="F23">
        <v>0.55551286300000002</v>
      </c>
      <c r="G23">
        <v>0.81280630200000004</v>
      </c>
      <c r="H23">
        <v>1.39</v>
      </c>
      <c r="I23">
        <v>1.62094293329566</v>
      </c>
      <c r="J23">
        <v>1.56798457053552</v>
      </c>
      <c r="K23">
        <v>1.69022618603424</v>
      </c>
      <c r="L23">
        <v>1.6947315740231099</v>
      </c>
      <c r="M23">
        <v>1.59446375191559</v>
      </c>
      <c r="N23">
        <v>1.5942438675203301</v>
      </c>
      <c r="Q23">
        <f t="shared" si="0"/>
        <v>1.39</v>
      </c>
      <c r="R23">
        <f t="shared" si="2"/>
        <v>1.5482529140537684</v>
      </c>
      <c r="S23">
        <f t="shared" si="3"/>
        <v>-0.15825291405376851</v>
      </c>
      <c r="T23">
        <f t="shared" si="4"/>
        <v>2.5043984806509444E-2</v>
      </c>
      <c r="V23">
        <v>0</v>
      </c>
      <c r="W23">
        <v>0</v>
      </c>
    </row>
    <row r="24" spans="1:23" hidden="1" x14ac:dyDescent="0.25">
      <c r="A24" t="str">
        <f t="shared" si="1"/>
        <v>BAR</v>
      </c>
      <c r="B24" t="s">
        <v>30</v>
      </c>
      <c r="C24">
        <v>1.9606662619999999</v>
      </c>
      <c r="D24">
        <v>5.6018755000000003E-2</v>
      </c>
      <c r="E24">
        <v>0.70006972999999995</v>
      </c>
      <c r="F24">
        <v>0.48345830299999998</v>
      </c>
      <c r="G24">
        <v>0.79379431</v>
      </c>
      <c r="H24">
        <v>1.2</v>
      </c>
      <c r="I24">
        <v>1.3824754661922301</v>
      </c>
      <c r="J24">
        <v>1.3146510884442799</v>
      </c>
      <c r="K24">
        <v>1.5072710534224001</v>
      </c>
      <c r="L24">
        <v>1.64272663791697</v>
      </c>
      <c r="M24">
        <v>1.3485632773182501</v>
      </c>
      <c r="N24">
        <v>1.3481368166388501</v>
      </c>
      <c r="Q24">
        <f t="shared" si="0"/>
        <v>1.2</v>
      </c>
      <c r="R24">
        <f t="shared" si="2"/>
        <v>1.2496349558176361</v>
      </c>
      <c r="S24">
        <f t="shared" si="3"/>
        <v>-4.9634955817636106E-2</v>
      </c>
      <c r="T24">
        <f t="shared" si="4"/>
        <v>2.4636288390186881E-3</v>
      </c>
      <c r="V24">
        <v>6</v>
      </c>
      <c r="W24">
        <v>6</v>
      </c>
    </row>
    <row r="25" spans="1:23" hidden="1" x14ac:dyDescent="0.25">
      <c r="A25" t="str">
        <f t="shared" si="1"/>
        <v>BAR</v>
      </c>
      <c r="B25" t="s">
        <v>31</v>
      </c>
      <c r="C25">
        <v>1.957120478</v>
      </c>
      <c r="D25">
        <v>5.5770418000000002E-2</v>
      </c>
      <c r="E25">
        <v>0.70958666500000001</v>
      </c>
      <c r="F25">
        <v>0.57038627799999997</v>
      </c>
      <c r="G25">
        <v>0.80730454699999998</v>
      </c>
      <c r="H25">
        <v>1.93</v>
      </c>
      <c r="I25">
        <v>1.6960981507322801</v>
      </c>
      <c r="J25">
        <v>1.64119542660935</v>
      </c>
      <c r="K25">
        <v>1.72214615736712</v>
      </c>
      <c r="L25">
        <v>1.6684511471597301</v>
      </c>
      <c r="M25">
        <v>1.6686467886708101</v>
      </c>
      <c r="N25">
        <v>1.6684209684796001</v>
      </c>
      <c r="Q25">
        <f t="shared" si="0"/>
        <v>1.93</v>
      </c>
      <c r="R25">
        <f t="shared" si="2"/>
        <v>1.6305434583046363</v>
      </c>
      <c r="S25">
        <f t="shared" si="3"/>
        <v>0.29945654169536362</v>
      </c>
      <c r="T25">
        <f t="shared" si="4"/>
        <v>8.9674220364147045E-2</v>
      </c>
    </row>
    <row r="26" spans="1:23" hidden="1" x14ac:dyDescent="0.25">
      <c r="A26" t="str">
        <f t="shared" si="1"/>
        <v>BAR</v>
      </c>
      <c r="B26" t="s">
        <v>32</v>
      </c>
      <c r="C26">
        <v>1.9193907020000001</v>
      </c>
      <c r="D26">
        <v>5.4480310999999997E-2</v>
      </c>
      <c r="E26">
        <v>0.701233836</v>
      </c>
      <c r="F26">
        <v>0.51245328599999995</v>
      </c>
      <c r="G26">
        <v>0.79948200999999997</v>
      </c>
      <c r="H26">
        <v>1.54</v>
      </c>
      <c r="I26">
        <v>1.51237985085597</v>
      </c>
      <c r="J26">
        <v>1.43023976284759</v>
      </c>
      <c r="K26">
        <v>1.6310419335053701</v>
      </c>
      <c r="L26">
        <v>1.66250218717702</v>
      </c>
      <c r="M26">
        <v>1.47130980685178</v>
      </c>
      <c r="N26">
        <v>1.4707364819109201</v>
      </c>
      <c r="Q26">
        <f t="shared" si="0"/>
        <v>1.54</v>
      </c>
      <c r="R26">
        <f t="shared" si="2"/>
        <v>1.3915972444708471</v>
      </c>
      <c r="S26">
        <f t="shared" si="3"/>
        <v>0.14840275552915294</v>
      </c>
      <c r="T26">
        <f t="shared" si="4"/>
        <v>2.2023377848645533E-2</v>
      </c>
    </row>
    <row r="27" spans="1:23" hidden="1" x14ac:dyDescent="0.25">
      <c r="A27" t="str">
        <f t="shared" si="1"/>
        <v>BAR</v>
      </c>
      <c r="B27" t="s">
        <v>33</v>
      </c>
      <c r="C27">
        <v>1.9589421199999999</v>
      </c>
      <c r="D27">
        <v>5.8016379E-2</v>
      </c>
      <c r="E27">
        <v>0.70847241999999999</v>
      </c>
      <c r="F27">
        <v>0.52447165100000004</v>
      </c>
      <c r="G27">
        <v>0.79921108399999996</v>
      </c>
      <c r="H27">
        <v>1.37</v>
      </c>
      <c r="I27">
        <v>1.56732286893041</v>
      </c>
      <c r="J27">
        <v>1.5194207399612401</v>
      </c>
      <c r="K27">
        <v>1.62840423182365</v>
      </c>
      <c r="L27">
        <v>1.67038582547182</v>
      </c>
      <c r="M27">
        <v>1.54337180444582</v>
      </c>
      <c r="N27">
        <v>1.5431859490250699</v>
      </c>
      <c r="Q27">
        <f t="shared" si="0"/>
        <v>1.37</v>
      </c>
      <c r="R27">
        <f t="shared" si="2"/>
        <v>1.4805149573639471</v>
      </c>
      <c r="S27">
        <f t="shared" si="3"/>
        <v>-0.11051495736394701</v>
      </c>
      <c r="T27">
        <f t="shared" si="4"/>
        <v>1.2213555801155025E-2</v>
      </c>
    </row>
    <row r="28" spans="1:23" hidden="1" x14ac:dyDescent="0.25">
      <c r="A28" t="str">
        <f t="shared" si="1"/>
        <v>BAR</v>
      </c>
      <c r="B28" t="s">
        <v>34</v>
      </c>
      <c r="C28">
        <v>1.9204764379999999</v>
      </c>
      <c r="D28">
        <v>5.5719378999999999E-2</v>
      </c>
      <c r="E28">
        <v>0.700776756</v>
      </c>
      <c r="F28">
        <v>0.537246632</v>
      </c>
      <c r="G28">
        <v>0.80240463200000001</v>
      </c>
      <c r="H28">
        <v>1.58</v>
      </c>
      <c r="I28">
        <v>1.62322202142993</v>
      </c>
      <c r="J28">
        <v>1.5465486927863501</v>
      </c>
      <c r="K28">
        <v>1.7510039970020601</v>
      </c>
      <c r="L28">
        <v>1.79347219552488</v>
      </c>
      <c r="M28">
        <v>1.58488535710814</v>
      </c>
      <c r="N28">
        <v>1.5844216280221799</v>
      </c>
      <c r="Q28">
        <f t="shared" si="0"/>
        <v>1.58</v>
      </c>
      <c r="R28">
        <f t="shared" si="2"/>
        <v>1.5231063777133538</v>
      </c>
      <c r="S28">
        <f t="shared" si="3"/>
        <v>5.6893622286646295E-2</v>
      </c>
      <c r="T28">
        <f t="shared" si="4"/>
        <v>3.2368842568955758E-3</v>
      </c>
    </row>
    <row r="29" spans="1:23" hidden="1" x14ac:dyDescent="0.25">
      <c r="A29" t="str">
        <f t="shared" si="1"/>
        <v>BAR</v>
      </c>
      <c r="B29" t="s">
        <v>35</v>
      </c>
      <c r="C29">
        <v>1.9068206830000001</v>
      </c>
      <c r="D29">
        <v>5.8794440000000003E-2</v>
      </c>
      <c r="E29">
        <v>0.71134651500000001</v>
      </c>
      <c r="F29">
        <v>0.52374205100000004</v>
      </c>
      <c r="G29">
        <v>0.80539380800000004</v>
      </c>
      <c r="H29">
        <v>1.39</v>
      </c>
      <c r="I29">
        <v>1.6352860775942499</v>
      </c>
      <c r="J29">
        <v>1.5892947097830601</v>
      </c>
      <c r="K29">
        <v>1.73270519243012</v>
      </c>
      <c r="L29">
        <v>1.8250600123592999</v>
      </c>
      <c r="M29">
        <v>1.6122903936886499</v>
      </c>
      <c r="N29">
        <v>1.6121263945802899</v>
      </c>
      <c r="Q29">
        <f t="shared" si="0"/>
        <v>1.39</v>
      </c>
      <c r="R29">
        <f t="shared" si="2"/>
        <v>1.561276490295378</v>
      </c>
      <c r="S29">
        <f t="shared" si="3"/>
        <v>-0.17127649029537806</v>
      </c>
      <c r="T29">
        <f t="shared" si="4"/>
        <v>2.9335636127902735E-2</v>
      </c>
    </row>
    <row r="30" spans="1:23" hidden="1" x14ac:dyDescent="0.25">
      <c r="A30" t="str">
        <f t="shared" si="1"/>
        <v>BAR</v>
      </c>
      <c r="B30" t="s">
        <v>36</v>
      </c>
      <c r="C30">
        <v>1.965221028</v>
      </c>
      <c r="D30">
        <v>5.3662544E-2</v>
      </c>
      <c r="E30">
        <v>0.69696020800000003</v>
      </c>
      <c r="F30">
        <v>0.514889453</v>
      </c>
      <c r="G30">
        <v>0.797093673</v>
      </c>
      <c r="H30">
        <v>1.34</v>
      </c>
      <c r="I30">
        <v>1.4592000138685299</v>
      </c>
      <c r="J30">
        <v>1.3719138260199899</v>
      </c>
      <c r="K30">
        <v>1.5327324023940601</v>
      </c>
      <c r="L30">
        <v>1.54792154638227</v>
      </c>
      <c r="M30">
        <v>1.4155569199442599</v>
      </c>
      <c r="N30">
        <v>1.41488397897312</v>
      </c>
      <c r="Q30">
        <f t="shared" si="0"/>
        <v>1.34</v>
      </c>
      <c r="R30">
        <f t="shared" si="2"/>
        <v>1.3246695749034889</v>
      </c>
      <c r="S30">
        <f t="shared" si="3"/>
        <v>1.5330425096511169E-2</v>
      </c>
      <c r="T30">
        <f t="shared" si="4"/>
        <v>2.3502193363973949E-4</v>
      </c>
    </row>
    <row r="31" spans="1:23" hidden="1" x14ac:dyDescent="0.25">
      <c r="A31" t="str">
        <f t="shared" si="1"/>
        <v>BAR</v>
      </c>
      <c r="B31" t="s">
        <v>37</v>
      </c>
      <c r="C31">
        <v>1.8724104500000001</v>
      </c>
      <c r="D31">
        <v>5.6129059000000002E-2</v>
      </c>
      <c r="E31">
        <v>0.68149524699999997</v>
      </c>
      <c r="F31">
        <v>0.46585815000000003</v>
      </c>
      <c r="G31">
        <v>0.78249643800000002</v>
      </c>
      <c r="H31">
        <v>1.29</v>
      </c>
      <c r="I31">
        <v>1.4300293875437</v>
      </c>
      <c r="J31">
        <v>1.32269824214391</v>
      </c>
      <c r="K31">
        <v>1.5251515074442199</v>
      </c>
      <c r="L31">
        <v>1.5263253190913899</v>
      </c>
      <c r="M31">
        <v>1.3763638148438</v>
      </c>
      <c r="N31">
        <v>1.3753171841863101</v>
      </c>
      <c r="Q31">
        <f t="shared" si="0"/>
        <v>1.29</v>
      </c>
      <c r="R31">
        <f t="shared" si="2"/>
        <v>1.2651781896481542</v>
      </c>
      <c r="S31">
        <f t="shared" si="3"/>
        <v>2.482181035184583E-2</v>
      </c>
      <c r="T31">
        <f t="shared" si="4"/>
        <v>6.1612226914300084E-4</v>
      </c>
    </row>
    <row r="32" spans="1:23" hidden="1" x14ac:dyDescent="0.25">
      <c r="A32" t="str">
        <f t="shared" si="1"/>
        <v>BAR</v>
      </c>
      <c r="B32" t="s">
        <v>38</v>
      </c>
      <c r="C32">
        <v>2.089521537</v>
      </c>
      <c r="D32">
        <v>5.2586717999999998E-2</v>
      </c>
      <c r="E32">
        <v>0.69902116999999997</v>
      </c>
      <c r="F32">
        <v>0.52990351000000002</v>
      </c>
      <c r="G32">
        <v>0.801607658</v>
      </c>
      <c r="H32">
        <v>1.55</v>
      </c>
      <c r="I32">
        <v>1.3550604238407999</v>
      </c>
      <c r="J32">
        <v>1.2819097246058599</v>
      </c>
      <c r="K32">
        <v>1.4902348867467501</v>
      </c>
      <c r="L32">
        <v>1.6640255098543499</v>
      </c>
      <c r="M32">
        <v>1.3184850742233301</v>
      </c>
      <c r="N32">
        <v>1.3179776685323901</v>
      </c>
      <c r="Q32">
        <f t="shared" si="0"/>
        <v>1.55</v>
      </c>
      <c r="R32">
        <f t="shared" si="2"/>
        <v>1.2171288740644752</v>
      </c>
      <c r="S32">
        <f t="shared" si="3"/>
        <v>0.33287112593552481</v>
      </c>
      <c r="T32">
        <f t="shared" si="4"/>
        <v>0.11080318648158402</v>
      </c>
    </row>
    <row r="33" spans="1:20" hidden="1" x14ac:dyDescent="0.25">
      <c r="A33" t="str">
        <f t="shared" si="1"/>
        <v>BAR</v>
      </c>
      <c r="B33" t="s">
        <v>39</v>
      </c>
      <c r="C33">
        <v>2.0677768919999999</v>
      </c>
      <c r="D33">
        <v>5.5100507E-2</v>
      </c>
      <c r="E33">
        <v>0.71707528300000001</v>
      </c>
      <c r="F33">
        <v>0.56103720599999995</v>
      </c>
      <c r="G33">
        <v>0.81492270700000002</v>
      </c>
      <c r="H33">
        <v>1.59</v>
      </c>
      <c r="I33">
        <v>1.51790850354324</v>
      </c>
      <c r="J33">
        <v>1.48869400168213</v>
      </c>
      <c r="K33">
        <v>1.62887279186259</v>
      </c>
      <c r="L33">
        <v>1.7686957765053299</v>
      </c>
      <c r="M33">
        <v>1.5033012526126801</v>
      </c>
      <c r="N33">
        <v>1.5032302831991899</v>
      </c>
      <c r="Q33">
        <f t="shared" si="0"/>
        <v>1.59</v>
      </c>
      <c r="R33">
        <f t="shared" si="2"/>
        <v>1.4487551058182917</v>
      </c>
      <c r="S33">
        <f t="shared" si="3"/>
        <v>0.14124489418170838</v>
      </c>
      <c r="T33">
        <f t="shared" si="4"/>
        <v>1.9950120132401997E-2</v>
      </c>
    </row>
    <row r="34" spans="1:20" hidden="1" x14ac:dyDescent="0.25">
      <c r="A34" t="str">
        <f t="shared" si="1"/>
        <v>BAR</v>
      </c>
      <c r="B34" t="s">
        <v>40</v>
      </c>
      <c r="C34">
        <v>2.22432096</v>
      </c>
      <c r="D34">
        <v>5.7223892999999998E-2</v>
      </c>
      <c r="E34">
        <v>0.72297988400000002</v>
      </c>
      <c r="F34">
        <v>0.42935933599999998</v>
      </c>
      <c r="G34">
        <v>0.81034916000000001</v>
      </c>
      <c r="H34">
        <v>1.34</v>
      </c>
      <c r="I34">
        <v>0.88577294101783699</v>
      </c>
      <c r="J34">
        <v>0.90135456262691604</v>
      </c>
      <c r="K34">
        <v>0.75292172125841805</v>
      </c>
      <c r="L34">
        <v>0.86993738385408503</v>
      </c>
      <c r="M34">
        <v>0.89356375182237602</v>
      </c>
      <c r="N34">
        <v>0.893529787885043</v>
      </c>
      <c r="Q34">
        <f t="shared" si="0"/>
        <v>1.34</v>
      </c>
      <c r="R34">
        <f t="shared" si="2"/>
        <v>0.74769766581136965</v>
      </c>
      <c r="S34">
        <f t="shared" si="3"/>
        <v>0.59230233418863043</v>
      </c>
      <c r="T34">
        <f t="shared" si="4"/>
        <v>0.35082205508530007</v>
      </c>
    </row>
    <row r="35" spans="1:20" hidden="1" x14ac:dyDescent="0.25">
      <c r="A35" t="str">
        <f t="shared" si="1"/>
        <v>BAR</v>
      </c>
      <c r="B35" t="s">
        <v>41</v>
      </c>
      <c r="C35">
        <v>2.3410544199999999</v>
      </c>
      <c r="D35">
        <v>5.5192563E-2</v>
      </c>
      <c r="E35">
        <v>0.72179960200000004</v>
      </c>
      <c r="F35">
        <v>0.51473669300000002</v>
      </c>
      <c r="G35">
        <v>0.81752441499999995</v>
      </c>
      <c r="H35">
        <v>1.37</v>
      </c>
      <c r="I35">
        <v>1.0447559127279999</v>
      </c>
      <c r="J35">
        <v>1.05188353276919</v>
      </c>
      <c r="K35">
        <v>0.94224325336081804</v>
      </c>
      <c r="L35">
        <v>1.09215342325848</v>
      </c>
      <c r="M35">
        <v>1.0483197227486001</v>
      </c>
      <c r="N35">
        <v>1.0483136650649101</v>
      </c>
      <c r="Q35">
        <f t="shared" si="0"/>
        <v>1.37</v>
      </c>
      <c r="R35">
        <f t="shared" si="2"/>
        <v>0.92526645116552064</v>
      </c>
      <c r="S35">
        <f t="shared" si="3"/>
        <v>0.44473354883447946</v>
      </c>
      <c r="T35">
        <f t="shared" si="4"/>
        <v>0.19778792945891033</v>
      </c>
    </row>
    <row r="36" spans="1:20" hidden="1" x14ac:dyDescent="0.25">
      <c r="A36" t="str">
        <f t="shared" si="1"/>
        <v>BAR</v>
      </c>
      <c r="B36" t="s">
        <v>42</v>
      </c>
      <c r="C36">
        <v>2.2897595829999999</v>
      </c>
      <c r="D36">
        <v>5.3937974999999999E-2</v>
      </c>
      <c r="E36">
        <v>0.72189117599999997</v>
      </c>
      <c r="F36">
        <v>0.51554852100000004</v>
      </c>
      <c r="G36">
        <v>0.81948095499999996</v>
      </c>
      <c r="H36">
        <v>1.44</v>
      </c>
      <c r="I36">
        <v>1.0870772204133901</v>
      </c>
      <c r="J36">
        <v>1.0788353526118799</v>
      </c>
      <c r="K36">
        <v>1.0150295293098299</v>
      </c>
      <c r="L36">
        <v>1.1021188413147101</v>
      </c>
      <c r="M36">
        <v>1.0829562865126401</v>
      </c>
      <c r="N36">
        <v>1.08294844586482</v>
      </c>
      <c r="Q36">
        <f t="shared" si="0"/>
        <v>1.44</v>
      </c>
      <c r="R36">
        <f t="shared" si="2"/>
        <v>0.96342565624096776</v>
      </c>
      <c r="S36">
        <f t="shared" si="3"/>
        <v>0.47657434375903218</v>
      </c>
      <c r="T36">
        <f t="shared" si="4"/>
        <v>0.22712310512935219</v>
      </c>
    </row>
    <row r="37" spans="1:20" hidden="1" x14ac:dyDescent="0.25">
      <c r="A37" t="str">
        <f t="shared" si="1"/>
        <v>BAR</v>
      </c>
      <c r="B37" t="s">
        <v>43</v>
      </c>
      <c r="C37">
        <v>2.19372699</v>
      </c>
      <c r="D37">
        <v>5.9236615999999999E-2</v>
      </c>
      <c r="E37">
        <v>0.70942070400000001</v>
      </c>
      <c r="F37">
        <v>0.50259127800000003</v>
      </c>
      <c r="G37">
        <v>0.80735902599999998</v>
      </c>
      <c r="H37">
        <v>1.46</v>
      </c>
      <c r="I37">
        <v>1.24074439778289</v>
      </c>
      <c r="J37">
        <v>1.2327887422472601</v>
      </c>
      <c r="K37">
        <v>1.16766543193267</v>
      </c>
      <c r="L37">
        <v>1.39502951432611</v>
      </c>
      <c r="M37">
        <v>1.2367665700150701</v>
      </c>
      <c r="N37">
        <v>1.23676017302996</v>
      </c>
      <c r="Q37">
        <f t="shared" si="0"/>
        <v>1.46</v>
      </c>
      <c r="R37">
        <f t="shared" si="2"/>
        <v>1.1304310004487435</v>
      </c>
      <c r="S37">
        <f t="shared" si="3"/>
        <v>0.32956899955125651</v>
      </c>
      <c r="T37">
        <f t="shared" si="4"/>
        <v>0.10861572546521611</v>
      </c>
    </row>
    <row r="38" spans="1:20" hidden="1" x14ac:dyDescent="0.25">
      <c r="A38" t="str">
        <f t="shared" si="1"/>
        <v>BAR</v>
      </c>
      <c r="B38" t="s">
        <v>44</v>
      </c>
      <c r="C38">
        <v>1.9897754190000001</v>
      </c>
      <c r="D38">
        <v>5.8894558E-2</v>
      </c>
      <c r="E38">
        <v>0.70293273700000003</v>
      </c>
      <c r="F38">
        <v>0.47666713100000002</v>
      </c>
      <c r="G38">
        <v>0.80626998599999999</v>
      </c>
      <c r="H38">
        <v>1.77</v>
      </c>
      <c r="I38">
        <v>1.3792372491180001</v>
      </c>
      <c r="J38">
        <v>1.3271781714065101</v>
      </c>
      <c r="K38">
        <v>1.40881315045874</v>
      </c>
      <c r="L38">
        <v>1.5558855029956999</v>
      </c>
      <c r="M38">
        <v>1.35320771026225</v>
      </c>
      <c r="N38">
        <v>1.3529573423505199</v>
      </c>
      <c r="Q38">
        <f t="shared" si="0"/>
        <v>1.77</v>
      </c>
      <c r="R38">
        <f t="shared" si="2"/>
        <v>1.252264099167907</v>
      </c>
      <c r="S38">
        <f t="shared" si="3"/>
        <v>0.51773590083209298</v>
      </c>
      <c r="T38">
        <f t="shared" si="4"/>
        <v>0.26805046301041879</v>
      </c>
    </row>
    <row r="39" spans="1:20" hidden="1" x14ac:dyDescent="0.25">
      <c r="A39" t="str">
        <f t="shared" si="1"/>
        <v>BAR</v>
      </c>
      <c r="B39" t="s">
        <v>45</v>
      </c>
      <c r="C39">
        <v>2.2824689010000001</v>
      </c>
      <c r="D39">
        <v>5.7924344000000003E-2</v>
      </c>
      <c r="E39">
        <v>0.72324852799999995</v>
      </c>
      <c r="F39">
        <v>0.44408882100000002</v>
      </c>
      <c r="G39">
        <v>0.82198214400000003</v>
      </c>
      <c r="H39">
        <v>1.57</v>
      </c>
      <c r="I39">
        <v>0.91355514672865501</v>
      </c>
      <c r="J39">
        <v>0.91337338466038798</v>
      </c>
      <c r="K39">
        <v>0.71767987521586896</v>
      </c>
      <c r="L39">
        <v>0.89720260962411402</v>
      </c>
      <c r="M39">
        <v>0.91346426569452099</v>
      </c>
      <c r="N39">
        <v>0.91346426117362101</v>
      </c>
      <c r="Q39">
        <f t="shared" si="0"/>
        <v>1.57</v>
      </c>
      <c r="R39">
        <f t="shared" si="2"/>
        <v>0.75643672508114701</v>
      </c>
      <c r="S39">
        <f t="shared" si="3"/>
        <v>0.81356327491885305</v>
      </c>
      <c r="T39">
        <f t="shared" si="4"/>
        <v>0.66188520229668923</v>
      </c>
    </row>
    <row r="40" spans="1:20" hidden="1" x14ac:dyDescent="0.25">
      <c r="A40" t="str">
        <f t="shared" si="1"/>
        <v>BAR</v>
      </c>
      <c r="B40" t="s">
        <v>46</v>
      </c>
      <c r="C40">
        <v>2.2767035010000001</v>
      </c>
      <c r="D40">
        <v>5.6639465E-2</v>
      </c>
      <c r="E40">
        <v>0.71645541099999999</v>
      </c>
      <c r="F40">
        <v>0.52815643400000001</v>
      </c>
      <c r="G40">
        <v>0.81739411799999995</v>
      </c>
      <c r="H40">
        <v>1.76</v>
      </c>
      <c r="I40">
        <v>1.19662113130347</v>
      </c>
      <c r="J40">
        <v>1.1923496806246201</v>
      </c>
      <c r="K40">
        <v>1.10759296814877</v>
      </c>
      <c r="L40">
        <v>1.28920184215414</v>
      </c>
      <c r="M40">
        <v>1.19448540596404</v>
      </c>
      <c r="N40">
        <v>1.1944834966370801</v>
      </c>
      <c r="Q40">
        <f t="shared" si="0"/>
        <v>1.76</v>
      </c>
      <c r="R40">
        <f t="shared" si="2"/>
        <v>1.0878197206092679</v>
      </c>
      <c r="S40">
        <f t="shared" si="3"/>
        <v>0.6721802793907321</v>
      </c>
      <c r="T40">
        <f t="shared" si="4"/>
        <v>0.45182632800180267</v>
      </c>
    </row>
    <row r="41" spans="1:20" hidden="1" x14ac:dyDescent="0.25">
      <c r="A41" t="str">
        <f t="shared" si="1"/>
        <v>BAR</v>
      </c>
      <c r="B41" t="s">
        <v>47</v>
      </c>
      <c r="C41">
        <v>2.2168530610000001</v>
      </c>
      <c r="D41">
        <v>5.6272284999999998E-2</v>
      </c>
      <c r="E41">
        <v>0.71586364899999999</v>
      </c>
      <c r="F41">
        <v>0.54895013299999995</v>
      </c>
      <c r="G41">
        <v>0.80669709099999998</v>
      </c>
      <c r="H41">
        <v>1.82</v>
      </c>
      <c r="I41">
        <v>1.32605120573504</v>
      </c>
      <c r="J41">
        <v>1.31984859819565</v>
      </c>
      <c r="K41">
        <v>1.29687152627406</v>
      </c>
      <c r="L41">
        <v>1.3935012192859799</v>
      </c>
      <c r="M41">
        <v>1.3229499019653499</v>
      </c>
      <c r="N41">
        <v>1.3229462668699199</v>
      </c>
      <c r="Q41">
        <f t="shared" si="0"/>
        <v>1.82</v>
      </c>
      <c r="R41">
        <f t="shared" si="2"/>
        <v>1.2407953913130343</v>
      </c>
      <c r="S41">
        <f t="shared" si="3"/>
        <v>0.57920460868696577</v>
      </c>
      <c r="T41">
        <f t="shared" si="4"/>
        <v>0.33547797872422114</v>
      </c>
    </row>
    <row r="42" spans="1:20" hidden="1" x14ac:dyDescent="0.25">
      <c r="A42" t="str">
        <f t="shared" si="1"/>
        <v>BAR</v>
      </c>
      <c r="B42" t="s">
        <v>48</v>
      </c>
      <c r="C42">
        <v>2.137648821</v>
      </c>
      <c r="D42">
        <v>6.0573944999999997E-2</v>
      </c>
      <c r="E42">
        <v>0.72043541</v>
      </c>
      <c r="F42">
        <v>0.54161849699999998</v>
      </c>
      <c r="G42">
        <v>0.83322702900000001</v>
      </c>
      <c r="H42">
        <v>2.04</v>
      </c>
      <c r="I42">
        <v>1.4896762245188899</v>
      </c>
      <c r="J42">
        <v>1.47435249329392</v>
      </c>
      <c r="K42">
        <v>1.3892847730962301</v>
      </c>
      <c r="L42">
        <v>1.5124826600392001</v>
      </c>
      <c r="M42">
        <v>1.4820143589064101</v>
      </c>
      <c r="N42">
        <v>1.48199455323564</v>
      </c>
      <c r="Q42">
        <f t="shared" si="0"/>
        <v>2.04</v>
      </c>
      <c r="R42">
        <f t="shared" si="2"/>
        <v>1.4084310344863615</v>
      </c>
      <c r="S42">
        <f t="shared" si="3"/>
        <v>0.6315689655136385</v>
      </c>
      <c r="T42">
        <f t="shared" si="4"/>
        <v>0.3988793581999675</v>
      </c>
    </row>
    <row r="43" spans="1:20" hidden="1" x14ac:dyDescent="0.25">
      <c r="A43" t="str">
        <f t="shared" si="1"/>
        <v>BAR</v>
      </c>
      <c r="B43" t="s">
        <v>49</v>
      </c>
      <c r="C43">
        <v>2.1003528829999998</v>
      </c>
      <c r="D43">
        <v>5.9871747000000003E-2</v>
      </c>
      <c r="E43">
        <v>0.71205350300000003</v>
      </c>
      <c r="F43">
        <v>0.50049908700000001</v>
      </c>
      <c r="G43">
        <v>0.81100652200000001</v>
      </c>
      <c r="H43">
        <v>1.76</v>
      </c>
      <c r="I43">
        <v>1.3512351369773701</v>
      </c>
      <c r="J43">
        <v>1.3356941421211601</v>
      </c>
      <c r="K43">
        <v>1.31969203229202</v>
      </c>
      <c r="L43">
        <v>1.5000815269518699</v>
      </c>
      <c r="M43">
        <v>1.34346463954927</v>
      </c>
      <c r="N43">
        <v>1.34344216737788</v>
      </c>
      <c r="Q43">
        <f t="shared" si="0"/>
        <v>1.76</v>
      </c>
      <c r="R43">
        <f t="shared" si="2"/>
        <v>1.2521672191613686</v>
      </c>
      <c r="S43">
        <f t="shared" si="3"/>
        <v>0.50783278083863137</v>
      </c>
      <c r="T43">
        <f t="shared" si="4"/>
        <v>0.25789413329429739</v>
      </c>
    </row>
    <row r="44" spans="1:20" hidden="1" x14ac:dyDescent="0.25">
      <c r="A44" t="str">
        <f t="shared" si="1"/>
        <v>BAR</v>
      </c>
      <c r="B44" t="s">
        <v>50</v>
      </c>
      <c r="C44">
        <v>1.9021037510000001</v>
      </c>
      <c r="D44">
        <v>5.6740736999999999E-2</v>
      </c>
      <c r="E44">
        <v>0.71504658700000001</v>
      </c>
      <c r="F44">
        <v>0.53545120599999996</v>
      </c>
      <c r="G44">
        <v>0.81763318500000004</v>
      </c>
      <c r="H44">
        <v>1.74</v>
      </c>
      <c r="I44">
        <v>1.64345140100207</v>
      </c>
      <c r="J44">
        <v>1.5946140331293199</v>
      </c>
      <c r="K44">
        <v>1.80484130580456</v>
      </c>
      <c r="L44">
        <v>1.8908285981714901</v>
      </c>
      <c r="M44">
        <v>1.6190327170657</v>
      </c>
      <c r="N44">
        <v>1.6188485620353601</v>
      </c>
      <c r="Q44">
        <f t="shared" si="0"/>
        <v>1.74</v>
      </c>
      <c r="R44">
        <f t="shared" si="2"/>
        <v>1.574625268793858</v>
      </c>
      <c r="S44">
        <f t="shared" si="3"/>
        <v>0.16537473120614199</v>
      </c>
      <c r="T44">
        <f t="shared" si="4"/>
        <v>2.7348801721503713E-2</v>
      </c>
    </row>
    <row r="45" spans="1:20" hidden="1" x14ac:dyDescent="0.25">
      <c r="A45" t="str">
        <f t="shared" si="1"/>
        <v>BAR</v>
      </c>
      <c r="B45" t="s">
        <v>51</v>
      </c>
      <c r="C45">
        <v>2.24735219</v>
      </c>
      <c r="D45">
        <v>5.5887344999999998E-2</v>
      </c>
      <c r="E45">
        <v>0.70018515199999998</v>
      </c>
      <c r="F45">
        <v>0.52881993999999999</v>
      </c>
      <c r="G45">
        <v>0.81284157800000001</v>
      </c>
      <c r="H45">
        <v>1.45</v>
      </c>
      <c r="I45">
        <v>1.2375741057530301</v>
      </c>
      <c r="J45">
        <v>1.1918099426519499</v>
      </c>
      <c r="K45">
        <v>1.1794487160481699</v>
      </c>
      <c r="L45">
        <v>1.34756244490816</v>
      </c>
      <c r="M45">
        <v>1.2146920242024899</v>
      </c>
      <c r="N45">
        <v>1.2144764814540701</v>
      </c>
      <c r="Q45">
        <f t="shared" si="0"/>
        <v>1.45</v>
      </c>
      <c r="R45">
        <f t="shared" si="2"/>
        <v>1.0933172266153064</v>
      </c>
      <c r="S45">
        <f t="shared" si="3"/>
        <v>0.35668277338469356</v>
      </c>
      <c r="T45">
        <f t="shared" si="4"/>
        <v>0.12722260082939665</v>
      </c>
    </row>
    <row r="46" spans="1:20" hidden="1" x14ac:dyDescent="0.25">
      <c r="A46" t="str">
        <f t="shared" si="1"/>
        <v>BAR</v>
      </c>
      <c r="B46" t="s">
        <v>52</v>
      </c>
      <c r="C46">
        <v>2.0627476069999999</v>
      </c>
      <c r="D46">
        <v>5.4999373999999997E-2</v>
      </c>
      <c r="E46">
        <v>0.71969556700000004</v>
      </c>
      <c r="F46">
        <v>0.55454061600000004</v>
      </c>
      <c r="G46">
        <v>0.82739350700000003</v>
      </c>
      <c r="H46">
        <v>1.39</v>
      </c>
      <c r="I46">
        <v>1.4996248081849901</v>
      </c>
      <c r="J46">
        <v>1.47013655532566</v>
      </c>
      <c r="K46">
        <v>1.5488853744367299</v>
      </c>
      <c r="L46">
        <v>1.6207388657192501</v>
      </c>
      <c r="M46">
        <v>1.48488068175532</v>
      </c>
      <c r="N46">
        <v>1.4848074790308601</v>
      </c>
      <c r="Q46">
        <f t="shared" si="0"/>
        <v>1.39</v>
      </c>
      <c r="R46">
        <f t="shared" si="2"/>
        <v>1.4273478661605274</v>
      </c>
      <c r="S46">
        <f t="shared" si="3"/>
        <v>-3.7347866160527543E-2</v>
      </c>
      <c r="T46">
        <f t="shared" si="4"/>
        <v>1.3948631067446783E-3</v>
      </c>
    </row>
    <row r="47" spans="1:20" hidden="1" x14ac:dyDescent="0.25">
      <c r="A47" t="str">
        <f t="shared" si="1"/>
        <v>BAR</v>
      </c>
      <c r="B47" t="s">
        <v>53</v>
      </c>
      <c r="C47">
        <v>1.850830569</v>
      </c>
      <c r="D47">
        <v>6.7850062000000003E-2</v>
      </c>
      <c r="E47">
        <v>0.65445978800000004</v>
      </c>
      <c r="F47">
        <v>0.37679126800000001</v>
      </c>
      <c r="G47">
        <v>0.72125495399999995</v>
      </c>
      <c r="H47">
        <v>1.2</v>
      </c>
      <c r="I47">
        <v>1.2358417476225501</v>
      </c>
      <c r="J47">
        <v>1.25597616817705</v>
      </c>
      <c r="K47">
        <v>1.24300838365737</v>
      </c>
      <c r="L47">
        <v>1.1867004277464099</v>
      </c>
      <c r="M47">
        <v>1.2459089578997999</v>
      </c>
      <c r="N47">
        <v>1.2458682846321301</v>
      </c>
      <c r="Q47">
        <f t="shared" si="0"/>
        <v>1.2</v>
      </c>
      <c r="R47">
        <f t="shared" si="2"/>
        <v>1.1474451734450173</v>
      </c>
      <c r="S47">
        <f t="shared" si="3"/>
        <v>5.255482655498267E-2</v>
      </c>
      <c r="T47">
        <f t="shared" si="4"/>
        <v>2.7620097942243115E-3</v>
      </c>
    </row>
    <row r="48" spans="1:20" hidden="1" x14ac:dyDescent="0.25">
      <c r="A48" t="str">
        <f t="shared" si="1"/>
        <v>BAR</v>
      </c>
      <c r="B48" t="s">
        <v>54</v>
      </c>
      <c r="C48">
        <v>1.8792220639999999</v>
      </c>
      <c r="D48">
        <v>7.3387477000000007E-2</v>
      </c>
      <c r="E48">
        <v>0.63390714400000003</v>
      </c>
      <c r="F48">
        <v>0.33897498399999998</v>
      </c>
      <c r="G48">
        <v>0.70817438099999996</v>
      </c>
      <c r="H48">
        <v>1.1100000000000001</v>
      </c>
      <c r="I48">
        <v>1.09688390309888</v>
      </c>
      <c r="J48">
        <v>1.20395418863037</v>
      </c>
      <c r="K48">
        <v>0.98096848155636895</v>
      </c>
      <c r="L48">
        <v>0.86285472585813605</v>
      </c>
      <c r="M48">
        <v>1.15041904586463</v>
      </c>
      <c r="N48">
        <v>1.1491727326982299</v>
      </c>
      <c r="Q48">
        <f t="shared" si="0"/>
        <v>1.1100000000000001</v>
      </c>
      <c r="R48">
        <f t="shared" si="2"/>
        <v>1.0634778572489942</v>
      </c>
      <c r="S48">
        <f t="shared" si="3"/>
        <v>4.6522142751005857E-2</v>
      </c>
      <c r="T48">
        <f t="shared" si="4"/>
        <v>2.164309766144967E-3</v>
      </c>
    </row>
    <row r="49" spans="1:27" hidden="1" x14ac:dyDescent="0.25">
      <c r="A49" t="str">
        <f t="shared" si="1"/>
        <v>BAR</v>
      </c>
      <c r="B49" t="s">
        <v>55</v>
      </c>
      <c r="C49">
        <v>1.882211318</v>
      </c>
      <c r="D49">
        <v>7.1124297000000003E-2</v>
      </c>
      <c r="E49">
        <v>0.67296264699999997</v>
      </c>
      <c r="F49">
        <v>0.346440099</v>
      </c>
      <c r="G49">
        <v>0.74582495000000004</v>
      </c>
      <c r="H49">
        <v>1.1499999999999999</v>
      </c>
      <c r="I49">
        <v>1.1179723196951099</v>
      </c>
      <c r="J49">
        <v>1.21782823003537</v>
      </c>
      <c r="K49">
        <v>1.00414316587463</v>
      </c>
      <c r="L49">
        <v>0.89757457669843599</v>
      </c>
      <c r="M49">
        <v>1.1679002748652401</v>
      </c>
      <c r="N49">
        <v>1.1668325721039901</v>
      </c>
      <c r="Q49">
        <f t="shared" si="0"/>
        <v>1.1499999999999999</v>
      </c>
      <c r="R49">
        <f t="shared" si="2"/>
        <v>1.0838204494770953</v>
      </c>
      <c r="S49">
        <f t="shared" si="3"/>
        <v>6.6179550522904584E-2</v>
      </c>
      <c r="T49">
        <f t="shared" si="4"/>
        <v>4.3797329074136805E-3</v>
      </c>
      <c r="AA49" t="s">
        <v>2435</v>
      </c>
    </row>
    <row r="50" spans="1:27" hidden="1" x14ac:dyDescent="0.25">
      <c r="A50" t="str">
        <f t="shared" si="1"/>
        <v>BAR</v>
      </c>
      <c r="B50" t="s">
        <v>56</v>
      </c>
      <c r="C50">
        <v>2.112024441</v>
      </c>
      <c r="D50">
        <v>6.7975253999999999E-2</v>
      </c>
      <c r="E50">
        <v>0.69192512299999998</v>
      </c>
      <c r="F50">
        <v>0.40739024800000001</v>
      </c>
      <c r="G50">
        <v>0.77950994299999998</v>
      </c>
      <c r="H50">
        <v>1.54</v>
      </c>
      <c r="I50">
        <v>1.0955048618787999</v>
      </c>
      <c r="J50">
        <v>1.15413192364393</v>
      </c>
      <c r="K50">
        <v>0.88800617566818496</v>
      </c>
      <c r="L50">
        <v>1.0058178766907599</v>
      </c>
      <c r="M50">
        <v>1.12481839276136</v>
      </c>
      <c r="N50">
        <v>1.12443636262861</v>
      </c>
      <c r="Q50">
        <f t="shared" si="0"/>
        <v>1.54</v>
      </c>
      <c r="R50">
        <f t="shared" si="2"/>
        <v>1.0099524105501456</v>
      </c>
      <c r="S50">
        <f t="shared" si="3"/>
        <v>0.53004758944985442</v>
      </c>
      <c r="T50">
        <f t="shared" si="4"/>
        <v>0.28095044708160144</v>
      </c>
    </row>
    <row r="51" spans="1:27" hidden="1" x14ac:dyDescent="0.25">
      <c r="A51" t="str">
        <f t="shared" si="1"/>
        <v>BAR</v>
      </c>
      <c r="B51" t="s">
        <v>57</v>
      </c>
      <c r="C51">
        <v>1.894673262</v>
      </c>
      <c r="D51">
        <v>6.8779625999999996E-2</v>
      </c>
      <c r="E51">
        <v>0.694746011</v>
      </c>
      <c r="F51">
        <v>0.44200463200000001</v>
      </c>
      <c r="G51">
        <v>0.772801548</v>
      </c>
      <c r="H51">
        <v>1.1599999999999999</v>
      </c>
      <c r="I51">
        <v>1.50413217694805</v>
      </c>
      <c r="J51">
        <v>1.5222782074883401</v>
      </c>
      <c r="K51">
        <v>1.4908492148494901</v>
      </c>
      <c r="L51">
        <v>1.62646411081359</v>
      </c>
      <c r="M51">
        <v>1.5132051922181999</v>
      </c>
      <c r="N51">
        <v>1.5131779915627901</v>
      </c>
      <c r="Q51">
        <f t="shared" si="0"/>
        <v>1.1599999999999999</v>
      </c>
      <c r="R51">
        <f t="shared" si="2"/>
        <v>1.4457627119862537</v>
      </c>
      <c r="S51">
        <f t="shared" si="3"/>
        <v>-0.2857627119862538</v>
      </c>
      <c r="T51">
        <f t="shared" si="4"/>
        <v>8.1660327561738646E-2</v>
      </c>
    </row>
    <row r="52" spans="1:27" hidden="1" x14ac:dyDescent="0.25">
      <c r="A52" t="str">
        <f t="shared" si="1"/>
        <v>BAR</v>
      </c>
      <c r="B52" t="s">
        <v>58</v>
      </c>
      <c r="C52">
        <v>1.8611643369999999</v>
      </c>
      <c r="D52">
        <v>6.3235061999999995E-2</v>
      </c>
      <c r="E52">
        <v>0.67754102299999996</v>
      </c>
      <c r="F52">
        <v>0.40577807399999999</v>
      </c>
      <c r="G52">
        <v>0.74800125500000003</v>
      </c>
      <c r="H52">
        <v>1.1000000000000001</v>
      </c>
      <c r="I52">
        <v>1.2919262986370801</v>
      </c>
      <c r="J52">
        <v>1.2681419165697401</v>
      </c>
      <c r="K52">
        <v>1.38812388361698</v>
      </c>
      <c r="L52">
        <v>1.42028906532798</v>
      </c>
      <c r="M52">
        <v>1.2800341076034101</v>
      </c>
      <c r="N52">
        <v>1.27997886405224</v>
      </c>
      <c r="Q52">
        <f t="shared" si="0"/>
        <v>1.1000000000000001</v>
      </c>
      <c r="R52">
        <f t="shared" si="2"/>
        <v>1.1765403210719638</v>
      </c>
      <c r="S52">
        <f t="shared" si="3"/>
        <v>-7.6540321071963735E-2</v>
      </c>
      <c r="T52">
        <f t="shared" si="4"/>
        <v>5.858420749799296E-3</v>
      </c>
    </row>
    <row r="53" spans="1:27" hidden="1" x14ac:dyDescent="0.25">
      <c r="A53" t="str">
        <f t="shared" si="1"/>
        <v>BAR</v>
      </c>
      <c r="B53" t="s">
        <v>59</v>
      </c>
      <c r="C53">
        <v>1.926101794</v>
      </c>
      <c r="D53">
        <v>6.6553023000000003E-2</v>
      </c>
      <c r="E53">
        <v>0.65269354899999998</v>
      </c>
      <c r="F53">
        <v>0.34039183000000001</v>
      </c>
      <c r="G53">
        <v>0.70817007099999996</v>
      </c>
      <c r="H53">
        <v>1.24</v>
      </c>
      <c r="I53">
        <v>0.91282256235133297</v>
      </c>
      <c r="J53">
        <v>1.0136103730883601</v>
      </c>
      <c r="K53">
        <v>0.91977413900257798</v>
      </c>
      <c r="L53">
        <v>0.83379654728402397</v>
      </c>
      <c r="M53">
        <v>0.96321646771984903</v>
      </c>
      <c r="N53">
        <v>0.96189730116494798</v>
      </c>
      <c r="Q53">
        <f t="shared" si="0"/>
        <v>1.24</v>
      </c>
      <c r="R53">
        <f t="shared" si="2"/>
        <v>0.86680522037289442</v>
      </c>
      <c r="S53">
        <f t="shared" si="3"/>
        <v>0.37319477962710557</v>
      </c>
      <c r="T53">
        <f t="shared" si="4"/>
        <v>0.13927434354092388</v>
      </c>
    </row>
    <row r="54" spans="1:27" hidden="1" x14ac:dyDescent="0.25">
      <c r="A54" t="str">
        <f t="shared" si="1"/>
        <v>BAR</v>
      </c>
      <c r="B54" t="s">
        <v>60</v>
      </c>
      <c r="C54">
        <v>1.985986603</v>
      </c>
      <c r="D54">
        <v>6.5446135000000003E-2</v>
      </c>
      <c r="E54">
        <v>0.68536412000000002</v>
      </c>
      <c r="F54">
        <v>0.39496959199999998</v>
      </c>
      <c r="G54">
        <v>0.75585404199999995</v>
      </c>
      <c r="H54">
        <v>1.24</v>
      </c>
      <c r="I54">
        <v>1.11941629229881</v>
      </c>
      <c r="J54">
        <v>1.1647401138064699</v>
      </c>
      <c r="K54">
        <v>1.0765100736512001</v>
      </c>
      <c r="L54">
        <v>1.1232476394464801</v>
      </c>
      <c r="M54">
        <v>1.14207820305264</v>
      </c>
      <c r="N54">
        <v>1.14185334421236</v>
      </c>
      <c r="Q54">
        <f t="shared" si="0"/>
        <v>1.24</v>
      </c>
      <c r="R54">
        <f t="shared" si="2"/>
        <v>1.0399799947502437</v>
      </c>
      <c r="S54">
        <f t="shared" si="3"/>
        <v>0.20002000524975627</v>
      </c>
      <c r="T54">
        <f t="shared" si="4"/>
        <v>4.0008002500112529E-2</v>
      </c>
    </row>
    <row r="55" spans="1:27" hidden="1" x14ac:dyDescent="0.25">
      <c r="A55" t="str">
        <f t="shared" si="1"/>
        <v>BAR</v>
      </c>
      <c r="B55" t="s">
        <v>61</v>
      </c>
      <c r="C55">
        <v>1.9415385780000001</v>
      </c>
      <c r="D55">
        <v>6.3988298999999998E-2</v>
      </c>
      <c r="E55">
        <v>0.67491297500000003</v>
      </c>
      <c r="F55">
        <v>0.43113512100000001</v>
      </c>
      <c r="G55">
        <v>0.75502307099999999</v>
      </c>
      <c r="H55">
        <v>1.25</v>
      </c>
      <c r="I55">
        <v>1.3252010170270501</v>
      </c>
      <c r="J55">
        <v>1.29563647532843</v>
      </c>
      <c r="K55">
        <v>1.38526362438255</v>
      </c>
      <c r="L55">
        <v>1.53603620546201</v>
      </c>
      <c r="M55">
        <v>1.3104187461777399</v>
      </c>
      <c r="N55">
        <v>1.3103353673020399</v>
      </c>
      <c r="Q55">
        <f t="shared" si="0"/>
        <v>1.25</v>
      </c>
      <c r="R55">
        <f t="shared" si="2"/>
        <v>1.2022907136636776</v>
      </c>
      <c r="S55">
        <f t="shared" si="3"/>
        <v>4.7709286336322432E-2</v>
      </c>
      <c r="T55">
        <f t="shared" si="4"/>
        <v>2.2761760027212022E-3</v>
      </c>
    </row>
    <row r="56" spans="1:27" hidden="1" x14ac:dyDescent="0.25">
      <c r="A56" t="str">
        <f t="shared" si="1"/>
        <v>BAR</v>
      </c>
      <c r="B56" t="s">
        <v>62</v>
      </c>
      <c r="C56">
        <v>1.938322949</v>
      </c>
      <c r="D56">
        <v>6.4714721000000003E-2</v>
      </c>
      <c r="E56">
        <v>0.664241847</v>
      </c>
      <c r="F56">
        <v>0.37912894899999999</v>
      </c>
      <c r="G56">
        <v>0.729983724</v>
      </c>
      <c r="H56">
        <v>0.98</v>
      </c>
      <c r="I56">
        <v>1.0867888273056101</v>
      </c>
      <c r="J56">
        <v>1.1130929806574901</v>
      </c>
      <c r="K56">
        <v>1.10060224590498</v>
      </c>
      <c r="L56">
        <v>1.0990365530647701</v>
      </c>
      <c r="M56">
        <v>1.09994090398155</v>
      </c>
      <c r="N56">
        <v>1.0998622709825401</v>
      </c>
      <c r="Q56">
        <f t="shared" si="0"/>
        <v>0.98</v>
      </c>
      <c r="R56">
        <f t="shared" si="2"/>
        <v>0.98808415979588649</v>
      </c>
      <c r="S56">
        <f t="shared" si="3"/>
        <v>-8.084159795886503E-3</v>
      </c>
      <c r="T56">
        <f t="shared" si="4"/>
        <v>6.5353639605427713E-5</v>
      </c>
    </row>
    <row r="57" spans="1:27" hidden="1" x14ac:dyDescent="0.25">
      <c r="A57" t="str">
        <f t="shared" si="1"/>
        <v>BAR</v>
      </c>
      <c r="B57" t="s">
        <v>63</v>
      </c>
      <c r="C57">
        <v>1.8492452049999999</v>
      </c>
      <c r="D57">
        <v>6.5083055000000001E-2</v>
      </c>
      <c r="E57">
        <v>0.65290531600000001</v>
      </c>
      <c r="F57">
        <v>0.37371743400000002</v>
      </c>
      <c r="G57">
        <v>0.71628668699999998</v>
      </c>
      <c r="H57">
        <v>1.03</v>
      </c>
      <c r="I57">
        <v>1.1774864649849901</v>
      </c>
      <c r="J57">
        <v>1.17826525192843</v>
      </c>
      <c r="K57">
        <v>1.2493170222090599</v>
      </c>
      <c r="L57">
        <v>1.2011881691400601</v>
      </c>
      <c r="M57">
        <v>1.1778758584567099</v>
      </c>
      <c r="N57">
        <v>1.1778757940919999</v>
      </c>
      <c r="Q57">
        <f t="shared" si="0"/>
        <v>1.03</v>
      </c>
      <c r="R57">
        <f t="shared" si="2"/>
        <v>1.0685320586389331</v>
      </c>
      <c r="S57">
        <f t="shared" si="3"/>
        <v>-3.8532058638933053E-2</v>
      </c>
      <c r="T57">
        <f t="shared" si="4"/>
        <v>1.4847195429541753E-3</v>
      </c>
    </row>
    <row r="58" spans="1:27" hidden="1" x14ac:dyDescent="0.25">
      <c r="A58" t="str">
        <f t="shared" si="1"/>
        <v>BAR</v>
      </c>
      <c r="B58" t="s">
        <v>64</v>
      </c>
      <c r="C58">
        <v>1.813287401</v>
      </c>
      <c r="D58">
        <v>6.5219186999999998E-2</v>
      </c>
      <c r="E58">
        <v>0.654545775</v>
      </c>
      <c r="F58">
        <v>0.360869991</v>
      </c>
      <c r="G58">
        <v>0.71248370100000002</v>
      </c>
      <c r="H58">
        <v>0.9</v>
      </c>
      <c r="I58">
        <v>1.1550315332888901</v>
      </c>
      <c r="J58">
        <v>1.1720802619551101</v>
      </c>
      <c r="K58">
        <v>1.26121041656774</v>
      </c>
      <c r="L58">
        <v>1.1787496786921801</v>
      </c>
      <c r="M58">
        <v>1.163555897622</v>
      </c>
      <c r="N58">
        <v>1.1635246718929699</v>
      </c>
      <c r="Q58">
        <f t="shared" si="0"/>
        <v>0.9</v>
      </c>
      <c r="R58">
        <f t="shared" si="2"/>
        <v>1.0621980125719053</v>
      </c>
      <c r="S58">
        <f t="shared" si="3"/>
        <v>-0.16219801257190525</v>
      </c>
      <c r="T58">
        <f t="shared" si="4"/>
        <v>2.6308195282275931E-2</v>
      </c>
    </row>
    <row r="59" spans="1:27" hidden="1" x14ac:dyDescent="0.25">
      <c r="A59" t="str">
        <f t="shared" si="1"/>
        <v>BAR</v>
      </c>
      <c r="B59" t="s">
        <v>65</v>
      </c>
      <c r="C59">
        <v>1.7271995250000001</v>
      </c>
      <c r="D59">
        <v>7.2677022999999993E-2</v>
      </c>
      <c r="E59">
        <v>0.66807939800000005</v>
      </c>
      <c r="F59">
        <v>0.31896369000000002</v>
      </c>
      <c r="G59">
        <v>0.72011867299999999</v>
      </c>
      <c r="H59">
        <v>0.9</v>
      </c>
      <c r="I59">
        <v>1.1575408938346501</v>
      </c>
      <c r="J59">
        <v>1.30671423917629</v>
      </c>
      <c r="K59">
        <v>1.0625411283542101</v>
      </c>
      <c r="L59">
        <v>0.85492933849151598</v>
      </c>
      <c r="M59">
        <v>1.2321275665054701</v>
      </c>
      <c r="N59">
        <v>1.2298679475466401</v>
      </c>
      <c r="Q59">
        <f t="shared" si="0"/>
        <v>0.9</v>
      </c>
      <c r="R59">
        <f t="shared" si="2"/>
        <v>1.1881982690951354</v>
      </c>
      <c r="S59">
        <f t="shared" si="3"/>
        <v>-0.28819826909513535</v>
      </c>
      <c r="T59">
        <f t="shared" si="4"/>
        <v>8.3058242309432054E-2</v>
      </c>
    </row>
    <row r="60" spans="1:27" hidden="1" x14ac:dyDescent="0.25">
      <c r="A60" t="str">
        <f t="shared" si="1"/>
        <v>BAR</v>
      </c>
      <c r="B60" t="s">
        <v>66</v>
      </c>
      <c r="C60">
        <v>1.805479407</v>
      </c>
      <c r="D60">
        <v>6.4384359000000002E-2</v>
      </c>
      <c r="E60">
        <v>0.65561612700000005</v>
      </c>
      <c r="F60">
        <v>0.34396406800000001</v>
      </c>
      <c r="G60">
        <v>0.71513611600000004</v>
      </c>
      <c r="H60">
        <v>1.05</v>
      </c>
      <c r="I60">
        <v>1.0681758615947701</v>
      </c>
      <c r="J60">
        <v>1.0994561363462401</v>
      </c>
      <c r="K60">
        <v>1.1390169534462999</v>
      </c>
      <c r="L60">
        <v>0.987586424836285</v>
      </c>
      <c r="M60">
        <v>1.0838159989705101</v>
      </c>
      <c r="N60">
        <v>1.0837031446513901</v>
      </c>
      <c r="Q60">
        <f t="shared" si="0"/>
        <v>1.05</v>
      </c>
      <c r="R60">
        <f t="shared" si="2"/>
        <v>0.98097875105593202</v>
      </c>
      <c r="S60">
        <f t="shared" si="3"/>
        <v>6.9021248944068025E-2</v>
      </c>
      <c r="T60">
        <f t="shared" si="4"/>
        <v>4.763932805799012E-3</v>
      </c>
    </row>
    <row r="61" spans="1:27" hidden="1" x14ac:dyDescent="0.25">
      <c r="A61" t="str">
        <f t="shared" si="1"/>
        <v>BAR</v>
      </c>
      <c r="B61" t="s">
        <v>67</v>
      </c>
      <c r="C61">
        <v>1.8870345589999999</v>
      </c>
      <c r="D61">
        <v>6.0641744999999997E-2</v>
      </c>
      <c r="E61">
        <v>0.67912618899999999</v>
      </c>
      <c r="F61">
        <v>0.38515639200000001</v>
      </c>
      <c r="G61">
        <v>0.74189262700000003</v>
      </c>
      <c r="H61">
        <v>0.91</v>
      </c>
      <c r="I61">
        <v>1.11954819753954</v>
      </c>
      <c r="J61">
        <v>1.10872847894391</v>
      </c>
      <c r="K61">
        <v>1.24211210330026</v>
      </c>
      <c r="L61">
        <v>1.2496547272082099</v>
      </c>
      <c r="M61">
        <v>1.11413833824173</v>
      </c>
      <c r="N61">
        <v>1.1141252039884999</v>
      </c>
      <c r="Q61">
        <f t="shared" si="0"/>
        <v>0.91</v>
      </c>
      <c r="R61">
        <f t="shared" si="2"/>
        <v>0.99895512248273066</v>
      </c>
      <c r="S61">
        <f t="shared" si="3"/>
        <v>-8.8955122482730631E-2</v>
      </c>
      <c r="T61">
        <f t="shared" si="4"/>
        <v>7.9130138159176078E-3</v>
      </c>
    </row>
    <row r="62" spans="1:27" hidden="1" x14ac:dyDescent="0.25">
      <c r="A62" t="str">
        <f t="shared" si="1"/>
        <v>BAR</v>
      </c>
      <c r="B62" t="s">
        <v>68</v>
      </c>
      <c r="C62">
        <v>1.9577230409999999</v>
      </c>
      <c r="D62">
        <v>6.0504465E-2</v>
      </c>
      <c r="E62">
        <v>0.71491346899999997</v>
      </c>
      <c r="F62">
        <v>0.505538924</v>
      </c>
      <c r="G62">
        <v>0.80811339199999999</v>
      </c>
      <c r="H62">
        <v>2.0699999999999998</v>
      </c>
      <c r="I62">
        <v>1.5374727360590901</v>
      </c>
      <c r="J62">
        <v>1.5143938515323101</v>
      </c>
      <c r="K62">
        <v>1.60104034366006</v>
      </c>
      <c r="L62">
        <v>1.78411246544836</v>
      </c>
      <c r="M62">
        <v>1.5259332937957</v>
      </c>
      <c r="N62">
        <v>1.52588966127517</v>
      </c>
      <c r="Q62">
        <f t="shared" si="0"/>
        <v>2.0699999999999998</v>
      </c>
      <c r="R62">
        <f t="shared" si="2"/>
        <v>1.4646055110921639</v>
      </c>
      <c r="S62">
        <f t="shared" si="3"/>
        <v>0.60539448890783598</v>
      </c>
      <c r="T62">
        <f t="shared" si="4"/>
        <v>0.36650248719997996</v>
      </c>
    </row>
    <row r="63" spans="1:27" hidden="1" x14ac:dyDescent="0.25">
      <c r="A63" t="str">
        <f t="shared" si="1"/>
        <v>BAR</v>
      </c>
      <c r="B63" t="s">
        <v>69</v>
      </c>
      <c r="C63">
        <v>2.0812646290000001</v>
      </c>
      <c r="D63">
        <v>5.8231181E-2</v>
      </c>
      <c r="E63">
        <v>0.71660515700000005</v>
      </c>
      <c r="F63">
        <v>0.56175525699999995</v>
      </c>
      <c r="G63">
        <v>0.81457688800000005</v>
      </c>
      <c r="H63">
        <v>1.74</v>
      </c>
      <c r="I63">
        <v>1.5611060887043799</v>
      </c>
      <c r="J63">
        <v>1.54701339472945</v>
      </c>
      <c r="K63">
        <v>1.6379461845468199</v>
      </c>
      <c r="L63">
        <v>1.85238499076237</v>
      </c>
      <c r="M63">
        <v>1.55405974171692</v>
      </c>
      <c r="N63">
        <v>1.5540437670218199</v>
      </c>
      <c r="Q63">
        <f t="shared" si="0"/>
        <v>1.74</v>
      </c>
      <c r="R63">
        <f t="shared" si="2"/>
        <v>1.5051309700661033</v>
      </c>
      <c r="S63">
        <f t="shared" si="3"/>
        <v>0.23486902993389669</v>
      </c>
      <c r="T63">
        <f t="shared" si="4"/>
        <v>5.5163461222089656E-2</v>
      </c>
    </row>
    <row r="64" spans="1:27" hidden="1" x14ac:dyDescent="0.25">
      <c r="A64" t="str">
        <f t="shared" si="1"/>
        <v>BAR</v>
      </c>
      <c r="B64" t="s">
        <v>70</v>
      </c>
      <c r="C64">
        <v>2.034577429</v>
      </c>
      <c r="D64">
        <v>5.7730829999999997E-2</v>
      </c>
      <c r="E64">
        <v>0.72770370100000004</v>
      </c>
      <c r="F64">
        <v>0.59600286899999999</v>
      </c>
      <c r="G64">
        <v>0.82299893400000002</v>
      </c>
      <c r="H64">
        <v>2.29</v>
      </c>
      <c r="I64">
        <v>1.71511377620577</v>
      </c>
      <c r="J64">
        <v>1.7192433389581301</v>
      </c>
      <c r="K64">
        <v>1.81909479594102</v>
      </c>
      <c r="L64">
        <v>1.8641055076644899</v>
      </c>
      <c r="M64">
        <v>1.71717855758195</v>
      </c>
      <c r="N64">
        <v>1.71717731620736</v>
      </c>
      <c r="Q64">
        <f t="shared" si="0"/>
        <v>2.29</v>
      </c>
      <c r="R64">
        <f t="shared" si="2"/>
        <v>1.7086556367634906</v>
      </c>
      <c r="S64">
        <f t="shared" si="3"/>
        <v>0.5813443632365094</v>
      </c>
      <c r="T64">
        <f t="shared" si="4"/>
        <v>0.3379612686668626</v>
      </c>
    </row>
    <row r="65" spans="1:20" hidden="1" x14ac:dyDescent="0.25">
      <c r="A65" t="str">
        <f t="shared" si="1"/>
        <v>BAR</v>
      </c>
      <c r="B65" t="s">
        <v>71</v>
      </c>
      <c r="C65">
        <v>2.0809806540000002</v>
      </c>
      <c r="D65">
        <v>5.7382831000000002E-2</v>
      </c>
      <c r="E65">
        <v>0.72455988599999999</v>
      </c>
      <c r="F65">
        <v>0.59524920299999995</v>
      </c>
      <c r="G65">
        <v>0.82488747200000001</v>
      </c>
      <c r="H65">
        <v>1.78</v>
      </c>
      <c r="I65">
        <v>1.6566112034477101</v>
      </c>
      <c r="J65">
        <v>1.65908379120234</v>
      </c>
      <c r="K65">
        <v>1.74146025466718</v>
      </c>
      <c r="L65">
        <v>1.7607422232921199</v>
      </c>
      <c r="M65">
        <v>1.6578474973250299</v>
      </c>
      <c r="N65">
        <v>1.6578470363590001</v>
      </c>
      <c r="Q65">
        <f t="shared" ref="Q65:Q128" si="5">H65</f>
        <v>1.78</v>
      </c>
      <c r="R65">
        <f t="shared" si="2"/>
        <v>1.6379568034038039</v>
      </c>
      <c r="S65">
        <f t="shared" si="3"/>
        <v>0.14204319659619613</v>
      </c>
      <c r="T65">
        <f t="shared" si="4"/>
        <v>2.0176269699265625E-2</v>
      </c>
    </row>
    <row r="66" spans="1:20" hidden="1" x14ac:dyDescent="0.25">
      <c r="A66" t="str">
        <f t="shared" si="1"/>
        <v>BAR</v>
      </c>
      <c r="B66" t="s">
        <v>72</v>
      </c>
      <c r="C66">
        <v>1.997807541</v>
      </c>
      <c r="D66">
        <v>6.0905305E-2</v>
      </c>
      <c r="E66">
        <v>0.71635450899999997</v>
      </c>
      <c r="F66">
        <v>0.52793730500000002</v>
      </c>
      <c r="G66">
        <v>0.81086337600000002</v>
      </c>
      <c r="H66">
        <v>1.96</v>
      </c>
      <c r="I66">
        <v>1.58117286283156</v>
      </c>
      <c r="J66">
        <v>1.56739380053012</v>
      </c>
      <c r="K66">
        <v>1.6712516619515101</v>
      </c>
      <c r="L66">
        <v>1.8829515559146299</v>
      </c>
      <c r="M66">
        <v>1.57428333168084</v>
      </c>
      <c r="N66">
        <v>1.5742682562919901</v>
      </c>
      <c r="Q66">
        <f t="shared" si="5"/>
        <v>1.96</v>
      </c>
      <c r="R66">
        <f t="shared" si="2"/>
        <v>1.522858780195453</v>
      </c>
      <c r="S66">
        <f t="shared" si="3"/>
        <v>0.43714121980454701</v>
      </c>
      <c r="T66">
        <f t="shared" si="4"/>
        <v>0.19109244605220729</v>
      </c>
    </row>
    <row r="67" spans="1:20" hidden="1" x14ac:dyDescent="0.25">
      <c r="A67" t="str">
        <f t="shared" ref="A67:A130" si="6">LEFT(B67,3)</f>
        <v>BAR</v>
      </c>
      <c r="B67" t="s">
        <v>73</v>
      </c>
      <c r="C67">
        <v>1.9051035080000001</v>
      </c>
      <c r="D67">
        <v>5.7950504E-2</v>
      </c>
      <c r="E67">
        <v>0.70906399600000003</v>
      </c>
      <c r="F67">
        <v>0.47793521999999999</v>
      </c>
      <c r="G67">
        <v>0.79274368500000003</v>
      </c>
      <c r="H67">
        <v>1.85</v>
      </c>
      <c r="I67">
        <v>1.45013873506372</v>
      </c>
      <c r="J67">
        <v>1.4014635386446801</v>
      </c>
      <c r="K67">
        <v>1.5757730676997399</v>
      </c>
      <c r="L67">
        <v>1.6829404852731999</v>
      </c>
      <c r="M67">
        <v>1.4258011368542001</v>
      </c>
      <c r="N67">
        <v>1.4255934073809799</v>
      </c>
      <c r="Q67">
        <f t="shared" si="5"/>
        <v>1.85</v>
      </c>
      <c r="R67">
        <f t="shared" ref="R67:R130" si="7">$X$2*F67+$X$3*D67*E67+($X$4/(D67-$X$5))-$X$6*C67</f>
        <v>1.3455203978130523</v>
      </c>
      <c r="S67">
        <f t="shared" ref="S67:S130" si="8">Q67-R67</f>
        <v>0.50447960218694776</v>
      </c>
      <c r="T67">
        <f t="shared" ref="T67:T130" si="9">S67^2</f>
        <v>0.25449966902270105</v>
      </c>
    </row>
    <row r="68" spans="1:20" hidden="1" x14ac:dyDescent="0.25">
      <c r="A68" t="str">
        <f t="shared" si="6"/>
        <v>BAR</v>
      </c>
      <c r="B68" t="s">
        <v>74</v>
      </c>
      <c r="C68">
        <v>2.0110152459999999</v>
      </c>
      <c r="D68">
        <v>5.602762E-2</v>
      </c>
      <c r="E68">
        <v>0.72229018300000003</v>
      </c>
      <c r="F68">
        <v>0.54293555800000004</v>
      </c>
      <c r="G68">
        <v>0.81826252300000002</v>
      </c>
      <c r="H68">
        <v>1.51</v>
      </c>
      <c r="I68">
        <v>1.5290224212608099</v>
      </c>
      <c r="J68">
        <v>1.50439809994582</v>
      </c>
      <c r="K68">
        <v>1.6645746382978099</v>
      </c>
      <c r="L68">
        <v>1.8558287036333101</v>
      </c>
      <c r="M68">
        <v>1.51671026060331</v>
      </c>
      <c r="N68">
        <v>1.5166602867218899</v>
      </c>
      <c r="Q68">
        <f t="shared" si="5"/>
        <v>1.51</v>
      </c>
      <c r="R68">
        <f t="shared" si="7"/>
        <v>1.465825310532701</v>
      </c>
      <c r="S68">
        <f t="shared" si="8"/>
        <v>4.4174689467298967E-2</v>
      </c>
      <c r="T68">
        <f t="shared" si="9"/>
        <v>1.9514031895322941E-3</v>
      </c>
    </row>
    <row r="69" spans="1:20" hidden="1" x14ac:dyDescent="0.25">
      <c r="A69" t="str">
        <f t="shared" si="6"/>
        <v>BAR</v>
      </c>
      <c r="B69" t="s">
        <v>75</v>
      </c>
      <c r="C69">
        <v>1.981442175</v>
      </c>
      <c r="D69">
        <v>5.7142435999999998E-2</v>
      </c>
      <c r="E69">
        <v>0.72209928300000004</v>
      </c>
      <c r="F69">
        <v>0.55582686400000003</v>
      </c>
      <c r="G69">
        <v>0.80988330100000006</v>
      </c>
      <c r="H69">
        <v>1.59</v>
      </c>
      <c r="I69">
        <v>1.6305437901056301</v>
      </c>
      <c r="J69">
        <v>1.6060028489828599</v>
      </c>
      <c r="K69">
        <v>1.76821771162335</v>
      </c>
      <c r="L69">
        <v>1.8938806332590601</v>
      </c>
      <c r="M69">
        <v>1.61827331954424</v>
      </c>
      <c r="N69">
        <v>1.61822679878346</v>
      </c>
      <c r="Q69">
        <f t="shared" si="5"/>
        <v>1.59</v>
      </c>
      <c r="R69">
        <f t="shared" si="7"/>
        <v>1.5818473021319988</v>
      </c>
      <c r="S69">
        <f t="shared" si="8"/>
        <v>8.152697868001324E-3</v>
      </c>
      <c r="T69">
        <f t="shared" si="9"/>
        <v>6.6466482526913334E-5</v>
      </c>
    </row>
    <row r="70" spans="1:20" hidden="1" x14ac:dyDescent="0.25">
      <c r="A70" t="str">
        <f t="shared" si="6"/>
        <v>BAR</v>
      </c>
      <c r="B70" t="s">
        <v>76</v>
      </c>
      <c r="C70">
        <v>2.0042034129999999</v>
      </c>
      <c r="D70">
        <v>5.6317119999999998E-2</v>
      </c>
      <c r="E70">
        <v>0.72225141299999995</v>
      </c>
      <c r="F70">
        <v>0.55911132900000005</v>
      </c>
      <c r="G70">
        <v>0.81112371800000005</v>
      </c>
      <c r="H70">
        <v>1.92</v>
      </c>
      <c r="I70">
        <v>1.60150906235956</v>
      </c>
      <c r="J70">
        <v>1.5770114260275001</v>
      </c>
      <c r="K70">
        <v>1.7800079198724099</v>
      </c>
      <c r="L70">
        <v>1.9462904077997101</v>
      </c>
      <c r="M70">
        <v>1.58926024419353</v>
      </c>
      <c r="N70">
        <v>1.58921304117088</v>
      </c>
      <c r="Q70">
        <f t="shared" si="5"/>
        <v>1.92</v>
      </c>
      <c r="R70">
        <f t="shared" si="7"/>
        <v>1.5498723912271606</v>
      </c>
      <c r="S70">
        <f t="shared" si="8"/>
        <v>0.37012760877283934</v>
      </c>
      <c r="T70">
        <f t="shared" si="9"/>
        <v>0.13699444677590003</v>
      </c>
    </row>
    <row r="71" spans="1:20" hidden="1" x14ac:dyDescent="0.25">
      <c r="A71" t="str">
        <f t="shared" si="6"/>
        <v>BAR</v>
      </c>
      <c r="B71" t="s">
        <v>77</v>
      </c>
      <c r="C71">
        <v>2.0502230410000002</v>
      </c>
      <c r="D71">
        <v>5.6849410000000003E-2</v>
      </c>
      <c r="E71">
        <v>0.72234973199999997</v>
      </c>
      <c r="F71">
        <v>0.56085812000000002</v>
      </c>
      <c r="G71">
        <v>0.81633772199999999</v>
      </c>
      <c r="H71">
        <v>1.61</v>
      </c>
      <c r="I71">
        <v>1.56298580299354</v>
      </c>
      <c r="J71">
        <v>1.54937970121154</v>
      </c>
      <c r="K71">
        <v>1.6458847771266401</v>
      </c>
      <c r="L71">
        <v>1.7838220587349001</v>
      </c>
      <c r="M71">
        <v>1.55618275210254</v>
      </c>
      <c r="N71">
        <v>1.55616788183024</v>
      </c>
      <c r="Q71">
        <f t="shared" si="5"/>
        <v>1.61</v>
      </c>
      <c r="R71">
        <f t="shared" si="7"/>
        <v>1.5135666893098265</v>
      </c>
      <c r="S71">
        <f t="shared" si="8"/>
        <v>9.6433310690173579E-2</v>
      </c>
      <c r="T71">
        <f t="shared" si="9"/>
        <v>9.2993834106675465E-3</v>
      </c>
    </row>
    <row r="72" spans="1:20" hidden="1" x14ac:dyDescent="0.25">
      <c r="A72" t="str">
        <f t="shared" si="6"/>
        <v>BAR</v>
      </c>
      <c r="B72" t="s">
        <v>78</v>
      </c>
      <c r="C72">
        <v>1.9369643160000001</v>
      </c>
      <c r="D72">
        <v>5.77656E-2</v>
      </c>
      <c r="E72">
        <v>0.71748715600000001</v>
      </c>
      <c r="F72">
        <v>0.50233123400000002</v>
      </c>
      <c r="G72">
        <v>0.81796795899999997</v>
      </c>
      <c r="H72">
        <v>1.2</v>
      </c>
      <c r="I72">
        <v>1.5042574963563899</v>
      </c>
      <c r="J72">
        <v>1.4634493762926399</v>
      </c>
      <c r="K72">
        <v>1.5883128750431299</v>
      </c>
      <c r="L72">
        <v>1.7250305779396</v>
      </c>
      <c r="M72">
        <v>1.4838534363245099</v>
      </c>
      <c r="N72">
        <v>1.4837131443868401</v>
      </c>
      <c r="Q72">
        <f t="shared" si="5"/>
        <v>1.2</v>
      </c>
      <c r="R72">
        <f t="shared" si="7"/>
        <v>1.4159167444727587</v>
      </c>
      <c r="S72">
        <f t="shared" si="8"/>
        <v>-0.21591674447275877</v>
      </c>
      <c r="T72">
        <f t="shared" si="9"/>
        <v>4.6620040543714603E-2</v>
      </c>
    </row>
    <row r="73" spans="1:20" hidden="1" x14ac:dyDescent="0.25">
      <c r="A73" t="str">
        <f t="shared" si="6"/>
        <v>BAR</v>
      </c>
      <c r="B73" t="s">
        <v>79</v>
      </c>
      <c r="C73">
        <v>2.062414865</v>
      </c>
      <c r="D73">
        <v>5.8191806999999998E-2</v>
      </c>
      <c r="E73">
        <v>0.70888245500000002</v>
      </c>
      <c r="F73">
        <v>0.53308891800000002</v>
      </c>
      <c r="G73">
        <v>0.80663855299999998</v>
      </c>
      <c r="H73">
        <v>1.61</v>
      </c>
      <c r="I73">
        <v>1.48384499036907</v>
      </c>
      <c r="J73">
        <v>1.45194400700249</v>
      </c>
      <c r="K73">
        <v>1.53517975352139</v>
      </c>
      <c r="L73">
        <v>1.6939708019909101</v>
      </c>
      <c r="M73">
        <v>1.46789449868578</v>
      </c>
      <c r="N73">
        <v>1.4678078352042601</v>
      </c>
      <c r="Q73">
        <f t="shared" si="5"/>
        <v>1.61</v>
      </c>
      <c r="R73">
        <f t="shared" si="7"/>
        <v>1.3962393783482536</v>
      </c>
      <c r="S73">
        <f t="shared" si="8"/>
        <v>0.21376062165174647</v>
      </c>
      <c r="T73">
        <f t="shared" si="9"/>
        <v>4.5693603368941106E-2</v>
      </c>
    </row>
    <row r="74" spans="1:20" hidden="1" x14ac:dyDescent="0.25">
      <c r="A74" t="str">
        <f t="shared" si="6"/>
        <v>BAR</v>
      </c>
      <c r="B74" t="s">
        <v>80</v>
      </c>
      <c r="C74">
        <v>2.0794557089999999</v>
      </c>
      <c r="D74">
        <v>5.7117086999999997E-2</v>
      </c>
      <c r="E74">
        <v>0.73120726400000002</v>
      </c>
      <c r="F74">
        <v>0.62812056199999999</v>
      </c>
      <c r="G74">
        <v>0.83238716499999998</v>
      </c>
      <c r="H74">
        <v>1.71</v>
      </c>
      <c r="I74">
        <v>1.7583728344421199</v>
      </c>
      <c r="J74">
        <v>1.78189734024837</v>
      </c>
      <c r="K74">
        <v>1.82073272624578</v>
      </c>
      <c r="L74">
        <v>1.7606384855311601</v>
      </c>
      <c r="M74">
        <v>1.7701350873452399</v>
      </c>
      <c r="N74">
        <v>1.77009600780788</v>
      </c>
      <c r="Q74">
        <f t="shared" si="5"/>
        <v>1.71</v>
      </c>
      <c r="R74">
        <f t="shared" si="7"/>
        <v>1.781443008754179</v>
      </c>
      <c r="S74">
        <f t="shared" si="8"/>
        <v>-7.1443008754179083E-2</v>
      </c>
      <c r="T74">
        <f t="shared" si="9"/>
        <v>5.104103499849709E-3</v>
      </c>
    </row>
    <row r="75" spans="1:20" hidden="1" x14ac:dyDescent="0.25">
      <c r="A75" t="str">
        <f t="shared" si="6"/>
        <v>BAR</v>
      </c>
      <c r="B75" t="s">
        <v>81</v>
      </c>
      <c r="C75">
        <v>1.957932389</v>
      </c>
      <c r="D75">
        <v>5.5483283000000001E-2</v>
      </c>
      <c r="E75">
        <v>0.73377129699999999</v>
      </c>
      <c r="F75">
        <v>0.61063823500000003</v>
      </c>
      <c r="G75">
        <v>0.83571144799999997</v>
      </c>
      <c r="H75">
        <v>1.84</v>
      </c>
      <c r="I75">
        <v>1.7985805936450401</v>
      </c>
      <c r="J75">
        <v>1.8050690949029</v>
      </c>
      <c r="K75">
        <v>1.9173202559221401</v>
      </c>
      <c r="L75">
        <v>1.8746220746909501</v>
      </c>
      <c r="M75">
        <v>1.8018248442739699</v>
      </c>
      <c r="N75">
        <v>1.8018219235764601</v>
      </c>
      <c r="Q75">
        <f t="shared" si="5"/>
        <v>1.84</v>
      </c>
      <c r="R75">
        <f t="shared" si="7"/>
        <v>1.8196548178036758</v>
      </c>
      <c r="S75">
        <f t="shared" si="8"/>
        <v>2.0345182196324307E-2</v>
      </c>
      <c r="T75">
        <f t="shared" si="9"/>
        <v>4.1392643860163158E-4</v>
      </c>
    </row>
    <row r="76" spans="1:20" hidden="1" x14ac:dyDescent="0.25">
      <c r="A76" t="str">
        <f t="shared" si="6"/>
        <v>BAR</v>
      </c>
      <c r="B76" t="s">
        <v>82</v>
      </c>
      <c r="C76">
        <v>2.013479233</v>
      </c>
      <c r="D76">
        <v>5.3834646999999999E-2</v>
      </c>
      <c r="E76">
        <v>0.71869808599999996</v>
      </c>
      <c r="F76">
        <v>0.57380351399999996</v>
      </c>
      <c r="G76">
        <v>0.82395622599999996</v>
      </c>
      <c r="H76">
        <v>1.21</v>
      </c>
      <c r="I76">
        <v>1.5977302651454599</v>
      </c>
      <c r="J76">
        <v>1.56385783614434</v>
      </c>
      <c r="K76">
        <v>1.7406787997187301</v>
      </c>
      <c r="L76">
        <v>1.8022088983528599</v>
      </c>
      <c r="M76">
        <v>1.5807940506449001</v>
      </c>
      <c r="N76">
        <v>1.5807033229523799</v>
      </c>
      <c r="Q76">
        <f t="shared" si="5"/>
        <v>1.21</v>
      </c>
      <c r="R76">
        <f t="shared" si="7"/>
        <v>1.543150351301275</v>
      </c>
      <c r="S76">
        <f t="shared" si="8"/>
        <v>-0.33315035130127502</v>
      </c>
      <c r="T76">
        <f t="shared" si="9"/>
        <v>0.11098915657216296</v>
      </c>
    </row>
    <row r="77" spans="1:20" hidden="1" x14ac:dyDescent="0.25">
      <c r="A77" t="str">
        <f t="shared" si="6"/>
        <v>BAR</v>
      </c>
      <c r="B77" t="s">
        <v>83</v>
      </c>
      <c r="C77">
        <v>1.63004342</v>
      </c>
      <c r="D77">
        <v>6.2854276000000001E-2</v>
      </c>
      <c r="E77">
        <v>0.68014190699999999</v>
      </c>
      <c r="F77">
        <v>0.36387412600000002</v>
      </c>
      <c r="G77">
        <v>0.73799400900000001</v>
      </c>
      <c r="H77">
        <v>1.1100000000000001</v>
      </c>
      <c r="I77">
        <v>1.37593221223388</v>
      </c>
      <c r="J77">
        <v>1.33933099200671</v>
      </c>
      <c r="K77">
        <v>1.48479554865887</v>
      </c>
      <c r="L77">
        <v>1.24443694575667</v>
      </c>
      <c r="M77">
        <v>1.3576316021203001</v>
      </c>
      <c r="N77">
        <v>1.3575082521830899</v>
      </c>
      <c r="Q77">
        <f t="shared" si="5"/>
        <v>1.1100000000000001</v>
      </c>
      <c r="R77">
        <f t="shared" si="7"/>
        <v>1.2715279445303389</v>
      </c>
      <c r="S77">
        <f t="shared" si="8"/>
        <v>-0.16152794453033881</v>
      </c>
      <c r="T77">
        <f t="shared" si="9"/>
        <v>2.6091276864196211E-2</v>
      </c>
    </row>
    <row r="78" spans="1:20" hidden="1" x14ac:dyDescent="0.25">
      <c r="A78" t="str">
        <f t="shared" si="6"/>
        <v>BAR</v>
      </c>
      <c r="B78" t="s">
        <v>84</v>
      </c>
      <c r="C78">
        <v>1.6728838779999999</v>
      </c>
      <c r="D78">
        <v>6.2136612000000001E-2</v>
      </c>
      <c r="E78">
        <v>0.67576839700000002</v>
      </c>
      <c r="F78">
        <v>0.38857597700000002</v>
      </c>
      <c r="G78">
        <v>0.74754177700000002</v>
      </c>
      <c r="H78">
        <v>1.1000000000000001</v>
      </c>
      <c r="I78">
        <v>1.4332967989091701</v>
      </c>
      <c r="J78">
        <v>1.36592380574762</v>
      </c>
      <c r="K78">
        <v>1.5365738673270599</v>
      </c>
      <c r="L78">
        <v>1.3677505866864199</v>
      </c>
      <c r="M78">
        <v>1.3996103023283999</v>
      </c>
      <c r="N78">
        <v>1.3992048521685101</v>
      </c>
      <c r="Q78">
        <f t="shared" si="5"/>
        <v>1.1000000000000001</v>
      </c>
      <c r="R78">
        <f t="shared" si="7"/>
        <v>1.3039655758383883</v>
      </c>
      <c r="S78">
        <f t="shared" si="8"/>
        <v>-0.20396557583838826</v>
      </c>
      <c r="T78">
        <f t="shared" si="9"/>
        <v>4.160195612708531E-2</v>
      </c>
    </row>
    <row r="79" spans="1:20" hidden="1" x14ac:dyDescent="0.25">
      <c r="A79" t="str">
        <f t="shared" si="6"/>
        <v>BAR</v>
      </c>
      <c r="B79" t="s">
        <v>85</v>
      </c>
      <c r="C79">
        <v>1.483568416</v>
      </c>
      <c r="D79">
        <v>5.9217860999999997E-2</v>
      </c>
      <c r="E79">
        <v>0.67314918099999999</v>
      </c>
      <c r="F79">
        <v>0.37307565100000001</v>
      </c>
      <c r="G79">
        <v>0.75259757900000002</v>
      </c>
      <c r="H79">
        <v>1.24</v>
      </c>
      <c r="I79">
        <v>1.55468827205689</v>
      </c>
      <c r="J79">
        <v>1.4298250371261501</v>
      </c>
      <c r="K79">
        <v>1.7761886807401801</v>
      </c>
      <c r="L79">
        <v>1.49250209696748</v>
      </c>
      <c r="M79">
        <v>1.4922566545915199</v>
      </c>
      <c r="N79">
        <v>1.4909501052393801</v>
      </c>
      <c r="Q79">
        <f t="shared" si="5"/>
        <v>1.24</v>
      </c>
      <c r="R79">
        <f t="shared" si="7"/>
        <v>1.3986028565160047</v>
      </c>
      <c r="S79">
        <f t="shared" si="8"/>
        <v>-0.1586028565160047</v>
      </c>
      <c r="T79">
        <f t="shared" si="9"/>
        <v>2.5154866095036373E-2</v>
      </c>
    </row>
    <row r="80" spans="1:20" hidden="1" x14ac:dyDescent="0.25">
      <c r="A80" t="str">
        <f t="shared" si="6"/>
        <v>BAR</v>
      </c>
      <c r="B80" t="s">
        <v>86</v>
      </c>
      <c r="C80">
        <v>1.629229587</v>
      </c>
      <c r="D80">
        <v>6.3248555999999997E-2</v>
      </c>
      <c r="E80">
        <v>0.68411206099999999</v>
      </c>
      <c r="F80">
        <v>0.38341883399999999</v>
      </c>
      <c r="G80">
        <v>0.75329479600000004</v>
      </c>
      <c r="H80">
        <v>1.1000000000000001</v>
      </c>
      <c r="I80">
        <v>1.4798612349192699</v>
      </c>
      <c r="J80">
        <v>1.42544005746986</v>
      </c>
      <c r="K80">
        <v>1.5987333608760399</v>
      </c>
      <c r="L80">
        <v>1.4166669932826901</v>
      </c>
      <c r="M80">
        <v>1.4526506461945601</v>
      </c>
      <c r="N80">
        <v>1.4523957737995301</v>
      </c>
      <c r="Q80">
        <f t="shared" si="5"/>
        <v>1.1000000000000001</v>
      </c>
      <c r="R80">
        <f t="shared" si="7"/>
        <v>1.3699419398754034</v>
      </c>
      <c r="S80">
        <f t="shared" si="8"/>
        <v>-0.26994193987540327</v>
      </c>
      <c r="T80">
        <f t="shared" si="9"/>
        <v>7.2868650903695834E-2</v>
      </c>
    </row>
    <row r="81" spans="1:20" hidden="1" x14ac:dyDescent="0.25">
      <c r="A81" t="str">
        <f t="shared" si="6"/>
        <v>BAR</v>
      </c>
      <c r="B81" t="s">
        <v>87</v>
      </c>
      <c r="C81">
        <v>1.7191191669999999</v>
      </c>
      <c r="D81">
        <v>6.0172297E-2</v>
      </c>
      <c r="E81">
        <v>0.67471551600000002</v>
      </c>
      <c r="F81">
        <v>0.43207925699999999</v>
      </c>
      <c r="G81">
        <v>0.772532</v>
      </c>
      <c r="H81">
        <v>1.34</v>
      </c>
      <c r="I81">
        <v>1.5436296572313299</v>
      </c>
      <c r="J81">
        <v>1.43382127610801</v>
      </c>
      <c r="K81">
        <v>1.6277883237588699</v>
      </c>
      <c r="L81">
        <v>1.5399957833753199</v>
      </c>
      <c r="M81">
        <v>1.4887254666696701</v>
      </c>
      <c r="N81">
        <v>1.48771268898588</v>
      </c>
      <c r="Q81">
        <f t="shared" si="5"/>
        <v>1.34</v>
      </c>
      <c r="R81">
        <f t="shared" si="7"/>
        <v>1.3885687424316098</v>
      </c>
      <c r="S81">
        <f t="shared" si="8"/>
        <v>-4.8568742431609691E-2</v>
      </c>
      <c r="T81">
        <f t="shared" si="9"/>
        <v>2.3589227413880437E-3</v>
      </c>
    </row>
    <row r="82" spans="1:20" hidden="1" x14ac:dyDescent="0.25">
      <c r="A82" t="str">
        <f t="shared" si="6"/>
        <v>BAR</v>
      </c>
      <c r="B82" t="s">
        <v>88</v>
      </c>
      <c r="C82">
        <v>1.565044898</v>
      </c>
      <c r="D82">
        <v>6.7378503000000006E-2</v>
      </c>
      <c r="E82">
        <v>0.66373685599999999</v>
      </c>
      <c r="F82">
        <v>0.372338261</v>
      </c>
      <c r="G82">
        <v>0.74326423799999997</v>
      </c>
      <c r="H82">
        <v>0.93</v>
      </c>
      <c r="I82">
        <v>1.58497885903481</v>
      </c>
      <c r="J82">
        <v>1.5247054426975699</v>
      </c>
      <c r="K82">
        <v>1.5630171644098301</v>
      </c>
      <c r="L82">
        <v>1.3403815525634299</v>
      </c>
      <c r="M82">
        <v>1.55484215086619</v>
      </c>
      <c r="N82">
        <v>1.55455006124954</v>
      </c>
      <c r="Q82">
        <f t="shared" si="5"/>
        <v>0.93</v>
      </c>
      <c r="R82">
        <f t="shared" si="7"/>
        <v>1.4749891383976901</v>
      </c>
      <c r="S82">
        <f t="shared" si="8"/>
        <v>-0.54498913839769003</v>
      </c>
      <c r="T82">
        <f t="shared" si="9"/>
        <v>0.29701316097145652</v>
      </c>
    </row>
    <row r="83" spans="1:20" hidden="1" x14ac:dyDescent="0.25">
      <c r="A83" t="str">
        <f t="shared" si="6"/>
        <v>BAR</v>
      </c>
      <c r="B83" t="s">
        <v>89</v>
      </c>
      <c r="C83">
        <v>1.6818119840000001</v>
      </c>
      <c r="D83">
        <v>5.9473763999999998E-2</v>
      </c>
      <c r="E83">
        <v>0.68175948200000003</v>
      </c>
      <c r="F83">
        <v>0.41589219999999999</v>
      </c>
      <c r="G83">
        <v>0.76681053799999999</v>
      </c>
      <c r="H83">
        <v>1.01</v>
      </c>
      <c r="I83">
        <v>1.5026003242514601</v>
      </c>
      <c r="J83">
        <v>1.4033268884240699</v>
      </c>
      <c r="K83">
        <v>1.65269956115323</v>
      </c>
      <c r="L83">
        <v>1.5505391679548799</v>
      </c>
      <c r="M83">
        <v>1.45296360633776</v>
      </c>
      <c r="N83">
        <v>1.45211550421335</v>
      </c>
      <c r="Q83">
        <f t="shared" si="5"/>
        <v>1.01</v>
      </c>
      <c r="R83">
        <f t="shared" si="7"/>
        <v>1.3563057372243916</v>
      </c>
      <c r="S83">
        <f t="shared" si="8"/>
        <v>-0.34630573722439162</v>
      </c>
      <c r="T83">
        <f t="shared" si="9"/>
        <v>0.11992766363452938</v>
      </c>
    </row>
    <row r="84" spans="1:20" hidden="1" x14ac:dyDescent="0.25">
      <c r="A84" t="str">
        <f t="shared" si="6"/>
        <v>BAR</v>
      </c>
      <c r="B84" t="s">
        <v>90</v>
      </c>
      <c r="C84">
        <v>1.8388303070000001</v>
      </c>
      <c r="D84">
        <v>5.9290546999999999E-2</v>
      </c>
      <c r="E84">
        <v>0.71863395100000005</v>
      </c>
      <c r="F84">
        <v>0.50580020800000003</v>
      </c>
      <c r="G84">
        <v>0.80442944599999999</v>
      </c>
      <c r="H84">
        <v>1.64</v>
      </c>
      <c r="I84">
        <v>1.65046674205621</v>
      </c>
      <c r="J84">
        <v>1.61011605567258</v>
      </c>
      <c r="K84">
        <v>1.67973458677443</v>
      </c>
      <c r="L84">
        <v>1.6447464609698901</v>
      </c>
      <c r="M84">
        <v>1.6302913988643899</v>
      </c>
      <c r="N84">
        <v>1.6301665561341601</v>
      </c>
      <c r="Q84">
        <f t="shared" si="5"/>
        <v>1.64</v>
      </c>
      <c r="R84">
        <f t="shared" si="7"/>
        <v>1.5859233169257396</v>
      </c>
      <c r="S84">
        <f t="shared" si="8"/>
        <v>5.4076683074260279E-2</v>
      </c>
      <c r="T84">
        <f t="shared" si="9"/>
        <v>2.9242876523139882E-3</v>
      </c>
    </row>
    <row r="85" spans="1:20" hidden="1" x14ac:dyDescent="0.25">
      <c r="A85" t="str">
        <f t="shared" si="6"/>
        <v>BAR</v>
      </c>
      <c r="B85" t="s">
        <v>91</v>
      </c>
      <c r="C85">
        <v>1.8141778420000001</v>
      </c>
      <c r="D85">
        <v>5.6795138000000002E-2</v>
      </c>
      <c r="E85">
        <v>0.71990254200000003</v>
      </c>
      <c r="F85">
        <v>0.50522555700000005</v>
      </c>
      <c r="G85">
        <v>0.80302094099999999</v>
      </c>
      <c r="H85">
        <v>1.53</v>
      </c>
      <c r="I85">
        <v>1.6340461160825299</v>
      </c>
      <c r="J85">
        <v>1.5774972035379999</v>
      </c>
      <c r="K85">
        <v>1.6895668558608501</v>
      </c>
      <c r="L85">
        <v>1.6330783996224001</v>
      </c>
      <c r="M85">
        <v>1.60577165981027</v>
      </c>
      <c r="N85">
        <v>1.6055227119453399</v>
      </c>
      <c r="Q85">
        <f t="shared" si="5"/>
        <v>1.53</v>
      </c>
      <c r="R85">
        <f t="shared" si="7"/>
        <v>1.5579236341346676</v>
      </c>
      <c r="S85">
        <f t="shared" si="8"/>
        <v>-2.7923634134667585E-2</v>
      </c>
      <c r="T85">
        <f t="shared" si="9"/>
        <v>7.7972934328677276E-4</v>
      </c>
    </row>
    <row r="86" spans="1:20" hidden="1" x14ac:dyDescent="0.25">
      <c r="A86" t="str">
        <f t="shared" si="6"/>
        <v>BAR</v>
      </c>
      <c r="B86" t="s">
        <v>92</v>
      </c>
      <c r="C86">
        <v>1.7914975740000001</v>
      </c>
      <c r="D86">
        <v>5.9454280999999998E-2</v>
      </c>
      <c r="E86">
        <v>0.66925929299999998</v>
      </c>
      <c r="F86">
        <v>0.400617204</v>
      </c>
      <c r="G86">
        <v>0.74926751599999997</v>
      </c>
      <c r="H86">
        <v>1.02</v>
      </c>
      <c r="I86">
        <v>1.3046315886180799</v>
      </c>
      <c r="J86">
        <v>1.22429312245942</v>
      </c>
      <c r="K86">
        <v>1.4084998953460399</v>
      </c>
      <c r="L86">
        <v>1.33535711335102</v>
      </c>
      <c r="M86">
        <v>1.26446235553875</v>
      </c>
      <c r="N86">
        <v>1.26382414966973</v>
      </c>
      <c r="Q86">
        <f t="shared" si="5"/>
        <v>1.02</v>
      </c>
      <c r="R86">
        <f t="shared" si="7"/>
        <v>1.1440228717310088</v>
      </c>
      <c r="S86">
        <f t="shared" si="8"/>
        <v>-0.12402287173100879</v>
      </c>
      <c r="T86">
        <f t="shared" si="9"/>
        <v>1.5381672712406258E-2</v>
      </c>
    </row>
    <row r="87" spans="1:20" hidden="1" x14ac:dyDescent="0.25">
      <c r="A87" t="str">
        <f t="shared" si="6"/>
        <v>BAR</v>
      </c>
      <c r="B87" t="s">
        <v>93</v>
      </c>
      <c r="C87">
        <v>1.8190176199999999</v>
      </c>
      <c r="D87">
        <v>5.9667323000000001E-2</v>
      </c>
      <c r="E87">
        <v>0.69264033000000003</v>
      </c>
      <c r="F87">
        <v>0.417879585</v>
      </c>
      <c r="G87">
        <v>0.77481566999999996</v>
      </c>
      <c r="H87">
        <v>1.24</v>
      </c>
      <c r="I87">
        <v>1.3452358205752599</v>
      </c>
      <c r="J87">
        <v>1.2889407027747499</v>
      </c>
      <c r="K87">
        <v>1.3612241586962901</v>
      </c>
      <c r="L87">
        <v>1.2670938503635001</v>
      </c>
      <c r="M87">
        <v>1.3170882616750099</v>
      </c>
      <c r="N87">
        <v>1.31678745588271</v>
      </c>
      <c r="Q87">
        <f t="shared" si="5"/>
        <v>1.24</v>
      </c>
      <c r="R87">
        <f t="shared" si="7"/>
        <v>1.2141869260604743</v>
      </c>
      <c r="S87">
        <f t="shared" si="8"/>
        <v>2.5813073939525699E-2</v>
      </c>
      <c r="T87">
        <f t="shared" si="9"/>
        <v>6.6631478620742077E-4</v>
      </c>
    </row>
    <row r="88" spans="1:20" hidden="1" x14ac:dyDescent="0.25">
      <c r="A88" t="str">
        <f t="shared" si="6"/>
        <v>BAR</v>
      </c>
      <c r="B88" t="s">
        <v>94</v>
      </c>
      <c r="C88">
        <v>1.89962582</v>
      </c>
      <c r="D88">
        <v>5.3293588000000003E-2</v>
      </c>
      <c r="E88">
        <v>0.72815325900000005</v>
      </c>
      <c r="F88">
        <v>0.55450729799999998</v>
      </c>
      <c r="G88">
        <v>0.81984469299999996</v>
      </c>
      <c r="H88">
        <v>1.54</v>
      </c>
      <c r="I88">
        <v>1.64334303574399</v>
      </c>
      <c r="J88">
        <v>1.60385633257713</v>
      </c>
      <c r="K88">
        <v>1.69630475517188</v>
      </c>
      <c r="L88">
        <v>1.5979688938747501</v>
      </c>
      <c r="M88">
        <v>1.62359968416056</v>
      </c>
      <c r="N88">
        <v>1.6234796378379699</v>
      </c>
      <c r="Q88">
        <f t="shared" si="5"/>
        <v>1.54</v>
      </c>
      <c r="R88">
        <f t="shared" si="7"/>
        <v>1.5958143690799851</v>
      </c>
      <c r="S88">
        <f t="shared" si="8"/>
        <v>-5.5814369079985049E-2</v>
      </c>
      <c r="T88">
        <f t="shared" si="9"/>
        <v>3.1152437957967911E-3</v>
      </c>
    </row>
    <row r="89" spans="1:20" hidden="1" x14ac:dyDescent="0.25">
      <c r="A89" t="str">
        <f t="shared" si="6"/>
        <v>BAR</v>
      </c>
      <c r="B89" t="s">
        <v>95</v>
      </c>
      <c r="C89">
        <v>1.800473993</v>
      </c>
      <c r="D89">
        <v>5.4027264999999998E-2</v>
      </c>
      <c r="E89">
        <v>0.70193665400000005</v>
      </c>
      <c r="F89">
        <v>0.46837821699999999</v>
      </c>
      <c r="G89">
        <v>0.78982754099999997</v>
      </c>
      <c r="H89">
        <v>1.38</v>
      </c>
      <c r="I89">
        <v>1.4763467731148101</v>
      </c>
      <c r="J89">
        <v>1.3782337336607799</v>
      </c>
      <c r="K89">
        <v>1.63635614588777</v>
      </c>
      <c r="L89">
        <v>1.59612299265331</v>
      </c>
      <c r="M89">
        <v>1.42729025338779</v>
      </c>
      <c r="N89">
        <v>1.4264469584558901</v>
      </c>
      <c r="Q89">
        <f t="shared" si="5"/>
        <v>1.38</v>
      </c>
      <c r="R89">
        <f t="shared" si="7"/>
        <v>1.3378980199486192</v>
      </c>
      <c r="S89">
        <f t="shared" si="8"/>
        <v>4.2101980051380661E-2</v>
      </c>
      <c r="T89">
        <f t="shared" si="9"/>
        <v>1.7725767242468551E-3</v>
      </c>
    </row>
    <row r="90" spans="1:20" hidden="1" x14ac:dyDescent="0.25">
      <c r="A90" t="str">
        <f t="shared" si="6"/>
        <v>BAR</v>
      </c>
      <c r="B90" t="s">
        <v>96</v>
      </c>
      <c r="C90">
        <v>1.694752064</v>
      </c>
      <c r="D90">
        <v>5.9424360000000002E-2</v>
      </c>
      <c r="E90">
        <v>0.69414196900000003</v>
      </c>
      <c r="F90">
        <v>0.44858035200000002</v>
      </c>
      <c r="G90">
        <v>0.78079934100000004</v>
      </c>
      <c r="H90">
        <v>1.29</v>
      </c>
      <c r="I90">
        <v>1.6156161027620299</v>
      </c>
      <c r="J90">
        <v>1.5220221243440299</v>
      </c>
      <c r="K90">
        <v>1.7507682503464399</v>
      </c>
      <c r="L90">
        <v>1.6821008608276</v>
      </c>
      <c r="M90">
        <v>1.5688191135530301</v>
      </c>
      <c r="N90">
        <v>1.5681209943273799</v>
      </c>
      <c r="Q90">
        <f t="shared" si="5"/>
        <v>1.29</v>
      </c>
      <c r="R90">
        <f t="shared" si="7"/>
        <v>1.4927080210444728</v>
      </c>
      <c r="S90">
        <f t="shared" si="8"/>
        <v>-0.20270802104447272</v>
      </c>
      <c r="T90">
        <f t="shared" si="9"/>
        <v>4.1090541795766392E-2</v>
      </c>
    </row>
    <row r="91" spans="1:20" hidden="1" x14ac:dyDescent="0.25">
      <c r="A91" t="str">
        <f t="shared" si="6"/>
        <v>BAR</v>
      </c>
      <c r="B91" t="s">
        <v>97</v>
      </c>
      <c r="C91">
        <v>1.658890693</v>
      </c>
      <c r="D91">
        <v>5.7988309000000002E-2</v>
      </c>
      <c r="E91">
        <v>0.684960499</v>
      </c>
      <c r="F91">
        <v>0.44009667400000002</v>
      </c>
      <c r="G91">
        <v>0.76376829999999996</v>
      </c>
      <c r="H91">
        <v>1.04</v>
      </c>
      <c r="I91">
        <v>1.60795196831762</v>
      </c>
      <c r="J91">
        <v>1.4854579365110201</v>
      </c>
      <c r="K91">
        <v>1.7818368357488401</v>
      </c>
      <c r="L91">
        <v>1.68507931517597</v>
      </c>
      <c r="M91">
        <v>1.5467049524143199</v>
      </c>
      <c r="N91">
        <v>1.5454918352634299</v>
      </c>
      <c r="Q91">
        <f t="shared" si="5"/>
        <v>1.04</v>
      </c>
      <c r="R91">
        <f t="shared" si="7"/>
        <v>1.4581485957636646</v>
      </c>
      <c r="S91">
        <f t="shared" si="8"/>
        <v>-0.41814859576366459</v>
      </c>
      <c r="T91">
        <f t="shared" si="9"/>
        <v>0.17484824813912458</v>
      </c>
    </row>
    <row r="92" spans="1:20" hidden="1" x14ac:dyDescent="0.25">
      <c r="A92" t="str">
        <f t="shared" si="6"/>
        <v>BAR</v>
      </c>
      <c r="B92" t="s">
        <v>98</v>
      </c>
      <c r="C92">
        <v>1.869076266</v>
      </c>
      <c r="D92">
        <v>4.6281325999999998E-2</v>
      </c>
      <c r="E92">
        <v>0.71815795100000002</v>
      </c>
      <c r="F92">
        <v>0.60350675099999995</v>
      </c>
      <c r="G92">
        <v>0.81569288799999995</v>
      </c>
      <c r="H92">
        <v>1.41</v>
      </c>
      <c r="I92">
        <v>1.7383244660397701</v>
      </c>
      <c r="J92">
        <v>1.65908103792592</v>
      </c>
      <c r="K92">
        <v>1.9533038149703601</v>
      </c>
      <c r="L92">
        <v>1.8465189438760301</v>
      </c>
      <c r="M92">
        <v>1.6987027519828399</v>
      </c>
      <c r="N92">
        <v>1.69824060703108</v>
      </c>
      <c r="Q92">
        <f t="shared" si="5"/>
        <v>1.41</v>
      </c>
      <c r="R92">
        <f t="shared" si="7"/>
        <v>1.6853790944864717</v>
      </c>
      <c r="S92">
        <f t="shared" si="8"/>
        <v>-0.2753790944864718</v>
      </c>
      <c r="T92">
        <f t="shared" si="9"/>
        <v>7.583364568018916E-2</v>
      </c>
    </row>
    <row r="93" spans="1:20" hidden="1" x14ac:dyDescent="0.25">
      <c r="A93" t="str">
        <f t="shared" si="6"/>
        <v>BAR</v>
      </c>
      <c r="B93" t="s">
        <v>99</v>
      </c>
      <c r="C93">
        <v>2.1546249030000002</v>
      </c>
      <c r="D93">
        <v>4.1783712000000001E-2</v>
      </c>
      <c r="E93">
        <v>0.72604965600000004</v>
      </c>
      <c r="F93">
        <v>0.63080075800000002</v>
      </c>
      <c r="G93">
        <v>0.83522819199999998</v>
      </c>
      <c r="H93">
        <v>2.46</v>
      </c>
      <c r="I93">
        <v>1.4197315480224799</v>
      </c>
      <c r="J93">
        <v>1.3901769781286299</v>
      </c>
      <c r="K93">
        <v>1.61315512567147</v>
      </c>
      <c r="L93">
        <v>1.3965912182626501</v>
      </c>
      <c r="M93">
        <v>1.40495426307555</v>
      </c>
      <c r="N93">
        <v>1.4048765473107501</v>
      </c>
      <c r="Q93">
        <f t="shared" si="5"/>
        <v>2.46</v>
      </c>
      <c r="R93">
        <f t="shared" si="7"/>
        <v>1.3707954838663681</v>
      </c>
      <c r="S93">
        <f t="shared" si="8"/>
        <v>1.0892045161336319</v>
      </c>
      <c r="T93">
        <f t="shared" si="9"/>
        <v>1.1863664779658991</v>
      </c>
    </row>
    <row r="94" spans="1:20" hidden="1" x14ac:dyDescent="0.25">
      <c r="A94" t="str">
        <f t="shared" si="6"/>
        <v>BAR</v>
      </c>
      <c r="B94" t="s">
        <v>100</v>
      </c>
      <c r="C94">
        <v>1.9617734579999999</v>
      </c>
      <c r="D94">
        <v>4.6087333000000001E-2</v>
      </c>
      <c r="E94">
        <v>0.71903519900000001</v>
      </c>
      <c r="F94">
        <v>0.61199974599999996</v>
      </c>
      <c r="G94">
        <v>0.81790159500000004</v>
      </c>
      <c r="H94">
        <v>2.0699999999999998</v>
      </c>
      <c r="I94">
        <v>1.6590144093592001</v>
      </c>
      <c r="J94">
        <v>1.59435564207173</v>
      </c>
      <c r="K94">
        <v>1.8579254631553701</v>
      </c>
      <c r="L94">
        <v>1.7602514293656699</v>
      </c>
      <c r="M94">
        <v>1.6266850257154699</v>
      </c>
      <c r="N94">
        <v>1.62636373048594</v>
      </c>
      <c r="Q94">
        <f t="shared" si="5"/>
        <v>2.0699999999999998</v>
      </c>
      <c r="R94">
        <f t="shared" si="7"/>
        <v>1.6060060096279609</v>
      </c>
      <c r="S94">
        <f t="shared" si="8"/>
        <v>0.46399399037203892</v>
      </c>
      <c r="T94">
        <f t="shared" si="9"/>
        <v>0.21529042310136776</v>
      </c>
    </row>
    <row r="95" spans="1:20" hidden="1" x14ac:dyDescent="0.25">
      <c r="A95" t="str">
        <f t="shared" si="6"/>
        <v>BAR</v>
      </c>
      <c r="B95" t="s">
        <v>101</v>
      </c>
      <c r="C95">
        <v>1.7942087840000001</v>
      </c>
      <c r="D95">
        <v>4.2517737999999999E-2</v>
      </c>
      <c r="E95">
        <v>0.73481021300000005</v>
      </c>
      <c r="F95">
        <v>0.70814647799999997</v>
      </c>
      <c r="G95">
        <v>0.84672644500000005</v>
      </c>
      <c r="H95">
        <v>1.84</v>
      </c>
      <c r="I95">
        <v>2.0277947736753101</v>
      </c>
      <c r="J95">
        <v>2.0555374592465299</v>
      </c>
      <c r="K95">
        <v>2.4951591542210001</v>
      </c>
      <c r="L95">
        <v>2.2428771078860699</v>
      </c>
      <c r="M95">
        <v>2.0416661164609202</v>
      </c>
      <c r="N95">
        <v>2.0416189940715999</v>
      </c>
      <c r="Q95">
        <f t="shared" si="5"/>
        <v>1.84</v>
      </c>
      <c r="R95">
        <f t="shared" si="7"/>
        <v>2.1611662766229913</v>
      </c>
      <c r="S95">
        <f t="shared" si="8"/>
        <v>-0.32116627662299124</v>
      </c>
      <c r="T95">
        <f t="shared" si="9"/>
        <v>0.10314777723987573</v>
      </c>
    </row>
    <row r="96" spans="1:20" hidden="1" x14ac:dyDescent="0.25">
      <c r="A96" t="str">
        <f t="shared" si="6"/>
        <v>BAR</v>
      </c>
      <c r="B96" t="s">
        <v>102</v>
      </c>
      <c r="C96">
        <v>1.9163349380000001</v>
      </c>
      <c r="D96">
        <v>4.4384018999999997E-2</v>
      </c>
      <c r="E96">
        <v>0.74091427600000004</v>
      </c>
      <c r="F96">
        <v>0.69194433</v>
      </c>
      <c r="G96">
        <v>0.84531385000000003</v>
      </c>
      <c r="H96">
        <v>2.69</v>
      </c>
      <c r="I96">
        <v>1.8889379768446599</v>
      </c>
      <c r="J96">
        <v>1.9159887988543101</v>
      </c>
      <c r="K96">
        <v>2.1608918052428199</v>
      </c>
      <c r="L96">
        <v>1.95729772219506</v>
      </c>
      <c r="M96">
        <v>1.9024633878494901</v>
      </c>
      <c r="N96">
        <v>1.9024153083291</v>
      </c>
      <c r="Q96">
        <f t="shared" si="5"/>
        <v>2.69</v>
      </c>
      <c r="R96">
        <f t="shared" si="7"/>
        <v>1.9863939304897942</v>
      </c>
      <c r="S96">
        <f t="shared" si="8"/>
        <v>0.70360606951020577</v>
      </c>
      <c r="T96">
        <f t="shared" si="9"/>
        <v>0.49506150105160052</v>
      </c>
    </row>
    <row r="97" spans="1:20" hidden="1" x14ac:dyDescent="0.25">
      <c r="A97" t="str">
        <f t="shared" si="6"/>
        <v>BAR</v>
      </c>
      <c r="B97" t="s">
        <v>103</v>
      </c>
      <c r="C97">
        <v>1.881004677</v>
      </c>
      <c r="D97">
        <v>4.7424519999999998E-2</v>
      </c>
      <c r="E97">
        <v>0.72264294799999995</v>
      </c>
      <c r="F97">
        <v>0.60951812299999997</v>
      </c>
      <c r="G97">
        <v>0.8259069</v>
      </c>
      <c r="H97">
        <v>1.89</v>
      </c>
      <c r="I97">
        <v>1.74720270092751</v>
      </c>
      <c r="J97">
        <v>1.6961072013540399</v>
      </c>
      <c r="K97">
        <v>1.89419558312492</v>
      </c>
      <c r="L97">
        <v>1.7730140730622299</v>
      </c>
      <c r="M97">
        <v>1.7216549511407699</v>
      </c>
      <c r="N97">
        <v>1.7214653883445801</v>
      </c>
      <c r="Q97">
        <f t="shared" si="5"/>
        <v>1.89</v>
      </c>
      <c r="R97">
        <f t="shared" si="7"/>
        <v>1.7240281904501518</v>
      </c>
      <c r="S97">
        <f t="shared" si="8"/>
        <v>0.16597180954984814</v>
      </c>
      <c r="T97">
        <f t="shared" si="9"/>
        <v>2.7546641565251061E-2</v>
      </c>
    </row>
    <row r="98" spans="1:20" hidden="1" x14ac:dyDescent="0.25">
      <c r="A98" t="str">
        <f t="shared" si="6"/>
        <v>BAR</v>
      </c>
      <c r="B98" t="s">
        <v>104</v>
      </c>
      <c r="C98">
        <v>2.0122518359999999</v>
      </c>
      <c r="D98">
        <v>4.5566064000000003E-2</v>
      </c>
      <c r="E98">
        <v>0.71935839199999996</v>
      </c>
      <c r="F98">
        <v>0.60810497399999996</v>
      </c>
      <c r="G98">
        <v>0.82196607399999999</v>
      </c>
      <c r="H98">
        <v>2.4700000000000002</v>
      </c>
      <c r="I98">
        <v>1.5758794864393599</v>
      </c>
      <c r="J98">
        <v>1.5193251534447401</v>
      </c>
      <c r="K98">
        <v>1.7250916565652601</v>
      </c>
      <c r="L98">
        <v>1.6441978595998701</v>
      </c>
      <c r="M98">
        <v>1.5476023199420501</v>
      </c>
      <c r="N98">
        <v>1.5473439638764599</v>
      </c>
      <c r="Q98">
        <f t="shared" si="5"/>
        <v>2.4700000000000002</v>
      </c>
      <c r="R98">
        <f t="shared" si="7"/>
        <v>1.5176288273961234</v>
      </c>
      <c r="S98">
        <f t="shared" si="8"/>
        <v>0.95237117260387683</v>
      </c>
      <c r="T98">
        <f t="shared" si="9"/>
        <v>0.90701085040688334</v>
      </c>
    </row>
    <row r="99" spans="1:20" hidden="1" x14ac:dyDescent="0.25">
      <c r="A99" t="str">
        <f t="shared" si="6"/>
        <v>BAR</v>
      </c>
      <c r="B99" t="s">
        <v>105</v>
      </c>
      <c r="C99">
        <v>1.960220302</v>
      </c>
      <c r="D99">
        <v>4.5583370999999998E-2</v>
      </c>
      <c r="E99">
        <v>0.71305622300000004</v>
      </c>
      <c r="F99">
        <v>0.61996196299999995</v>
      </c>
      <c r="G99">
        <v>0.81479913599999998</v>
      </c>
      <c r="H99">
        <v>1.69</v>
      </c>
      <c r="I99">
        <v>1.6853374553614</v>
      </c>
      <c r="J99">
        <v>1.61029783125088</v>
      </c>
      <c r="K99">
        <v>1.9046648838225899</v>
      </c>
      <c r="L99">
        <v>1.81156857055275</v>
      </c>
      <c r="M99">
        <v>1.64781764330614</v>
      </c>
      <c r="N99">
        <v>1.64739043620337</v>
      </c>
      <c r="Q99">
        <f t="shared" si="5"/>
        <v>1.69</v>
      </c>
      <c r="R99">
        <f t="shared" si="7"/>
        <v>1.6268458434722879</v>
      </c>
      <c r="S99">
        <f t="shared" si="8"/>
        <v>6.3154156527712058E-2</v>
      </c>
      <c r="T99">
        <f t="shared" si="9"/>
        <v>3.9884474867267553E-3</v>
      </c>
    </row>
    <row r="100" spans="1:20" hidden="1" x14ac:dyDescent="0.25">
      <c r="A100" t="str">
        <f t="shared" si="6"/>
        <v>BAR</v>
      </c>
      <c r="B100" t="s">
        <v>106</v>
      </c>
      <c r="C100">
        <v>1.9834865779999999</v>
      </c>
      <c r="D100">
        <v>4.3274389000000003E-2</v>
      </c>
      <c r="E100">
        <v>0.71997022300000002</v>
      </c>
      <c r="F100">
        <v>0.67683227000000001</v>
      </c>
      <c r="G100">
        <v>0.82302503000000005</v>
      </c>
      <c r="H100">
        <v>2.12</v>
      </c>
      <c r="I100">
        <v>1.7987699292074999</v>
      </c>
      <c r="J100">
        <v>1.7552858187789899</v>
      </c>
      <c r="K100">
        <v>2.0760202985343801</v>
      </c>
      <c r="L100">
        <v>1.92050366858352</v>
      </c>
      <c r="M100">
        <v>1.7770278739932499</v>
      </c>
      <c r="N100">
        <v>1.77689486126333</v>
      </c>
      <c r="Q100">
        <f t="shared" si="5"/>
        <v>2.12</v>
      </c>
      <c r="R100">
        <f t="shared" si="7"/>
        <v>1.8011423297909928</v>
      </c>
      <c r="S100">
        <f t="shared" si="8"/>
        <v>0.31885767020900735</v>
      </c>
      <c r="T100">
        <f t="shared" si="9"/>
        <v>0.10167021385111609</v>
      </c>
    </row>
    <row r="101" spans="1:20" hidden="1" x14ac:dyDescent="0.25">
      <c r="A101" t="str">
        <f t="shared" si="6"/>
        <v>BAR</v>
      </c>
      <c r="B101" t="s">
        <v>107</v>
      </c>
      <c r="C101">
        <v>1.971686391</v>
      </c>
      <c r="D101">
        <v>4.4934571999999999E-2</v>
      </c>
      <c r="E101">
        <v>0.72328897999999997</v>
      </c>
      <c r="F101">
        <v>0.698306549</v>
      </c>
      <c r="G101">
        <v>0.83107539900000005</v>
      </c>
      <c r="H101">
        <v>2.1800000000000002</v>
      </c>
      <c r="I101">
        <v>1.89066135264561</v>
      </c>
      <c r="J101">
        <v>1.88154464648869</v>
      </c>
      <c r="K101">
        <v>2.1238602135037201</v>
      </c>
      <c r="L101">
        <v>1.9848722180534399</v>
      </c>
      <c r="M101">
        <v>1.8861029995671501</v>
      </c>
      <c r="N101">
        <v>1.88609749122187</v>
      </c>
      <c r="Q101">
        <f t="shared" si="5"/>
        <v>2.1800000000000002</v>
      </c>
      <c r="R101">
        <f t="shared" si="7"/>
        <v>1.9437658254335575</v>
      </c>
      <c r="S101">
        <f t="shared" si="8"/>
        <v>0.23623417456644269</v>
      </c>
      <c r="T101">
        <f t="shared" si="9"/>
        <v>5.580658523308852E-2</v>
      </c>
    </row>
    <row r="102" spans="1:20" hidden="1" x14ac:dyDescent="0.25">
      <c r="A102" t="str">
        <f t="shared" si="6"/>
        <v>BAR</v>
      </c>
      <c r="B102" t="s">
        <v>108</v>
      </c>
      <c r="C102">
        <v>1.902973837</v>
      </c>
      <c r="D102">
        <v>4.2397694E-2</v>
      </c>
      <c r="E102">
        <v>0.73217622199999999</v>
      </c>
      <c r="F102">
        <v>0.69884701299999996</v>
      </c>
      <c r="G102">
        <v>0.84439781800000002</v>
      </c>
      <c r="H102">
        <v>2.0099999999999998</v>
      </c>
      <c r="I102">
        <v>1.88971946176275</v>
      </c>
      <c r="J102">
        <v>1.9083050762579099</v>
      </c>
      <c r="K102">
        <v>2.2023304587186798</v>
      </c>
      <c r="L102">
        <v>1.9411482668728099</v>
      </c>
      <c r="M102">
        <v>1.8990122690103299</v>
      </c>
      <c r="N102">
        <v>1.8989895317208101</v>
      </c>
      <c r="Q102">
        <f t="shared" si="5"/>
        <v>2.0099999999999998</v>
      </c>
      <c r="R102">
        <f t="shared" si="7"/>
        <v>1.9848637635500652</v>
      </c>
      <c r="S102">
        <f t="shared" si="8"/>
        <v>2.5136236449934568E-2</v>
      </c>
      <c r="T102">
        <f t="shared" si="9"/>
        <v>6.3183038286701923E-4</v>
      </c>
    </row>
    <row r="103" spans="1:20" hidden="1" x14ac:dyDescent="0.25">
      <c r="A103" t="str">
        <f t="shared" si="6"/>
        <v>BAR</v>
      </c>
      <c r="B103" t="s">
        <v>109</v>
      </c>
      <c r="C103">
        <v>2.1025692220000001</v>
      </c>
      <c r="D103">
        <v>4.1760284000000002E-2</v>
      </c>
      <c r="E103">
        <v>0.73463867500000002</v>
      </c>
      <c r="F103">
        <v>0.65672645299999999</v>
      </c>
      <c r="G103">
        <v>0.84647456700000001</v>
      </c>
      <c r="H103">
        <v>1.71</v>
      </c>
      <c r="I103">
        <v>1.53900394888391</v>
      </c>
      <c r="J103">
        <v>1.5431719288444701</v>
      </c>
      <c r="K103">
        <v>1.7242423867338099</v>
      </c>
      <c r="L103">
        <v>1.4831790345457401</v>
      </c>
      <c r="M103">
        <v>1.54108793886419</v>
      </c>
      <c r="N103">
        <v>1.5410865297894301</v>
      </c>
      <c r="Q103">
        <f t="shared" si="5"/>
        <v>1.71</v>
      </c>
      <c r="R103">
        <f t="shared" si="7"/>
        <v>1.5510256174083135</v>
      </c>
      <c r="S103">
        <f t="shared" si="8"/>
        <v>0.1589743825916865</v>
      </c>
      <c r="T103">
        <f t="shared" si="9"/>
        <v>2.5272854320407916E-2</v>
      </c>
    </row>
    <row r="104" spans="1:20" hidden="1" x14ac:dyDescent="0.25">
      <c r="A104" t="str">
        <f t="shared" si="6"/>
        <v>BAR</v>
      </c>
      <c r="B104" t="s">
        <v>110</v>
      </c>
      <c r="C104">
        <v>1.856281579</v>
      </c>
      <c r="D104">
        <v>4.4970168999999997E-2</v>
      </c>
      <c r="E104">
        <v>0.72590199600000005</v>
      </c>
      <c r="F104">
        <v>0.66283397099999997</v>
      </c>
      <c r="G104">
        <v>0.83450733300000002</v>
      </c>
      <c r="H104">
        <v>2.0499999999999998</v>
      </c>
      <c r="I104">
        <v>1.8907844864733101</v>
      </c>
      <c r="J104">
        <v>1.86941298743253</v>
      </c>
      <c r="K104">
        <v>2.1429225430133001</v>
      </c>
      <c r="L104">
        <v>1.9838699541742999</v>
      </c>
      <c r="M104">
        <v>1.8800987369529201</v>
      </c>
      <c r="N104">
        <v>1.8800683698868901</v>
      </c>
      <c r="Q104">
        <f t="shared" si="5"/>
        <v>2.0499999999999998</v>
      </c>
      <c r="R104">
        <f t="shared" si="7"/>
        <v>1.9346181983366417</v>
      </c>
      <c r="S104">
        <f t="shared" si="8"/>
        <v>0.1153818016633581</v>
      </c>
      <c r="T104">
        <f t="shared" si="9"/>
        <v>1.3312960155082505E-2</v>
      </c>
    </row>
    <row r="105" spans="1:20" hidden="1" x14ac:dyDescent="0.25">
      <c r="A105" t="str">
        <f t="shared" si="6"/>
        <v>BAR</v>
      </c>
      <c r="B105" t="s">
        <v>111</v>
      </c>
      <c r="C105">
        <v>1.8382436870000001</v>
      </c>
      <c r="D105">
        <v>4.1302196999999999E-2</v>
      </c>
      <c r="E105">
        <v>0.71659632100000004</v>
      </c>
      <c r="F105">
        <v>0.65639082100000001</v>
      </c>
      <c r="G105">
        <v>0.825015634</v>
      </c>
      <c r="H105">
        <v>1.76</v>
      </c>
      <c r="I105">
        <v>1.84639831046289</v>
      </c>
      <c r="J105">
        <v>1.7843649764748399</v>
      </c>
      <c r="K105">
        <v>2.18952164979039</v>
      </c>
      <c r="L105">
        <v>2.0183480585555502</v>
      </c>
      <c r="M105">
        <v>1.8153816434688601</v>
      </c>
      <c r="N105">
        <v>1.81511665680537</v>
      </c>
      <c r="Q105">
        <f t="shared" si="5"/>
        <v>1.76</v>
      </c>
      <c r="R105">
        <f t="shared" si="7"/>
        <v>1.8479313074104606</v>
      </c>
      <c r="S105">
        <f t="shared" si="8"/>
        <v>-8.7931307410460624E-2</v>
      </c>
      <c r="T105">
        <f t="shared" si="9"/>
        <v>7.7319148229129274E-3</v>
      </c>
    </row>
    <row r="106" spans="1:20" hidden="1" x14ac:dyDescent="0.25">
      <c r="A106" t="str">
        <f t="shared" si="6"/>
        <v>BAR</v>
      </c>
      <c r="B106" t="s">
        <v>112</v>
      </c>
      <c r="C106">
        <v>1.803209834</v>
      </c>
      <c r="D106">
        <v>4.5708420999999999E-2</v>
      </c>
      <c r="E106">
        <v>0.72375259400000003</v>
      </c>
      <c r="F106">
        <v>0.66603721900000001</v>
      </c>
      <c r="G106">
        <v>0.83648203099999996</v>
      </c>
      <c r="H106">
        <v>2.1800000000000002</v>
      </c>
      <c r="I106">
        <v>1.96532516300626</v>
      </c>
      <c r="J106">
        <v>1.9474577687506001</v>
      </c>
      <c r="K106">
        <v>2.2559918094725</v>
      </c>
      <c r="L106">
        <v>2.0685574755547398</v>
      </c>
      <c r="M106">
        <v>1.95639146587843</v>
      </c>
      <c r="N106">
        <v>1.9563710682837201</v>
      </c>
      <c r="Q106">
        <f t="shared" si="5"/>
        <v>2.1800000000000002</v>
      </c>
      <c r="R106">
        <f t="shared" si="7"/>
        <v>2.0261707765667718</v>
      </c>
      <c r="S106">
        <f t="shared" si="8"/>
        <v>0.15382922343322836</v>
      </c>
      <c r="T106">
        <f t="shared" si="9"/>
        <v>2.3663429982070092E-2</v>
      </c>
    </row>
    <row r="107" spans="1:20" hidden="1" x14ac:dyDescent="0.25">
      <c r="A107" t="str">
        <f t="shared" si="6"/>
        <v>BAR</v>
      </c>
      <c r="B107" t="s">
        <v>113</v>
      </c>
      <c r="C107">
        <v>1.887861502</v>
      </c>
      <c r="D107">
        <v>4.7815525999999997E-2</v>
      </c>
      <c r="E107">
        <v>0.71366979399999997</v>
      </c>
      <c r="F107">
        <v>0.51054335200000001</v>
      </c>
      <c r="G107">
        <v>0.81605519500000001</v>
      </c>
      <c r="H107">
        <v>1.53</v>
      </c>
      <c r="I107">
        <v>1.4204453879154699</v>
      </c>
      <c r="J107">
        <v>1.3263757774645599</v>
      </c>
      <c r="K107">
        <v>1.6285753226827899</v>
      </c>
      <c r="L107">
        <v>1.6258895649581899</v>
      </c>
      <c r="M107">
        <v>1.37341058269001</v>
      </c>
      <c r="N107">
        <v>1.37260495254182</v>
      </c>
      <c r="Q107">
        <f t="shared" si="5"/>
        <v>1.53</v>
      </c>
      <c r="R107">
        <f t="shared" si="7"/>
        <v>1.2919686531565029</v>
      </c>
      <c r="S107">
        <f t="shared" si="8"/>
        <v>0.23803134684349714</v>
      </c>
      <c r="T107">
        <f t="shared" si="9"/>
        <v>5.6658922080129237E-2</v>
      </c>
    </row>
    <row r="108" spans="1:20" hidden="1" x14ac:dyDescent="0.25">
      <c r="A108" t="str">
        <f t="shared" si="6"/>
        <v>BAR</v>
      </c>
      <c r="B108" t="s">
        <v>114</v>
      </c>
      <c r="C108">
        <v>1.927717723</v>
      </c>
      <c r="D108">
        <v>4.7767701000000003E-2</v>
      </c>
      <c r="E108">
        <v>0.73377329999999996</v>
      </c>
      <c r="F108">
        <v>0.627427858</v>
      </c>
      <c r="G108">
        <v>0.83579104000000004</v>
      </c>
      <c r="H108">
        <v>0.99</v>
      </c>
      <c r="I108">
        <v>1.746439336298</v>
      </c>
      <c r="J108">
        <v>1.73137426243413</v>
      </c>
      <c r="K108">
        <v>1.89168200008459</v>
      </c>
      <c r="L108">
        <v>1.7623039328953101</v>
      </c>
      <c r="M108">
        <v>1.7389067993660601</v>
      </c>
      <c r="N108">
        <v>1.7388904846967499</v>
      </c>
      <c r="Q108">
        <f t="shared" si="5"/>
        <v>0.99</v>
      </c>
      <c r="R108">
        <f t="shared" si="7"/>
        <v>1.7607072028221769</v>
      </c>
      <c r="S108">
        <f t="shared" si="8"/>
        <v>-0.77070720282217686</v>
      </c>
      <c r="T108">
        <f t="shared" si="9"/>
        <v>0.59398959248198402</v>
      </c>
    </row>
    <row r="109" spans="1:20" hidden="1" x14ac:dyDescent="0.25">
      <c r="A109" t="str">
        <f t="shared" si="6"/>
        <v>BAR</v>
      </c>
      <c r="B109" t="s">
        <v>115</v>
      </c>
      <c r="C109">
        <v>2.0114749669999998</v>
      </c>
      <c r="D109">
        <v>4.9830958000000002E-2</v>
      </c>
      <c r="E109">
        <v>0.71502392199999998</v>
      </c>
      <c r="F109">
        <v>0.61782644200000003</v>
      </c>
      <c r="G109">
        <v>0.81423604100000002</v>
      </c>
      <c r="H109">
        <v>1.73</v>
      </c>
      <c r="I109">
        <v>1.6928794911810601</v>
      </c>
      <c r="J109">
        <v>1.6393916643779101</v>
      </c>
      <c r="K109">
        <v>1.8214741934723</v>
      </c>
      <c r="L109">
        <v>1.7519339718009099</v>
      </c>
      <c r="M109">
        <v>1.66613557777949</v>
      </c>
      <c r="N109">
        <v>1.66592092448548</v>
      </c>
      <c r="Q109">
        <f t="shared" si="5"/>
        <v>1.73</v>
      </c>
      <c r="R109">
        <f t="shared" si="7"/>
        <v>1.6450196420031014</v>
      </c>
      <c r="S109">
        <f t="shared" si="8"/>
        <v>8.4980357996898626E-2</v>
      </c>
      <c r="T109">
        <f t="shared" si="9"/>
        <v>7.2216612452810523E-3</v>
      </c>
    </row>
    <row r="110" spans="1:20" hidden="1" x14ac:dyDescent="0.25">
      <c r="A110" t="str">
        <f t="shared" si="6"/>
        <v>BAR</v>
      </c>
      <c r="B110" t="s">
        <v>116</v>
      </c>
      <c r="C110">
        <v>1.9253322260000001</v>
      </c>
      <c r="D110">
        <v>5.039975E-2</v>
      </c>
      <c r="E110">
        <v>0.72484381899999994</v>
      </c>
      <c r="F110">
        <v>0.61087583400000001</v>
      </c>
      <c r="G110">
        <v>0.82053628000000001</v>
      </c>
      <c r="H110">
        <v>1.71</v>
      </c>
      <c r="I110">
        <v>1.7625325461586401</v>
      </c>
      <c r="J110">
        <v>1.72038826328785</v>
      </c>
      <c r="K110">
        <v>1.88206816058115</v>
      </c>
      <c r="L110">
        <v>1.8248362652766399</v>
      </c>
      <c r="M110">
        <v>1.74146040472325</v>
      </c>
      <c r="N110">
        <v>1.7413329107537601</v>
      </c>
      <c r="Q110">
        <f t="shared" si="5"/>
        <v>1.71</v>
      </c>
      <c r="R110">
        <f t="shared" si="7"/>
        <v>1.7406058246485254</v>
      </c>
      <c r="S110">
        <f t="shared" si="8"/>
        <v>-3.0605824648525459E-2</v>
      </c>
      <c r="T110">
        <f t="shared" si="9"/>
        <v>9.3671650241628857E-4</v>
      </c>
    </row>
    <row r="111" spans="1:20" hidden="1" x14ac:dyDescent="0.25">
      <c r="A111" t="str">
        <f t="shared" si="6"/>
        <v>BAR</v>
      </c>
      <c r="B111" t="s">
        <v>117</v>
      </c>
      <c r="C111">
        <v>1.9540164760000001</v>
      </c>
      <c r="D111">
        <v>4.8657984000000001E-2</v>
      </c>
      <c r="E111">
        <v>0.72861077600000002</v>
      </c>
      <c r="F111">
        <v>0.65404741799999999</v>
      </c>
      <c r="G111">
        <v>0.82695429600000003</v>
      </c>
      <c r="H111">
        <v>2.19</v>
      </c>
      <c r="I111">
        <v>1.837405147001</v>
      </c>
      <c r="J111">
        <v>1.81703143550436</v>
      </c>
      <c r="K111">
        <v>2.0174234804623898</v>
      </c>
      <c r="L111">
        <v>1.90952192674347</v>
      </c>
      <c r="M111">
        <v>1.82721829125268</v>
      </c>
      <c r="N111">
        <v>1.82718989485448</v>
      </c>
      <c r="Q111">
        <f t="shared" si="5"/>
        <v>2.19</v>
      </c>
      <c r="R111">
        <f t="shared" si="7"/>
        <v>1.8572119091517831</v>
      </c>
      <c r="S111">
        <f t="shared" si="8"/>
        <v>0.33278809084821681</v>
      </c>
      <c r="T111">
        <f t="shared" si="9"/>
        <v>0.11074791341040101</v>
      </c>
    </row>
    <row r="112" spans="1:20" hidden="1" x14ac:dyDescent="0.25">
      <c r="A112" t="str">
        <f t="shared" si="6"/>
        <v>BAR</v>
      </c>
      <c r="B112" t="s">
        <v>118</v>
      </c>
      <c r="C112">
        <v>2.0085240789999999</v>
      </c>
      <c r="D112">
        <v>5.2866244E-2</v>
      </c>
      <c r="E112">
        <v>0.73926787500000002</v>
      </c>
      <c r="F112">
        <v>0.64681512600000002</v>
      </c>
      <c r="G112">
        <v>0.83700406699999996</v>
      </c>
      <c r="H112">
        <v>1.71</v>
      </c>
      <c r="I112">
        <v>1.8106893747794699</v>
      </c>
      <c r="J112">
        <v>1.83485273448595</v>
      </c>
      <c r="K112">
        <v>1.8995350448363799</v>
      </c>
      <c r="L112">
        <v>1.7461286582332001</v>
      </c>
      <c r="M112">
        <v>1.8227710546327101</v>
      </c>
      <c r="N112">
        <v>1.8227310143350199</v>
      </c>
      <c r="Q112">
        <f t="shared" si="5"/>
        <v>1.71</v>
      </c>
      <c r="R112">
        <f t="shared" si="7"/>
        <v>1.8604081355551694</v>
      </c>
      <c r="S112">
        <f t="shared" si="8"/>
        <v>-0.15040813555516941</v>
      </c>
      <c r="T112">
        <f t="shared" si="9"/>
        <v>2.2622607241182216E-2</v>
      </c>
    </row>
    <row r="113" spans="1:20" hidden="1" x14ac:dyDescent="0.25">
      <c r="A113" t="str">
        <f t="shared" si="6"/>
        <v>BAR</v>
      </c>
      <c r="B113" t="s">
        <v>119</v>
      </c>
      <c r="C113">
        <v>1.9258474919999999</v>
      </c>
      <c r="D113">
        <v>5.3213305000000002E-2</v>
      </c>
      <c r="E113">
        <v>0.71870064499999997</v>
      </c>
      <c r="F113">
        <v>0.57213332100000003</v>
      </c>
      <c r="G113">
        <v>0.81562102800000003</v>
      </c>
      <c r="H113">
        <v>2.21</v>
      </c>
      <c r="I113">
        <v>1.68197769265119</v>
      </c>
      <c r="J113">
        <v>1.6319553233975099</v>
      </c>
      <c r="K113">
        <v>1.70325139709844</v>
      </c>
      <c r="L113">
        <v>1.63095706401239</v>
      </c>
      <c r="M113">
        <v>1.6569665080243501</v>
      </c>
      <c r="N113">
        <v>1.6567777308250999</v>
      </c>
      <c r="Q113">
        <f t="shared" si="5"/>
        <v>2.21</v>
      </c>
      <c r="R113">
        <f t="shared" si="7"/>
        <v>1.6288199470977585</v>
      </c>
      <c r="S113">
        <f t="shared" si="8"/>
        <v>0.58118005290224151</v>
      </c>
      <c r="T113">
        <f t="shared" si="9"/>
        <v>0.33777025389145221</v>
      </c>
    </row>
    <row r="114" spans="1:20" hidden="1" x14ac:dyDescent="0.25">
      <c r="A114" t="str">
        <f t="shared" si="6"/>
        <v>BAR</v>
      </c>
      <c r="B114" t="s">
        <v>120</v>
      </c>
      <c r="C114">
        <v>1.8842166330000001</v>
      </c>
      <c r="D114">
        <v>5.3628579000000003E-2</v>
      </c>
      <c r="E114">
        <v>0.73145742999999996</v>
      </c>
      <c r="F114">
        <v>0.618232004</v>
      </c>
      <c r="G114">
        <v>0.82521958200000001</v>
      </c>
      <c r="H114">
        <v>1.74</v>
      </c>
      <c r="I114">
        <v>1.8823333041636601</v>
      </c>
      <c r="J114">
        <v>1.8636333859999901</v>
      </c>
      <c r="K114">
        <v>1.9919955044123401</v>
      </c>
      <c r="L114">
        <v>1.89178744244617</v>
      </c>
      <c r="M114">
        <v>1.8729833450818201</v>
      </c>
      <c r="N114">
        <v>1.8729600073731001</v>
      </c>
      <c r="Q114">
        <f t="shared" si="5"/>
        <v>1.74</v>
      </c>
      <c r="R114">
        <f t="shared" si="7"/>
        <v>1.8981716347687905</v>
      </c>
      <c r="S114">
        <f t="shared" si="8"/>
        <v>-0.15817163476879048</v>
      </c>
      <c r="T114">
        <f t="shared" si="9"/>
        <v>2.5018266045431649E-2</v>
      </c>
    </row>
    <row r="115" spans="1:20" hidden="1" x14ac:dyDescent="0.25">
      <c r="A115" t="str">
        <f t="shared" si="6"/>
        <v>BAR</v>
      </c>
      <c r="B115" t="s">
        <v>121</v>
      </c>
      <c r="C115">
        <v>1.934182799</v>
      </c>
      <c r="D115">
        <v>5.2824885000000002E-2</v>
      </c>
      <c r="E115">
        <v>0.719206444</v>
      </c>
      <c r="F115">
        <v>0.59754531700000002</v>
      </c>
      <c r="G115">
        <v>0.81778278800000004</v>
      </c>
      <c r="H115">
        <v>1.88</v>
      </c>
      <c r="I115">
        <v>1.75300119937984</v>
      </c>
      <c r="J115">
        <v>1.7090718635714801</v>
      </c>
      <c r="K115">
        <v>1.80395822680512</v>
      </c>
      <c r="L115">
        <v>1.72640989057918</v>
      </c>
      <c r="M115">
        <v>1.7310365314756599</v>
      </c>
      <c r="N115">
        <v>1.73089717391506</v>
      </c>
      <c r="Q115">
        <f t="shared" si="5"/>
        <v>1.88</v>
      </c>
      <c r="R115">
        <f t="shared" si="7"/>
        <v>1.7196742627042605</v>
      </c>
      <c r="S115">
        <f t="shared" si="8"/>
        <v>0.1603257372957394</v>
      </c>
      <c r="T115">
        <f t="shared" si="9"/>
        <v>2.5704342039422443E-2</v>
      </c>
    </row>
    <row r="116" spans="1:20" hidden="1" x14ac:dyDescent="0.25">
      <c r="A116" t="str">
        <f t="shared" si="6"/>
        <v>BAR</v>
      </c>
      <c r="B116" t="s">
        <v>122</v>
      </c>
      <c r="C116">
        <v>1.80548877</v>
      </c>
      <c r="D116">
        <v>5.2753841000000003E-2</v>
      </c>
      <c r="E116">
        <v>0.72645598600000005</v>
      </c>
      <c r="F116">
        <v>0.67602961299999997</v>
      </c>
      <c r="G116">
        <v>0.82571130299999995</v>
      </c>
      <c r="H116">
        <v>1.63</v>
      </c>
      <c r="I116">
        <v>2.1509451106970401</v>
      </c>
      <c r="J116">
        <v>2.1310806489650398</v>
      </c>
      <c r="K116">
        <v>2.3367411530768001</v>
      </c>
      <c r="L116">
        <v>2.1875076335535599</v>
      </c>
      <c r="M116">
        <v>2.1410128798310399</v>
      </c>
      <c r="N116">
        <v>2.1409898417303301</v>
      </c>
      <c r="Q116">
        <f t="shared" si="5"/>
        <v>1.63</v>
      </c>
      <c r="R116">
        <f t="shared" si="7"/>
        <v>2.2175647498523232</v>
      </c>
      <c r="S116">
        <f t="shared" si="8"/>
        <v>-0.58756474985232332</v>
      </c>
      <c r="T116">
        <f t="shared" si="9"/>
        <v>0.3452323352690233</v>
      </c>
    </row>
    <row r="117" spans="1:20" hidden="1" x14ac:dyDescent="0.25">
      <c r="A117" t="str">
        <f t="shared" si="6"/>
        <v>BAR</v>
      </c>
      <c r="B117" t="s">
        <v>123</v>
      </c>
      <c r="C117">
        <v>1.996102278</v>
      </c>
      <c r="D117">
        <v>6.4804866000000003E-2</v>
      </c>
      <c r="E117">
        <v>0.70670554399999996</v>
      </c>
      <c r="F117">
        <v>0.50991277300000004</v>
      </c>
      <c r="G117">
        <v>0.78753934400000003</v>
      </c>
      <c r="H117">
        <v>1.26</v>
      </c>
      <c r="I117">
        <v>1.58688486190475</v>
      </c>
      <c r="J117">
        <v>1.5852027775883699</v>
      </c>
      <c r="K117">
        <v>1.56702559735307</v>
      </c>
      <c r="L117">
        <v>1.7372616214343899</v>
      </c>
      <c r="M117">
        <v>1.5860438197465601</v>
      </c>
      <c r="N117">
        <v>1.5860435967540001</v>
      </c>
      <c r="Q117">
        <f t="shared" si="5"/>
        <v>1.26</v>
      </c>
      <c r="R117">
        <f t="shared" si="7"/>
        <v>1.529655168356328</v>
      </c>
      <c r="S117">
        <f t="shared" si="8"/>
        <v>-0.26965516835632797</v>
      </c>
      <c r="T117">
        <f t="shared" si="9"/>
        <v>7.2713909821279579E-2</v>
      </c>
    </row>
    <row r="118" spans="1:20" hidden="1" x14ac:dyDescent="0.25">
      <c r="A118" t="str">
        <f t="shared" si="6"/>
        <v>BAR</v>
      </c>
      <c r="B118" t="s">
        <v>124</v>
      </c>
      <c r="C118">
        <v>1.9380004930000001</v>
      </c>
      <c r="D118">
        <v>6.9990532999999994E-2</v>
      </c>
      <c r="E118">
        <v>0.68908473100000001</v>
      </c>
      <c r="F118">
        <v>0.43499464900000001</v>
      </c>
      <c r="G118">
        <v>0.76283879700000001</v>
      </c>
      <c r="H118">
        <v>1.45</v>
      </c>
      <c r="I118">
        <v>1.43772025941785</v>
      </c>
      <c r="J118">
        <v>1.47748990388499</v>
      </c>
      <c r="K118">
        <v>1.3563101432000499</v>
      </c>
      <c r="L118">
        <v>1.46857940208926</v>
      </c>
      <c r="M118">
        <v>1.4576050816514201</v>
      </c>
      <c r="N118">
        <v>1.4574694397828001</v>
      </c>
      <c r="Q118">
        <f t="shared" si="5"/>
        <v>1.45</v>
      </c>
      <c r="R118">
        <f t="shared" si="7"/>
        <v>1.3868905818177697</v>
      </c>
      <c r="S118">
        <f t="shared" si="8"/>
        <v>6.3109418182230259E-2</v>
      </c>
      <c r="T118">
        <f t="shared" si="9"/>
        <v>3.982798663299615E-3</v>
      </c>
    </row>
    <row r="119" spans="1:20" hidden="1" x14ac:dyDescent="0.25">
      <c r="A119" t="str">
        <f t="shared" si="6"/>
        <v>BAR</v>
      </c>
      <c r="B119" t="s">
        <v>125</v>
      </c>
      <c r="C119">
        <v>1.893749889</v>
      </c>
      <c r="D119">
        <v>6.6277925000000001E-2</v>
      </c>
      <c r="E119">
        <v>0.69582283499999997</v>
      </c>
      <c r="F119">
        <v>0.45959580100000003</v>
      </c>
      <c r="G119">
        <v>0.77878740400000002</v>
      </c>
      <c r="H119">
        <v>1.35</v>
      </c>
      <c r="I119">
        <v>1.5386432796713601</v>
      </c>
      <c r="J119">
        <v>1.52646575032814</v>
      </c>
      <c r="K119">
        <v>1.5238245916347699</v>
      </c>
      <c r="L119">
        <v>1.6279003402615699</v>
      </c>
      <c r="M119">
        <v>1.5325545149997499</v>
      </c>
      <c r="N119">
        <v>1.53254241976883</v>
      </c>
      <c r="Q119">
        <f t="shared" si="5"/>
        <v>1.35</v>
      </c>
      <c r="R119">
        <f t="shared" si="7"/>
        <v>1.4613933586692922</v>
      </c>
      <c r="S119">
        <f t="shared" si="8"/>
        <v>-0.11139335866929212</v>
      </c>
      <c r="T119">
        <f t="shared" si="9"/>
        <v>1.2408480355625558E-2</v>
      </c>
    </row>
    <row r="120" spans="1:20" hidden="1" x14ac:dyDescent="0.25">
      <c r="A120" t="str">
        <f t="shared" si="6"/>
        <v>BAR</v>
      </c>
      <c r="B120" t="s">
        <v>126</v>
      </c>
      <c r="C120">
        <v>1.9655885529999999</v>
      </c>
      <c r="D120">
        <v>6.8103860000000002E-2</v>
      </c>
      <c r="E120">
        <v>0.69228023900000002</v>
      </c>
      <c r="F120">
        <v>0.46669801300000002</v>
      </c>
      <c r="G120">
        <v>0.77299534800000003</v>
      </c>
      <c r="H120">
        <v>1.5</v>
      </c>
      <c r="I120">
        <v>1.5131092975850799</v>
      </c>
      <c r="J120">
        <v>1.5220332295102901</v>
      </c>
      <c r="K120">
        <v>1.4770083813316801</v>
      </c>
      <c r="L120">
        <v>1.7091441832683201</v>
      </c>
      <c r="M120">
        <v>1.5175712635476899</v>
      </c>
      <c r="N120">
        <v>1.51756470399304</v>
      </c>
      <c r="Q120">
        <f t="shared" si="5"/>
        <v>1.5</v>
      </c>
      <c r="R120">
        <f t="shared" si="7"/>
        <v>1.4455500708631037</v>
      </c>
      <c r="S120">
        <f t="shared" si="8"/>
        <v>5.444992913689628E-2</v>
      </c>
      <c r="T120">
        <f t="shared" si="9"/>
        <v>2.9647947830130266E-3</v>
      </c>
    </row>
    <row r="121" spans="1:20" hidden="1" x14ac:dyDescent="0.25">
      <c r="A121" t="str">
        <f t="shared" si="6"/>
        <v>BAR</v>
      </c>
      <c r="B121" t="s">
        <v>127</v>
      </c>
      <c r="C121">
        <v>1.842104964</v>
      </c>
      <c r="D121">
        <v>6.8204746999999996E-2</v>
      </c>
      <c r="E121">
        <v>0.68132887099999995</v>
      </c>
      <c r="F121">
        <v>0.44266296399999999</v>
      </c>
      <c r="G121">
        <v>0.75652148600000002</v>
      </c>
      <c r="H121">
        <v>1.21</v>
      </c>
      <c r="I121">
        <v>1.5655827771805899</v>
      </c>
      <c r="J121">
        <v>1.5469081436418599</v>
      </c>
      <c r="K121">
        <v>1.5927001902777</v>
      </c>
      <c r="L121">
        <v>1.71016175855187</v>
      </c>
      <c r="M121">
        <v>1.5562454604112199</v>
      </c>
      <c r="N121">
        <v>1.5562174486767899</v>
      </c>
      <c r="Q121">
        <f t="shared" si="5"/>
        <v>1.21</v>
      </c>
      <c r="R121">
        <f t="shared" si="7"/>
        <v>1.4816340401703161</v>
      </c>
      <c r="S121">
        <f t="shared" si="8"/>
        <v>-0.27163404017031612</v>
      </c>
      <c r="T121">
        <f t="shared" si="9"/>
        <v>7.3785051779248906E-2</v>
      </c>
    </row>
    <row r="122" spans="1:20" hidden="1" x14ac:dyDescent="0.25">
      <c r="A122" t="str">
        <f t="shared" si="6"/>
        <v>BAR</v>
      </c>
      <c r="B122" t="s">
        <v>128</v>
      </c>
      <c r="C122">
        <v>1.966007466</v>
      </c>
      <c r="D122">
        <v>6.5406322000000003E-2</v>
      </c>
      <c r="E122">
        <v>0.70142403099999995</v>
      </c>
      <c r="F122">
        <v>0.47767483999999999</v>
      </c>
      <c r="G122">
        <v>0.78047280600000002</v>
      </c>
      <c r="H122">
        <v>1.48</v>
      </c>
      <c r="I122">
        <v>1.5051699939108101</v>
      </c>
      <c r="J122">
        <v>1.5056147114434499</v>
      </c>
      <c r="K122">
        <v>1.4721810618251401</v>
      </c>
      <c r="L122">
        <v>1.5914121618591499</v>
      </c>
      <c r="M122">
        <v>1.50539235267713</v>
      </c>
      <c r="N122">
        <v>1.5053923362550301</v>
      </c>
      <c r="Q122">
        <f t="shared" si="5"/>
        <v>1.48</v>
      </c>
      <c r="R122">
        <f t="shared" si="7"/>
        <v>1.4364815451842432</v>
      </c>
      <c r="S122">
        <f t="shared" si="8"/>
        <v>4.351845481575678E-2</v>
      </c>
      <c r="T122">
        <f t="shared" si="9"/>
        <v>1.8938559095510645E-3</v>
      </c>
    </row>
    <row r="123" spans="1:20" hidden="1" x14ac:dyDescent="0.25">
      <c r="A123" t="str">
        <f t="shared" si="6"/>
        <v>BAR</v>
      </c>
      <c r="B123" t="s">
        <v>129</v>
      </c>
      <c r="C123">
        <v>1.9548148110000001</v>
      </c>
      <c r="D123">
        <v>7.0482292000000002E-2</v>
      </c>
      <c r="E123">
        <v>0.69315516899999996</v>
      </c>
      <c r="F123">
        <v>0.38314427499999998</v>
      </c>
      <c r="G123">
        <v>0.75610573599999997</v>
      </c>
      <c r="H123">
        <v>1.39</v>
      </c>
      <c r="I123">
        <v>1.1733758588113099</v>
      </c>
      <c r="J123">
        <v>1.2879474489731499</v>
      </c>
      <c r="K123">
        <v>1.0670899017322699</v>
      </c>
      <c r="L123">
        <v>1.07445997751128</v>
      </c>
      <c r="M123">
        <v>1.2306616538922299</v>
      </c>
      <c r="N123">
        <v>1.2293276390135801</v>
      </c>
      <c r="Q123">
        <f t="shared" si="5"/>
        <v>1.39</v>
      </c>
      <c r="R123">
        <f t="shared" si="7"/>
        <v>1.1619551404348507</v>
      </c>
      <c r="S123">
        <f t="shared" si="8"/>
        <v>0.22804485956514919</v>
      </c>
      <c r="T123">
        <f t="shared" si="9"/>
        <v>5.2004457974088619E-2</v>
      </c>
    </row>
    <row r="124" spans="1:20" hidden="1" x14ac:dyDescent="0.25">
      <c r="A124" t="str">
        <f t="shared" si="6"/>
        <v>BAR</v>
      </c>
      <c r="B124" t="s">
        <v>130</v>
      </c>
      <c r="C124">
        <v>1.8509089569999999</v>
      </c>
      <c r="D124">
        <v>6.7333281999999994E-2</v>
      </c>
      <c r="E124">
        <v>0.680716934</v>
      </c>
      <c r="F124">
        <v>0.41837943999999999</v>
      </c>
      <c r="G124">
        <v>0.75762790300000005</v>
      </c>
      <c r="H124">
        <v>1.28</v>
      </c>
      <c r="I124">
        <v>1.43219392918229</v>
      </c>
      <c r="J124">
        <v>1.42654222790611</v>
      </c>
      <c r="K124">
        <v>1.4354919163294799</v>
      </c>
      <c r="L124">
        <v>1.46849355220608</v>
      </c>
      <c r="M124">
        <v>1.4293680785442</v>
      </c>
      <c r="N124">
        <v>1.4293652851980501</v>
      </c>
      <c r="Q124">
        <f t="shared" si="5"/>
        <v>1.28</v>
      </c>
      <c r="R124">
        <f t="shared" si="7"/>
        <v>1.344616874007186</v>
      </c>
      <c r="S124">
        <f t="shared" si="8"/>
        <v>-6.4616874007185965E-2</v>
      </c>
      <c r="T124">
        <f t="shared" si="9"/>
        <v>4.1753404064605454E-3</v>
      </c>
    </row>
    <row r="125" spans="1:20" hidden="1" x14ac:dyDescent="0.25">
      <c r="A125" t="str">
        <f t="shared" si="6"/>
        <v>BAR</v>
      </c>
      <c r="B125" t="s">
        <v>131</v>
      </c>
      <c r="C125">
        <v>2.0339018339999999</v>
      </c>
      <c r="D125">
        <v>6.6673534000000007E-2</v>
      </c>
      <c r="E125">
        <v>0.68467339400000005</v>
      </c>
      <c r="F125">
        <v>0.425399317</v>
      </c>
      <c r="G125">
        <v>0.76006373500000002</v>
      </c>
      <c r="H125">
        <v>1.19</v>
      </c>
      <c r="I125">
        <v>1.22165316041591</v>
      </c>
      <c r="J125">
        <v>1.25766152751418</v>
      </c>
      <c r="K125">
        <v>1.14687353918924</v>
      </c>
      <c r="L125">
        <v>1.3197119154499899</v>
      </c>
      <c r="M125">
        <v>1.23965734396505</v>
      </c>
      <c r="N125">
        <v>1.23952659504393</v>
      </c>
      <c r="Q125">
        <f t="shared" si="5"/>
        <v>1.19</v>
      </c>
      <c r="R125">
        <f t="shared" si="7"/>
        <v>1.1411673347531957</v>
      </c>
      <c r="S125">
        <f t="shared" si="8"/>
        <v>4.8832665246804297E-2</v>
      </c>
      <c r="T125">
        <f t="shared" si="9"/>
        <v>2.384629195106448E-3</v>
      </c>
    </row>
    <row r="126" spans="1:20" hidden="1" x14ac:dyDescent="0.25">
      <c r="A126" t="str">
        <f t="shared" si="6"/>
        <v>BAR</v>
      </c>
      <c r="B126" t="s">
        <v>132</v>
      </c>
      <c r="C126">
        <v>1.788410045</v>
      </c>
      <c r="D126">
        <v>6.6767021999999995E-2</v>
      </c>
      <c r="E126">
        <v>0.68030066499999997</v>
      </c>
      <c r="F126">
        <v>0.40116939000000001</v>
      </c>
      <c r="G126">
        <v>0.75526225400000002</v>
      </c>
      <c r="H126">
        <v>1.21</v>
      </c>
      <c r="I126">
        <v>1.4220061104369199</v>
      </c>
      <c r="J126">
        <v>1.4114274090226999</v>
      </c>
      <c r="K126">
        <v>1.4562211610765501</v>
      </c>
      <c r="L126">
        <v>1.42278504586448</v>
      </c>
      <c r="M126">
        <v>1.41671675972981</v>
      </c>
      <c r="N126">
        <v>1.4167068857277501</v>
      </c>
      <c r="Q126">
        <f t="shared" si="5"/>
        <v>1.21</v>
      </c>
      <c r="R126">
        <f t="shared" si="7"/>
        <v>1.3323735538322357</v>
      </c>
      <c r="S126">
        <f t="shared" si="8"/>
        <v>-0.12237355383223569</v>
      </c>
      <c r="T126">
        <f t="shared" si="9"/>
        <v>1.4975286677531088E-2</v>
      </c>
    </row>
    <row r="127" spans="1:20" hidden="1" x14ac:dyDescent="0.25">
      <c r="A127" t="str">
        <f t="shared" si="6"/>
        <v>BAR</v>
      </c>
      <c r="B127" t="s">
        <v>133</v>
      </c>
      <c r="C127">
        <v>1.8897298090000001</v>
      </c>
      <c r="D127">
        <v>6.8019476999999995E-2</v>
      </c>
      <c r="E127">
        <v>0.67660503000000005</v>
      </c>
      <c r="F127">
        <v>0.391620988</v>
      </c>
      <c r="G127">
        <v>0.73257122299999999</v>
      </c>
      <c r="H127">
        <v>1.24</v>
      </c>
      <c r="I127">
        <v>1.24979245396816</v>
      </c>
      <c r="J127">
        <v>1.3016561643790401</v>
      </c>
      <c r="K127">
        <v>1.2336355597052799</v>
      </c>
      <c r="L127">
        <v>1.2195164806235099</v>
      </c>
      <c r="M127">
        <v>1.2757243091735999</v>
      </c>
      <c r="N127">
        <v>1.2754607214266001</v>
      </c>
      <c r="Q127">
        <f t="shared" si="5"/>
        <v>1.24</v>
      </c>
      <c r="R127">
        <f t="shared" si="7"/>
        <v>1.1947288860280678</v>
      </c>
      <c r="S127">
        <f t="shared" si="8"/>
        <v>4.5271113971932175E-2</v>
      </c>
      <c r="T127">
        <f t="shared" si="9"/>
        <v>2.0494737602596725E-3</v>
      </c>
    </row>
    <row r="128" spans="1:20" hidden="1" x14ac:dyDescent="0.25">
      <c r="A128" t="str">
        <f t="shared" si="6"/>
        <v>BAR</v>
      </c>
      <c r="B128" t="s">
        <v>134</v>
      </c>
      <c r="C128">
        <v>1.9220246110000001</v>
      </c>
      <c r="D128">
        <v>6.9299391000000002E-2</v>
      </c>
      <c r="E128">
        <v>0.66606666699999995</v>
      </c>
      <c r="F128">
        <v>0.38616371900000002</v>
      </c>
      <c r="G128">
        <v>0.72059577900000005</v>
      </c>
      <c r="H128">
        <v>1.1399999999999999</v>
      </c>
      <c r="I128">
        <v>1.19864313204272</v>
      </c>
      <c r="J128">
        <v>1.26886389491217</v>
      </c>
      <c r="K128">
        <v>1.1727261687577899</v>
      </c>
      <c r="L128">
        <v>1.19219023198605</v>
      </c>
      <c r="M128">
        <v>1.23375351347744</v>
      </c>
      <c r="N128">
        <v>1.2332538234821899</v>
      </c>
      <c r="Q128">
        <f t="shared" si="5"/>
        <v>1.1399999999999999</v>
      </c>
      <c r="R128">
        <f t="shared" si="7"/>
        <v>1.1509862412934573</v>
      </c>
      <c r="S128">
        <f t="shared" si="8"/>
        <v>-1.0986241293457377E-2</v>
      </c>
      <c r="T128">
        <f t="shared" si="9"/>
        <v>1.2069749775806803E-4</v>
      </c>
    </row>
    <row r="129" spans="1:20" hidden="1" x14ac:dyDescent="0.25">
      <c r="A129" t="str">
        <f t="shared" si="6"/>
        <v>BAR</v>
      </c>
      <c r="B129" t="s">
        <v>135</v>
      </c>
      <c r="C129">
        <v>1.8912112000000001</v>
      </c>
      <c r="D129">
        <v>6.6549513000000005E-2</v>
      </c>
      <c r="E129">
        <v>0.687053998</v>
      </c>
      <c r="F129">
        <v>0.39224996200000001</v>
      </c>
      <c r="G129">
        <v>0.746520823</v>
      </c>
      <c r="H129">
        <v>1.21</v>
      </c>
      <c r="I129">
        <v>1.23080977073367</v>
      </c>
      <c r="J129">
        <v>1.2782985811352601</v>
      </c>
      <c r="K129">
        <v>1.20281364164348</v>
      </c>
      <c r="L129">
        <v>1.17100179902183</v>
      </c>
      <c r="M129">
        <v>1.2545541759344601</v>
      </c>
      <c r="N129">
        <v>1.2543294557556499</v>
      </c>
      <c r="Q129">
        <f t="shared" ref="Q129:Q192" si="10">H129</f>
        <v>1.21</v>
      </c>
      <c r="R129">
        <f t="shared" si="7"/>
        <v>1.1720756849749558</v>
      </c>
      <c r="S129">
        <f t="shared" si="8"/>
        <v>3.792431502504412E-2</v>
      </c>
      <c r="T129">
        <f t="shared" si="9"/>
        <v>1.4382536701187871E-3</v>
      </c>
    </row>
    <row r="130" spans="1:20" hidden="1" x14ac:dyDescent="0.25">
      <c r="A130" t="str">
        <f t="shared" si="6"/>
        <v>BAR</v>
      </c>
      <c r="B130" t="s">
        <v>136</v>
      </c>
      <c r="C130">
        <v>1.856718702</v>
      </c>
      <c r="D130">
        <v>6.4869755000000001E-2</v>
      </c>
      <c r="E130">
        <v>0.67830490799999998</v>
      </c>
      <c r="F130">
        <v>0.386274958</v>
      </c>
      <c r="G130">
        <v>0.73977323900000003</v>
      </c>
      <c r="H130">
        <v>0.92</v>
      </c>
      <c r="I130">
        <v>1.2239746585642901</v>
      </c>
      <c r="J130">
        <v>1.2403234812789701</v>
      </c>
      <c r="K130">
        <v>1.2717110562794001</v>
      </c>
      <c r="L130">
        <v>1.25010001889968</v>
      </c>
      <c r="M130">
        <v>1.23214906992163</v>
      </c>
      <c r="N130">
        <v>1.2321219539914501</v>
      </c>
      <c r="Q130">
        <f t="shared" si="10"/>
        <v>0.92</v>
      </c>
      <c r="R130">
        <f t="shared" si="7"/>
        <v>1.1376528421716792</v>
      </c>
      <c r="S130">
        <f t="shared" si="8"/>
        <v>-0.21765284217167913</v>
      </c>
      <c r="T130">
        <f t="shared" si="9"/>
        <v>4.7372759705409863E-2</v>
      </c>
    </row>
    <row r="131" spans="1:20" hidden="1" x14ac:dyDescent="0.25">
      <c r="A131" t="str">
        <f t="shared" ref="A131:A194" si="11">LEFT(B131,3)</f>
        <v>BAR</v>
      </c>
      <c r="B131" t="s">
        <v>137</v>
      </c>
      <c r="C131">
        <v>1.9484011400000001</v>
      </c>
      <c r="D131">
        <v>6.1687919000000001E-2</v>
      </c>
      <c r="E131">
        <v>0.68858589400000003</v>
      </c>
      <c r="F131">
        <v>0.39221791</v>
      </c>
      <c r="G131">
        <v>0.76594312499999995</v>
      </c>
      <c r="H131">
        <v>1.1100000000000001</v>
      </c>
      <c r="I131">
        <v>1.1068308429781899</v>
      </c>
      <c r="J131">
        <v>1.10714464814618</v>
      </c>
      <c r="K131">
        <v>1.0925456730277201</v>
      </c>
      <c r="L131">
        <v>1.0951814386005601</v>
      </c>
      <c r="M131">
        <v>1.1069877455621899</v>
      </c>
      <c r="N131">
        <v>1.10698773444263</v>
      </c>
      <c r="Q131">
        <f t="shared" si="10"/>
        <v>1.1100000000000001</v>
      </c>
      <c r="R131">
        <f t="shared" ref="R131:R194" si="12">$X$2*F131+$X$3*D131*E131+($X$4/(D131-$X$5))-$X$6*C131</f>
        <v>0.98895457939701981</v>
      </c>
      <c r="S131">
        <f t="shared" ref="S131:S194" si="13">Q131-R131</f>
        <v>0.12104542060298029</v>
      </c>
      <c r="T131">
        <f t="shared" ref="T131:T194" si="14">S131^2</f>
        <v>1.4651993848952405E-2</v>
      </c>
    </row>
    <row r="132" spans="1:20" hidden="1" x14ac:dyDescent="0.25">
      <c r="A132" t="str">
        <f t="shared" si="11"/>
        <v>BAR</v>
      </c>
      <c r="B132" t="s">
        <v>138</v>
      </c>
      <c r="C132">
        <v>1.9513602779999999</v>
      </c>
      <c r="D132">
        <v>5.3976826999999998E-2</v>
      </c>
      <c r="E132">
        <v>0.698181681</v>
      </c>
      <c r="F132">
        <v>0.54074969100000003</v>
      </c>
      <c r="G132">
        <v>0.80426117100000005</v>
      </c>
      <c r="H132">
        <v>1.51</v>
      </c>
      <c r="I132">
        <v>1.5720620176331599</v>
      </c>
      <c r="J132">
        <v>1.48856722491856</v>
      </c>
      <c r="K132">
        <v>1.58601994433141</v>
      </c>
      <c r="L132">
        <v>1.5464740164475199</v>
      </c>
      <c r="M132">
        <v>1.53031462127586</v>
      </c>
      <c r="N132">
        <v>1.5297450751638599</v>
      </c>
      <c r="Q132">
        <f t="shared" si="10"/>
        <v>1.51</v>
      </c>
      <c r="R132">
        <f t="shared" si="12"/>
        <v>1.4602594178838775</v>
      </c>
      <c r="S132">
        <f t="shared" si="13"/>
        <v>4.9740582116122534E-2</v>
      </c>
      <c r="T132">
        <f t="shared" si="14"/>
        <v>2.474125509250729E-3</v>
      </c>
    </row>
    <row r="133" spans="1:20" hidden="1" x14ac:dyDescent="0.25">
      <c r="A133" t="str">
        <f t="shared" si="11"/>
        <v>BAR</v>
      </c>
      <c r="B133" t="s">
        <v>139</v>
      </c>
      <c r="C133">
        <v>1.8401845560000001</v>
      </c>
      <c r="D133">
        <v>4.9120011999999998E-2</v>
      </c>
      <c r="E133">
        <v>0.72971493099999996</v>
      </c>
      <c r="F133">
        <v>0.68512655200000006</v>
      </c>
      <c r="G133">
        <v>0.83842935399999996</v>
      </c>
      <c r="H133">
        <v>2.5499999999999998</v>
      </c>
      <c r="I133">
        <v>2.0468558002916999</v>
      </c>
      <c r="J133">
        <v>2.0555679473241399</v>
      </c>
      <c r="K133">
        <v>2.24310760698418</v>
      </c>
      <c r="L133">
        <v>2.0674441254227598</v>
      </c>
      <c r="M133">
        <v>2.0512118738079201</v>
      </c>
      <c r="N133">
        <v>2.0512072483964499</v>
      </c>
      <c r="Q133">
        <f t="shared" si="10"/>
        <v>2.5499999999999998</v>
      </c>
      <c r="R133">
        <f t="shared" si="12"/>
        <v>2.1393289550875041</v>
      </c>
      <c r="S133">
        <f t="shared" si="13"/>
        <v>0.41067104491249573</v>
      </c>
      <c r="T133">
        <f t="shared" si="14"/>
        <v>0.1686507071295211</v>
      </c>
    </row>
    <row r="134" spans="1:20" hidden="1" x14ac:dyDescent="0.25">
      <c r="A134" t="str">
        <f t="shared" si="11"/>
        <v>BAR</v>
      </c>
      <c r="B134" t="s">
        <v>140</v>
      </c>
      <c r="C134">
        <v>1.9704398700000001</v>
      </c>
      <c r="D134">
        <v>5.0259897999999997E-2</v>
      </c>
      <c r="E134">
        <v>0.71590624300000005</v>
      </c>
      <c r="F134">
        <v>0.62490577800000002</v>
      </c>
      <c r="G134">
        <v>0.82275343000000001</v>
      </c>
      <c r="H134">
        <v>1.82</v>
      </c>
      <c r="I134">
        <v>1.7570663387963701</v>
      </c>
      <c r="J134">
        <v>1.7161198808150899</v>
      </c>
      <c r="K134">
        <v>1.8591601626385501</v>
      </c>
      <c r="L134">
        <v>1.7694373982298399</v>
      </c>
      <c r="M134">
        <v>1.7365931098057299</v>
      </c>
      <c r="N134">
        <v>1.73647242302302</v>
      </c>
      <c r="Q134">
        <f t="shared" si="10"/>
        <v>1.82</v>
      </c>
      <c r="R134">
        <f t="shared" si="12"/>
        <v>1.7350096245085793</v>
      </c>
      <c r="S134">
        <f t="shared" si="13"/>
        <v>8.4990375491420744E-2</v>
      </c>
      <c r="T134">
        <f t="shared" si="14"/>
        <v>7.2233639261726915E-3</v>
      </c>
    </row>
    <row r="135" spans="1:20" hidden="1" x14ac:dyDescent="0.25">
      <c r="A135" t="str">
        <f t="shared" si="11"/>
        <v>BAR</v>
      </c>
      <c r="B135" t="s">
        <v>141</v>
      </c>
      <c r="C135">
        <v>1.9743244980000001</v>
      </c>
      <c r="D135">
        <v>4.5060168999999997E-2</v>
      </c>
      <c r="E135">
        <v>0.74402943600000004</v>
      </c>
      <c r="F135">
        <v>0.63363278700000003</v>
      </c>
      <c r="G135">
        <v>0.84594455999999996</v>
      </c>
      <c r="H135">
        <v>1.95</v>
      </c>
      <c r="I135">
        <v>1.6548133005700401</v>
      </c>
      <c r="J135">
        <v>1.66002090786489</v>
      </c>
      <c r="K135">
        <v>1.7914873784771701</v>
      </c>
      <c r="L135">
        <v>1.6343891183136701</v>
      </c>
      <c r="M135">
        <v>1.6574171042174599</v>
      </c>
      <c r="N135">
        <v>1.65741505892736</v>
      </c>
      <c r="Q135">
        <f t="shared" si="10"/>
        <v>1.95</v>
      </c>
      <c r="R135">
        <f t="shared" si="12"/>
        <v>1.6825606593694089</v>
      </c>
      <c r="S135">
        <f t="shared" si="13"/>
        <v>0.26743934063059105</v>
      </c>
      <c r="T135">
        <f t="shared" si="14"/>
        <v>7.1523800916925312E-2</v>
      </c>
    </row>
    <row r="136" spans="1:20" hidden="1" x14ac:dyDescent="0.25">
      <c r="A136" t="str">
        <f t="shared" si="11"/>
        <v>BAR</v>
      </c>
      <c r="B136" t="s">
        <v>142</v>
      </c>
      <c r="C136">
        <v>1.889705162</v>
      </c>
      <c r="D136">
        <v>4.8367947000000001E-2</v>
      </c>
      <c r="E136">
        <v>0.73470841899999995</v>
      </c>
      <c r="F136">
        <v>0.67818394299999996</v>
      </c>
      <c r="G136">
        <v>0.83786160700000001</v>
      </c>
      <c r="H136">
        <v>2.0499999999999998</v>
      </c>
      <c r="I136">
        <v>1.95952359912549</v>
      </c>
      <c r="J136">
        <v>1.9690479994441701</v>
      </c>
      <c r="K136">
        <v>2.1256392778886899</v>
      </c>
      <c r="L136">
        <v>1.9813720309541101</v>
      </c>
      <c r="M136">
        <v>1.9642857992848299</v>
      </c>
      <c r="N136">
        <v>1.96428002655469</v>
      </c>
      <c r="Q136">
        <f t="shared" si="10"/>
        <v>2.0499999999999998</v>
      </c>
      <c r="R136">
        <f t="shared" si="12"/>
        <v>2.0378704829125742</v>
      </c>
      <c r="S136">
        <f t="shared" si="13"/>
        <v>1.2129517087425601E-2</v>
      </c>
      <c r="T136">
        <f t="shared" si="14"/>
        <v>1.4712518477414963E-4</v>
      </c>
    </row>
    <row r="137" spans="1:20" hidden="1" x14ac:dyDescent="0.25">
      <c r="A137" t="str">
        <f t="shared" si="11"/>
        <v>BAR</v>
      </c>
      <c r="B137" t="s">
        <v>143</v>
      </c>
      <c r="C137">
        <v>1.8682040390000001</v>
      </c>
      <c r="D137">
        <v>4.8274451000000003E-2</v>
      </c>
      <c r="E137">
        <v>0.72688997499999997</v>
      </c>
      <c r="F137">
        <v>0.63049340300000001</v>
      </c>
      <c r="G137">
        <v>0.82297857200000002</v>
      </c>
      <c r="H137">
        <v>1.76</v>
      </c>
      <c r="I137">
        <v>1.8525727853254199</v>
      </c>
      <c r="J137">
        <v>1.8069436990010199</v>
      </c>
      <c r="K137">
        <v>2.0470922198162</v>
      </c>
      <c r="L137">
        <v>1.9180978520498</v>
      </c>
      <c r="M137">
        <v>1.8297582421632199</v>
      </c>
      <c r="N137">
        <v>1.82961600380641</v>
      </c>
      <c r="Q137">
        <f t="shared" si="10"/>
        <v>1.76</v>
      </c>
      <c r="R137">
        <f t="shared" si="12"/>
        <v>1.8508527857724815</v>
      </c>
      <c r="S137">
        <f t="shared" si="13"/>
        <v>-9.0852785772481459E-2</v>
      </c>
      <c r="T137">
        <f t="shared" si="14"/>
        <v>8.2542286826204087E-3</v>
      </c>
    </row>
    <row r="138" spans="1:20" hidden="1" x14ac:dyDescent="0.25">
      <c r="A138" t="str">
        <f t="shared" si="11"/>
        <v>BAR</v>
      </c>
      <c r="B138" t="s">
        <v>144</v>
      </c>
      <c r="C138">
        <v>1.863073671</v>
      </c>
      <c r="D138">
        <v>4.5692890999999999E-2</v>
      </c>
      <c r="E138">
        <v>0.71623048600000006</v>
      </c>
      <c r="F138">
        <v>0.62326153500000003</v>
      </c>
      <c r="G138">
        <v>0.81721845699999995</v>
      </c>
      <c r="H138">
        <v>1.92</v>
      </c>
      <c r="I138">
        <v>1.7998626066586201</v>
      </c>
      <c r="J138">
        <v>1.7242551654482601</v>
      </c>
      <c r="K138">
        <v>1.9926686465266299</v>
      </c>
      <c r="L138">
        <v>1.89366233214574</v>
      </c>
      <c r="M138">
        <v>1.7620588860534401</v>
      </c>
      <c r="N138">
        <v>1.76165331340429</v>
      </c>
      <c r="Q138">
        <f t="shared" si="10"/>
        <v>1.92</v>
      </c>
      <c r="R138">
        <f t="shared" si="12"/>
        <v>1.7637172541754578</v>
      </c>
      <c r="S138">
        <f t="shared" si="13"/>
        <v>0.15628274582454216</v>
      </c>
      <c r="T138">
        <f t="shared" si="14"/>
        <v>2.4424296642458449E-2</v>
      </c>
    </row>
    <row r="139" spans="1:20" hidden="1" x14ac:dyDescent="0.25">
      <c r="A139" t="str">
        <f t="shared" si="11"/>
        <v>BAR</v>
      </c>
      <c r="B139" t="s">
        <v>145</v>
      </c>
      <c r="C139">
        <v>1.9049161020000001</v>
      </c>
      <c r="D139">
        <v>4.8131328000000001E-2</v>
      </c>
      <c r="E139">
        <v>0.71744824600000001</v>
      </c>
      <c r="F139">
        <v>0.62816547700000003</v>
      </c>
      <c r="G139">
        <v>0.82216385299999994</v>
      </c>
      <c r="H139">
        <v>1.71</v>
      </c>
      <c r="I139">
        <v>1.80267617656875</v>
      </c>
      <c r="J139">
        <v>1.75088601187781</v>
      </c>
      <c r="K139">
        <v>1.9852125457135199</v>
      </c>
      <c r="L139">
        <v>1.8797024929748001</v>
      </c>
      <c r="M139">
        <v>1.77678109422328</v>
      </c>
      <c r="N139">
        <v>1.77659238473534</v>
      </c>
      <c r="Q139">
        <f t="shared" si="10"/>
        <v>1.71</v>
      </c>
      <c r="R139">
        <f t="shared" si="12"/>
        <v>1.785215462202963</v>
      </c>
      <c r="S139">
        <f t="shared" si="13"/>
        <v>-7.5215462202963046E-2</v>
      </c>
      <c r="T139">
        <f t="shared" si="14"/>
        <v>5.657365754405363E-3</v>
      </c>
    </row>
    <row r="140" spans="1:20" hidden="1" x14ac:dyDescent="0.25">
      <c r="A140" t="str">
        <f t="shared" si="11"/>
        <v>BAR</v>
      </c>
      <c r="B140" t="s">
        <v>146</v>
      </c>
      <c r="C140">
        <v>1.911109924</v>
      </c>
      <c r="D140">
        <v>4.3796461000000002E-2</v>
      </c>
      <c r="E140">
        <v>0.70708016299999998</v>
      </c>
      <c r="F140">
        <v>0.60375294199999996</v>
      </c>
      <c r="G140">
        <v>0.81308414900000003</v>
      </c>
      <c r="H140">
        <v>1.74</v>
      </c>
      <c r="I140">
        <v>1.6564087427135299</v>
      </c>
      <c r="J140">
        <v>1.55987422266276</v>
      </c>
      <c r="K140">
        <v>1.84817815995861</v>
      </c>
      <c r="L140">
        <v>1.7254329694569099</v>
      </c>
      <c r="M140">
        <v>1.6081414826881399</v>
      </c>
      <c r="N140">
        <v>1.6074169651811101</v>
      </c>
      <c r="Q140">
        <f t="shared" si="10"/>
        <v>1.74</v>
      </c>
      <c r="R140">
        <f t="shared" si="12"/>
        <v>1.5762216330265924</v>
      </c>
      <c r="S140">
        <f t="shared" si="13"/>
        <v>0.16377836697340764</v>
      </c>
      <c r="T140">
        <f t="shared" si="14"/>
        <v>2.6823353488476184E-2</v>
      </c>
    </row>
    <row r="141" spans="1:20" hidden="1" x14ac:dyDescent="0.25">
      <c r="A141" t="str">
        <f t="shared" si="11"/>
        <v>BAR</v>
      </c>
      <c r="B141" t="s">
        <v>147</v>
      </c>
      <c r="C141">
        <v>1.7708964650000001</v>
      </c>
      <c r="D141">
        <v>4.7714350000000003E-2</v>
      </c>
      <c r="E141">
        <v>0.72862957100000003</v>
      </c>
      <c r="F141">
        <v>0.67016716200000004</v>
      </c>
      <c r="G141">
        <v>0.83038876900000003</v>
      </c>
      <c r="H141">
        <v>2.09</v>
      </c>
      <c r="I141">
        <v>2.0653323333786999</v>
      </c>
      <c r="J141">
        <v>2.0398234357613099</v>
      </c>
      <c r="K141">
        <v>2.3007349022207801</v>
      </c>
      <c r="L141">
        <v>2.1653492525922</v>
      </c>
      <c r="M141">
        <v>2.05257788457001</v>
      </c>
      <c r="N141">
        <v>2.0525382569544202</v>
      </c>
      <c r="Q141">
        <f t="shared" si="10"/>
        <v>2.09</v>
      </c>
      <c r="R141">
        <f t="shared" si="12"/>
        <v>2.1287592891463776</v>
      </c>
      <c r="S141">
        <f t="shared" si="13"/>
        <v>-3.8759289146377718E-2</v>
      </c>
      <c r="T141">
        <f t="shared" si="14"/>
        <v>1.5022824951325135E-3</v>
      </c>
    </row>
    <row r="142" spans="1:20" hidden="1" x14ac:dyDescent="0.25">
      <c r="A142" t="str">
        <f t="shared" si="11"/>
        <v>BAR</v>
      </c>
      <c r="B142" t="s">
        <v>148</v>
      </c>
      <c r="C142">
        <v>1.8196502450000001</v>
      </c>
      <c r="D142">
        <v>4.5627872E-2</v>
      </c>
      <c r="E142">
        <v>0.70964562600000003</v>
      </c>
      <c r="F142">
        <v>0.603665491</v>
      </c>
      <c r="G142">
        <v>0.81293643000000004</v>
      </c>
      <c r="H142">
        <v>1.57</v>
      </c>
      <c r="I142">
        <v>1.78584662171108</v>
      </c>
      <c r="J142">
        <v>1.6892243769470101</v>
      </c>
      <c r="K142">
        <v>2.0668890344812798</v>
      </c>
      <c r="L142">
        <v>1.94066490314013</v>
      </c>
      <c r="M142">
        <v>1.7375354993290399</v>
      </c>
      <c r="N142">
        <v>1.73686373872069</v>
      </c>
      <c r="Q142">
        <f t="shared" si="10"/>
        <v>1.57</v>
      </c>
      <c r="R142">
        <f t="shared" si="12"/>
        <v>1.7257529366480027</v>
      </c>
      <c r="S142">
        <f t="shared" si="13"/>
        <v>-0.1557529366480026</v>
      </c>
      <c r="T142">
        <f t="shared" si="14"/>
        <v>2.4258977274476713E-2</v>
      </c>
    </row>
    <row r="143" spans="1:20" hidden="1" x14ac:dyDescent="0.25">
      <c r="A143" t="str">
        <f t="shared" si="11"/>
        <v>BAR</v>
      </c>
      <c r="B143" t="s">
        <v>149</v>
      </c>
      <c r="C143">
        <v>1.8922336040000001</v>
      </c>
      <c r="D143">
        <v>4.4559418000000003E-2</v>
      </c>
      <c r="E143">
        <v>0.71238214399999999</v>
      </c>
      <c r="F143">
        <v>0.62710094299999997</v>
      </c>
      <c r="G143">
        <v>0.81478181199999999</v>
      </c>
      <c r="H143">
        <v>1.64</v>
      </c>
      <c r="I143">
        <v>1.76711591898145</v>
      </c>
      <c r="J143">
        <v>1.6835860776364999</v>
      </c>
      <c r="K143">
        <v>2.0135475326602799</v>
      </c>
      <c r="L143">
        <v>1.91962246490271</v>
      </c>
      <c r="M143">
        <v>1.7253509983089801</v>
      </c>
      <c r="N143">
        <v>1.72484543039862</v>
      </c>
      <c r="Q143">
        <f t="shared" si="10"/>
        <v>1.64</v>
      </c>
      <c r="R143">
        <f t="shared" si="12"/>
        <v>1.7186917405580235</v>
      </c>
      <c r="S143">
        <f t="shared" si="13"/>
        <v>-7.8691740558023637E-2</v>
      </c>
      <c r="T143">
        <f t="shared" si="14"/>
        <v>6.1923900320513025E-3</v>
      </c>
    </row>
    <row r="144" spans="1:20" hidden="1" x14ac:dyDescent="0.25">
      <c r="A144" t="str">
        <f t="shared" si="11"/>
        <v>BAR</v>
      </c>
      <c r="B144" t="s">
        <v>150</v>
      </c>
      <c r="C144">
        <v>1.8279297720000001</v>
      </c>
      <c r="D144">
        <v>4.5965101000000001E-2</v>
      </c>
      <c r="E144">
        <v>0.71736190899999996</v>
      </c>
      <c r="F144">
        <v>0.60326418699999995</v>
      </c>
      <c r="G144">
        <v>0.822994526</v>
      </c>
      <c r="H144">
        <v>1.63</v>
      </c>
      <c r="I144">
        <v>1.7632992639849101</v>
      </c>
      <c r="J144">
        <v>1.69232423455028</v>
      </c>
      <c r="K144">
        <v>2.0313036056580098</v>
      </c>
      <c r="L144">
        <v>1.9387438636713299</v>
      </c>
      <c r="M144">
        <v>1.7278117492676</v>
      </c>
      <c r="N144">
        <v>1.72744727190335</v>
      </c>
      <c r="Q144">
        <f t="shared" si="10"/>
        <v>1.63</v>
      </c>
      <c r="R144">
        <f t="shared" si="12"/>
        <v>1.7271470013459771</v>
      </c>
      <c r="S144">
        <f t="shared" si="13"/>
        <v>-9.7147001345977202E-2</v>
      </c>
      <c r="T144">
        <f t="shared" si="14"/>
        <v>9.437539870515297E-3</v>
      </c>
    </row>
    <row r="145" spans="1:20" hidden="1" x14ac:dyDescent="0.25">
      <c r="A145" t="str">
        <f t="shared" si="11"/>
        <v>BAR</v>
      </c>
      <c r="B145" t="s">
        <v>151</v>
      </c>
      <c r="C145">
        <v>1.918348875</v>
      </c>
      <c r="D145">
        <v>4.7520244000000003E-2</v>
      </c>
      <c r="E145">
        <v>0.72313464599999999</v>
      </c>
      <c r="F145">
        <v>0.54889214799999997</v>
      </c>
      <c r="G145">
        <v>0.81384185399999998</v>
      </c>
      <c r="H145">
        <v>1.42</v>
      </c>
      <c r="I145">
        <v>1.51488812078451</v>
      </c>
      <c r="J145">
        <v>1.4384706495978301</v>
      </c>
      <c r="K145">
        <v>1.6341538994109299</v>
      </c>
      <c r="L145">
        <v>1.5391109632939499</v>
      </c>
      <c r="M145">
        <v>1.4766793851911699</v>
      </c>
      <c r="N145">
        <v>1.4761849813532699</v>
      </c>
      <c r="Q145">
        <f t="shared" si="10"/>
        <v>1.42</v>
      </c>
      <c r="R145">
        <f t="shared" si="12"/>
        <v>1.4212442901491884</v>
      </c>
      <c r="S145">
        <f t="shared" si="13"/>
        <v>-1.2442901491884761E-3</v>
      </c>
      <c r="T145">
        <f t="shared" si="14"/>
        <v>1.5482579753674801E-6</v>
      </c>
    </row>
    <row r="146" spans="1:20" hidden="1" x14ac:dyDescent="0.25">
      <c r="A146" t="str">
        <f t="shared" si="11"/>
        <v>BAR</v>
      </c>
      <c r="B146" t="s">
        <v>152</v>
      </c>
      <c r="C146">
        <v>1.834115086</v>
      </c>
      <c r="D146">
        <v>4.3178111999999998E-2</v>
      </c>
      <c r="E146">
        <v>0.71999295799999996</v>
      </c>
      <c r="F146">
        <v>0.62632772699999995</v>
      </c>
      <c r="G146">
        <v>0.82947822800000004</v>
      </c>
      <c r="H146">
        <v>1.61</v>
      </c>
      <c r="I146">
        <v>1.7744086956599601</v>
      </c>
      <c r="J146">
        <v>1.71728831623822</v>
      </c>
      <c r="K146">
        <v>2.0216417575492298</v>
      </c>
      <c r="L146">
        <v>1.8712229579453501</v>
      </c>
      <c r="M146">
        <v>1.74584850594909</v>
      </c>
      <c r="N146">
        <v>1.74561488344032</v>
      </c>
      <c r="Q146">
        <f t="shared" si="10"/>
        <v>1.61</v>
      </c>
      <c r="R146">
        <f t="shared" si="12"/>
        <v>1.7640535702575568</v>
      </c>
      <c r="S146">
        <f t="shared" si="13"/>
        <v>-0.15405357025755673</v>
      </c>
      <c r="T146">
        <f t="shared" si="14"/>
        <v>2.3732502509099966E-2</v>
      </c>
    </row>
    <row r="147" spans="1:20" hidden="1" x14ac:dyDescent="0.25">
      <c r="A147" t="str">
        <f t="shared" si="11"/>
        <v>BAR</v>
      </c>
      <c r="B147" t="s">
        <v>153</v>
      </c>
      <c r="C147">
        <v>1.9388177310000001</v>
      </c>
      <c r="D147">
        <v>4.6577288000000001E-2</v>
      </c>
      <c r="E147">
        <v>0.72890818199999996</v>
      </c>
      <c r="F147">
        <v>0.63283339000000005</v>
      </c>
      <c r="G147">
        <v>0.82668140899999998</v>
      </c>
      <c r="H147">
        <v>1.9</v>
      </c>
      <c r="I147">
        <v>1.74755601294735</v>
      </c>
      <c r="J147">
        <v>1.71166613645435</v>
      </c>
      <c r="K147">
        <v>1.95344156918086</v>
      </c>
      <c r="L147">
        <v>1.8321419573461699</v>
      </c>
      <c r="M147">
        <v>1.72961107470085</v>
      </c>
      <c r="N147">
        <v>1.7295179816697901</v>
      </c>
      <c r="Q147">
        <f t="shared" si="10"/>
        <v>1.9</v>
      </c>
      <c r="R147">
        <f t="shared" si="12"/>
        <v>1.7414299481029416</v>
      </c>
      <c r="S147">
        <f t="shared" si="13"/>
        <v>0.15857005189705831</v>
      </c>
      <c r="T147">
        <f t="shared" si="14"/>
        <v>2.5144461358635763E-2</v>
      </c>
    </row>
    <row r="148" spans="1:20" hidden="1" x14ac:dyDescent="0.25">
      <c r="A148" t="str">
        <f t="shared" si="11"/>
        <v>BAR</v>
      </c>
      <c r="B148" t="s">
        <v>154</v>
      </c>
      <c r="C148">
        <v>1.852693989</v>
      </c>
      <c r="D148">
        <v>4.8534677999999998E-2</v>
      </c>
      <c r="E148">
        <v>0.70487960299999997</v>
      </c>
      <c r="F148">
        <v>0.57140215299999997</v>
      </c>
      <c r="G148">
        <v>0.80428271100000004</v>
      </c>
      <c r="H148">
        <v>1.83</v>
      </c>
      <c r="I148">
        <v>1.69860589678022</v>
      </c>
      <c r="J148">
        <v>1.5924074556599801</v>
      </c>
      <c r="K148">
        <v>1.88303073556811</v>
      </c>
      <c r="L148">
        <v>1.7862072119035</v>
      </c>
      <c r="M148">
        <v>1.6455066762201001</v>
      </c>
      <c r="N148">
        <v>1.6446497178003701</v>
      </c>
      <c r="Q148">
        <f t="shared" si="10"/>
        <v>1.83</v>
      </c>
      <c r="R148">
        <f t="shared" si="12"/>
        <v>1.6028420282016493</v>
      </c>
      <c r="S148">
        <f t="shared" si="13"/>
        <v>0.22715797179835073</v>
      </c>
      <c r="T148">
        <f t="shared" si="14"/>
        <v>5.1600744151540305E-2</v>
      </c>
    </row>
    <row r="149" spans="1:20" hidden="1" x14ac:dyDescent="0.25">
      <c r="A149" t="str">
        <f t="shared" si="11"/>
        <v>BAR</v>
      </c>
      <c r="B149" t="s">
        <v>155</v>
      </c>
      <c r="C149">
        <v>1.952690101</v>
      </c>
      <c r="D149">
        <v>4.8376804000000002E-2</v>
      </c>
      <c r="E149">
        <v>0.71656536699999995</v>
      </c>
      <c r="F149">
        <v>0.58055663999999996</v>
      </c>
      <c r="G149">
        <v>0.81629592399999995</v>
      </c>
      <c r="H149">
        <v>1.73</v>
      </c>
      <c r="I149">
        <v>1.6001374980932199</v>
      </c>
      <c r="J149">
        <v>1.5325665497871199</v>
      </c>
      <c r="K149">
        <v>1.76899869463647</v>
      </c>
      <c r="L149">
        <v>1.65920459543152</v>
      </c>
      <c r="M149">
        <v>1.56635202394017</v>
      </c>
      <c r="N149">
        <v>1.5659876131814501</v>
      </c>
      <c r="Q149">
        <f t="shared" si="10"/>
        <v>1.73</v>
      </c>
      <c r="R149">
        <f t="shared" si="12"/>
        <v>1.5275136433626337</v>
      </c>
      <c r="S149">
        <f t="shared" si="13"/>
        <v>0.20248635663736625</v>
      </c>
      <c r="T149">
        <f t="shared" si="14"/>
        <v>4.1000724624274676E-2</v>
      </c>
    </row>
    <row r="150" spans="1:20" hidden="1" x14ac:dyDescent="0.25">
      <c r="A150" t="str">
        <f t="shared" si="11"/>
        <v>BAR</v>
      </c>
      <c r="B150" t="s">
        <v>156</v>
      </c>
      <c r="C150">
        <v>1.9439787749999999</v>
      </c>
      <c r="D150">
        <v>4.7009680999999998E-2</v>
      </c>
      <c r="E150">
        <v>0.72904535500000001</v>
      </c>
      <c r="F150">
        <v>0.659719995</v>
      </c>
      <c r="G150">
        <v>0.829919992</v>
      </c>
      <c r="H150">
        <v>1.97</v>
      </c>
      <c r="I150">
        <v>1.8327836939075399</v>
      </c>
      <c r="J150">
        <v>1.81421492020029</v>
      </c>
      <c r="K150">
        <v>2.0692213751058</v>
      </c>
      <c r="L150">
        <v>1.9286569802370399</v>
      </c>
      <c r="M150">
        <v>1.82349930705392</v>
      </c>
      <c r="N150">
        <v>1.8234756710707301</v>
      </c>
      <c r="Q150">
        <f t="shared" si="10"/>
        <v>1.97</v>
      </c>
      <c r="R150">
        <f t="shared" si="12"/>
        <v>1.8595196391205864</v>
      </c>
      <c r="S150">
        <f t="shared" si="13"/>
        <v>0.1104803608794136</v>
      </c>
      <c r="T150">
        <f t="shared" si="14"/>
        <v>1.2205910140045462E-2</v>
      </c>
    </row>
    <row r="151" spans="1:20" hidden="1" x14ac:dyDescent="0.25">
      <c r="A151" t="str">
        <f t="shared" si="11"/>
        <v>BAR</v>
      </c>
      <c r="B151" t="s">
        <v>157</v>
      </c>
      <c r="C151">
        <v>1.962592125</v>
      </c>
      <c r="D151">
        <v>4.8102353E-2</v>
      </c>
      <c r="E151">
        <v>0.72616964500000003</v>
      </c>
      <c r="F151">
        <v>0.66832568599999997</v>
      </c>
      <c r="G151">
        <v>0.82906632199999997</v>
      </c>
      <c r="H151">
        <v>2.74</v>
      </c>
      <c r="I151">
        <v>1.86179837083043</v>
      </c>
      <c r="J151">
        <v>1.84734224354166</v>
      </c>
      <c r="K151">
        <v>2.07473770928569</v>
      </c>
      <c r="L151">
        <v>1.9555737844922101</v>
      </c>
      <c r="M151">
        <v>1.85457030718604</v>
      </c>
      <c r="N151">
        <v>1.8545562216854199</v>
      </c>
      <c r="Q151">
        <f t="shared" si="10"/>
        <v>2.74</v>
      </c>
      <c r="R151">
        <f t="shared" si="12"/>
        <v>1.8942153381978888</v>
      </c>
      <c r="S151">
        <f t="shared" si="13"/>
        <v>0.84578466180211143</v>
      </c>
      <c r="T151">
        <f t="shared" si="14"/>
        <v>0.715351694139712</v>
      </c>
    </row>
    <row r="152" spans="1:20" hidden="1" x14ac:dyDescent="0.25">
      <c r="A152" t="str">
        <f t="shared" si="11"/>
        <v>BAR</v>
      </c>
      <c r="B152" t="s">
        <v>158</v>
      </c>
      <c r="C152">
        <v>1.8683389319999999</v>
      </c>
      <c r="D152">
        <v>4.9827010999999997E-2</v>
      </c>
      <c r="E152">
        <v>0.72180794000000004</v>
      </c>
      <c r="F152">
        <v>0.62925987900000002</v>
      </c>
      <c r="G152">
        <v>0.82390522200000005</v>
      </c>
      <c r="H152">
        <v>1.83</v>
      </c>
      <c r="I152">
        <v>1.8726556961329399</v>
      </c>
      <c r="J152">
        <v>1.83026457550253</v>
      </c>
      <c r="K152">
        <v>2.0743568202821199</v>
      </c>
      <c r="L152">
        <v>1.9455325697513099</v>
      </c>
      <c r="M152">
        <v>1.85146013581774</v>
      </c>
      <c r="N152">
        <v>1.8513388081994</v>
      </c>
      <c r="Q152">
        <f t="shared" si="10"/>
        <v>1.83</v>
      </c>
      <c r="R152">
        <f t="shared" si="12"/>
        <v>1.8737036907376678</v>
      </c>
      <c r="S152">
        <f t="shared" si="13"/>
        <v>-4.3703690737667777E-2</v>
      </c>
      <c r="T152">
        <f t="shared" si="14"/>
        <v>1.9100125840937083E-3</v>
      </c>
    </row>
    <row r="153" spans="1:20" hidden="1" x14ac:dyDescent="0.25">
      <c r="A153" t="str">
        <f t="shared" si="11"/>
        <v>BAR</v>
      </c>
      <c r="B153" t="s">
        <v>159</v>
      </c>
      <c r="C153">
        <v>1.875378269</v>
      </c>
      <c r="D153">
        <v>5.0151768999999999E-2</v>
      </c>
      <c r="E153">
        <v>0.70843912200000003</v>
      </c>
      <c r="F153">
        <v>0.60164547400000001</v>
      </c>
      <c r="G153">
        <v>0.80803448300000003</v>
      </c>
      <c r="H153">
        <v>1.87</v>
      </c>
      <c r="I153">
        <v>1.80258253925349</v>
      </c>
      <c r="J153">
        <v>1.71704262417978</v>
      </c>
      <c r="K153">
        <v>1.955059585986</v>
      </c>
      <c r="L153">
        <v>1.86304913688776</v>
      </c>
      <c r="M153">
        <v>1.7598125817166299</v>
      </c>
      <c r="N153">
        <v>1.7592927708316299</v>
      </c>
      <c r="Q153">
        <f t="shared" si="10"/>
        <v>1.87</v>
      </c>
      <c r="R153">
        <f t="shared" si="12"/>
        <v>1.7417406972039928</v>
      </c>
      <c r="S153">
        <f t="shared" si="13"/>
        <v>0.12825930279600728</v>
      </c>
      <c r="T153">
        <f t="shared" si="14"/>
        <v>1.6450448753717879E-2</v>
      </c>
    </row>
    <row r="154" spans="1:20" hidden="1" x14ac:dyDescent="0.25">
      <c r="A154" t="str">
        <f t="shared" si="11"/>
        <v>BAR</v>
      </c>
      <c r="B154" t="s">
        <v>160</v>
      </c>
      <c r="C154">
        <v>1.939204363</v>
      </c>
      <c r="D154">
        <v>5.0481239999999997E-2</v>
      </c>
      <c r="E154">
        <v>0.72206343299999998</v>
      </c>
      <c r="F154">
        <v>0.60315659700000002</v>
      </c>
      <c r="G154">
        <v>0.82280898199999997</v>
      </c>
      <c r="H154">
        <v>1.79</v>
      </c>
      <c r="I154">
        <v>1.7192595431742601</v>
      </c>
      <c r="J154">
        <v>1.67746243924549</v>
      </c>
      <c r="K154">
        <v>1.8702909903226099</v>
      </c>
      <c r="L154">
        <v>1.73459877625327</v>
      </c>
      <c r="M154">
        <v>1.6983609912098701</v>
      </c>
      <c r="N154">
        <v>1.69823240664792</v>
      </c>
      <c r="Q154">
        <f t="shared" si="10"/>
        <v>1.79</v>
      </c>
      <c r="R154">
        <f t="shared" si="12"/>
        <v>1.6899196267319532</v>
      </c>
      <c r="S154">
        <f t="shared" si="13"/>
        <v>0.10008037326804686</v>
      </c>
      <c r="T154">
        <f t="shared" si="14"/>
        <v>1.0016081113471589E-2</v>
      </c>
    </row>
    <row r="155" spans="1:20" hidden="1" x14ac:dyDescent="0.25">
      <c r="A155" t="str">
        <f t="shared" si="11"/>
        <v>BAR</v>
      </c>
      <c r="B155" t="s">
        <v>161</v>
      </c>
      <c r="C155">
        <v>1.870113972</v>
      </c>
      <c r="D155">
        <v>5.1287776E-2</v>
      </c>
      <c r="E155">
        <v>0.70840080599999999</v>
      </c>
      <c r="F155">
        <v>0.56414581699999999</v>
      </c>
      <c r="G155">
        <v>0.81056372700000001</v>
      </c>
      <c r="H155">
        <v>1.97</v>
      </c>
      <c r="I155">
        <v>1.6907125062344599</v>
      </c>
      <c r="J155">
        <v>1.6082146429005399</v>
      </c>
      <c r="K155">
        <v>1.80749654556595</v>
      </c>
      <c r="L155">
        <v>1.72062094649742</v>
      </c>
      <c r="M155">
        <v>1.6494635745674999</v>
      </c>
      <c r="N155">
        <v>1.6489477279347999</v>
      </c>
      <c r="Q155">
        <f t="shared" si="10"/>
        <v>1.97</v>
      </c>
      <c r="R155">
        <f t="shared" si="12"/>
        <v>1.6113219895335908</v>
      </c>
      <c r="S155">
        <f t="shared" si="13"/>
        <v>0.35867801046640913</v>
      </c>
      <c r="T155">
        <f t="shared" si="14"/>
        <v>0.1286499151921415</v>
      </c>
    </row>
    <row r="156" spans="1:20" hidden="1" x14ac:dyDescent="0.25">
      <c r="A156" t="str">
        <f t="shared" si="11"/>
        <v>BAR</v>
      </c>
      <c r="B156" t="s">
        <v>162</v>
      </c>
      <c r="C156">
        <v>1.9331322719999999</v>
      </c>
      <c r="D156">
        <v>5.2794607E-2</v>
      </c>
      <c r="E156">
        <v>0.69176699699999999</v>
      </c>
      <c r="F156">
        <v>0.55519256800000005</v>
      </c>
      <c r="G156">
        <v>0.794918919</v>
      </c>
      <c r="H156">
        <v>1.61</v>
      </c>
      <c r="I156">
        <v>1.6343594653534099</v>
      </c>
      <c r="J156">
        <v>1.5289504978492401</v>
      </c>
      <c r="K156">
        <v>1.69093955202235</v>
      </c>
      <c r="L156">
        <v>1.6346375710944101</v>
      </c>
      <c r="M156">
        <v>1.5816549816013299</v>
      </c>
      <c r="N156">
        <v>1.58077661869624</v>
      </c>
      <c r="Q156">
        <f t="shared" si="10"/>
        <v>1.61</v>
      </c>
      <c r="R156">
        <f t="shared" si="12"/>
        <v>1.5129571394563328</v>
      </c>
      <c r="S156">
        <f t="shared" si="13"/>
        <v>9.7042860543667286E-2</v>
      </c>
      <c r="T156">
        <f t="shared" si="14"/>
        <v>9.4173167824976572E-3</v>
      </c>
    </row>
    <row r="157" spans="1:20" hidden="1" x14ac:dyDescent="0.25">
      <c r="A157" t="str">
        <f t="shared" si="11"/>
        <v>BAR</v>
      </c>
      <c r="B157" t="s">
        <v>163</v>
      </c>
      <c r="C157">
        <v>1.9252004789999999</v>
      </c>
      <c r="D157">
        <v>5.2220704E-2</v>
      </c>
      <c r="E157">
        <v>0.73144366299999997</v>
      </c>
      <c r="F157">
        <v>0.67538935099999997</v>
      </c>
      <c r="G157">
        <v>0.84056066500000004</v>
      </c>
      <c r="H157">
        <v>2.16</v>
      </c>
      <c r="I157">
        <v>1.98031130223651</v>
      </c>
      <c r="J157">
        <v>2.0020513916545002</v>
      </c>
      <c r="K157">
        <v>2.08391887830753</v>
      </c>
      <c r="L157">
        <v>1.8787713700939701</v>
      </c>
      <c r="M157">
        <v>1.9911813469455</v>
      </c>
      <c r="N157">
        <v>1.99115167643044</v>
      </c>
      <c r="Q157">
        <f t="shared" si="10"/>
        <v>2.16</v>
      </c>
      <c r="R157">
        <f t="shared" si="12"/>
        <v>2.062563553869988</v>
      </c>
      <c r="S157">
        <f t="shared" si="13"/>
        <v>9.7436446130012122E-2</v>
      </c>
      <c r="T157">
        <f t="shared" si="14"/>
        <v>9.4938610344467537E-3</v>
      </c>
    </row>
    <row r="158" spans="1:20" hidden="1" x14ac:dyDescent="0.25">
      <c r="A158" t="str">
        <f t="shared" si="11"/>
        <v>BAR</v>
      </c>
      <c r="B158" t="s">
        <v>164</v>
      </c>
      <c r="C158">
        <v>1.8755749850000001</v>
      </c>
      <c r="D158">
        <v>5.7170189000000003E-2</v>
      </c>
      <c r="E158">
        <v>0.71000369100000005</v>
      </c>
      <c r="F158">
        <v>0.58400458899999996</v>
      </c>
      <c r="G158">
        <v>0.80803305299999995</v>
      </c>
      <c r="H158">
        <v>1.63</v>
      </c>
      <c r="I158">
        <v>1.86222376988904</v>
      </c>
      <c r="J158">
        <v>1.8040561193957301</v>
      </c>
      <c r="K158">
        <v>1.8986305159406001</v>
      </c>
      <c r="L158">
        <v>1.8272350977593901</v>
      </c>
      <c r="M158">
        <v>1.8331399446423899</v>
      </c>
      <c r="N158">
        <v>1.8329092142690899</v>
      </c>
      <c r="Q158">
        <f t="shared" si="10"/>
        <v>1.63</v>
      </c>
      <c r="R158">
        <f t="shared" si="12"/>
        <v>1.8194409409370049</v>
      </c>
      <c r="S158">
        <f t="shared" si="13"/>
        <v>-0.18944094093700503</v>
      </c>
      <c r="T158">
        <f t="shared" si="14"/>
        <v>3.5887870103097831E-2</v>
      </c>
    </row>
    <row r="159" spans="1:20" hidden="1" x14ac:dyDescent="0.25">
      <c r="A159" t="str">
        <f t="shared" si="11"/>
        <v>BAR</v>
      </c>
      <c r="B159" t="s">
        <v>165</v>
      </c>
      <c r="C159">
        <v>1.8095016129999999</v>
      </c>
      <c r="D159">
        <v>5.5160009000000003E-2</v>
      </c>
      <c r="E159">
        <v>0.71066667299999997</v>
      </c>
      <c r="F159">
        <v>0.57191096600000002</v>
      </c>
      <c r="G159">
        <v>0.81519972500000004</v>
      </c>
      <c r="H159">
        <v>1.73</v>
      </c>
      <c r="I159">
        <v>1.84891854968859</v>
      </c>
      <c r="J159">
        <v>1.7821119938958001</v>
      </c>
      <c r="K159">
        <v>1.9562951671437301</v>
      </c>
      <c r="L159">
        <v>1.84864406987519</v>
      </c>
      <c r="M159">
        <v>1.8155152717922001</v>
      </c>
      <c r="N159">
        <v>1.81520795589279</v>
      </c>
      <c r="Q159">
        <f t="shared" si="10"/>
        <v>1.73</v>
      </c>
      <c r="R159">
        <f t="shared" si="12"/>
        <v>1.8038792704132689</v>
      </c>
      <c r="S159">
        <f t="shared" si="13"/>
        <v>-7.3879270413268916E-2</v>
      </c>
      <c r="T159">
        <f t="shared" si="14"/>
        <v>5.4581465967969119E-3</v>
      </c>
    </row>
    <row r="160" spans="1:20" hidden="1" x14ac:dyDescent="0.25">
      <c r="A160" t="str">
        <f t="shared" si="11"/>
        <v>BAR</v>
      </c>
      <c r="B160" t="s">
        <v>166</v>
      </c>
      <c r="C160">
        <v>1.7900805390000001</v>
      </c>
      <c r="D160">
        <v>5.4533093999999997E-2</v>
      </c>
      <c r="E160">
        <v>0.73151325199999995</v>
      </c>
      <c r="F160">
        <v>0.67657167699999998</v>
      </c>
      <c r="G160">
        <v>0.83163060300000002</v>
      </c>
      <c r="H160">
        <v>2.52</v>
      </c>
      <c r="I160">
        <v>2.19065424305247</v>
      </c>
      <c r="J160">
        <v>2.19189839190877</v>
      </c>
      <c r="K160">
        <v>2.37996784802721</v>
      </c>
      <c r="L160">
        <v>2.21187928571034</v>
      </c>
      <c r="M160">
        <v>2.1912763174806198</v>
      </c>
      <c r="N160">
        <v>2.19127622918126</v>
      </c>
      <c r="Q160">
        <f t="shared" si="10"/>
        <v>2.52</v>
      </c>
      <c r="R160">
        <f t="shared" si="12"/>
        <v>2.282569451413889</v>
      </c>
      <c r="S160">
        <f t="shared" si="13"/>
        <v>0.23743054858611101</v>
      </c>
      <c r="T160">
        <f t="shared" si="14"/>
        <v>5.6373265401901622E-2</v>
      </c>
    </row>
    <row r="161" spans="1:20" hidden="1" x14ac:dyDescent="0.25">
      <c r="A161" t="str">
        <f t="shared" si="11"/>
        <v>BAR</v>
      </c>
      <c r="B161" t="s">
        <v>167</v>
      </c>
      <c r="C161">
        <v>1.916925585</v>
      </c>
      <c r="D161">
        <v>5.8472951000000002E-2</v>
      </c>
      <c r="E161">
        <v>0.71466723300000001</v>
      </c>
      <c r="F161">
        <v>0.59422447499999997</v>
      </c>
      <c r="G161">
        <v>0.81200391900000002</v>
      </c>
      <c r="H161">
        <v>1.89</v>
      </c>
      <c r="I161">
        <v>1.8706776905168001</v>
      </c>
      <c r="J161">
        <v>1.83411996999125</v>
      </c>
      <c r="K161">
        <v>1.8583690912038699</v>
      </c>
      <c r="L161">
        <v>1.8127538093846101</v>
      </c>
      <c r="M161">
        <v>1.85239883025402</v>
      </c>
      <c r="N161">
        <v>1.85230864317855</v>
      </c>
      <c r="Q161">
        <f t="shared" si="10"/>
        <v>1.89</v>
      </c>
      <c r="R161">
        <f t="shared" si="12"/>
        <v>1.8472679628097377</v>
      </c>
      <c r="S161">
        <f t="shared" si="13"/>
        <v>4.2732037190262195E-2</v>
      </c>
      <c r="T161">
        <f t="shared" si="14"/>
        <v>1.8260270024299515E-3</v>
      </c>
    </row>
    <row r="162" spans="1:20" hidden="1" x14ac:dyDescent="0.25">
      <c r="A162" t="str">
        <f t="shared" si="11"/>
        <v>BAR</v>
      </c>
      <c r="B162" t="s">
        <v>168</v>
      </c>
      <c r="C162">
        <v>1.9958000330000001</v>
      </c>
      <c r="D162">
        <v>4.8627508999999999E-2</v>
      </c>
      <c r="E162">
        <v>0.73726647000000001</v>
      </c>
      <c r="F162">
        <v>0.62924781600000002</v>
      </c>
      <c r="G162">
        <v>0.83724289500000004</v>
      </c>
      <c r="H162">
        <v>1.85</v>
      </c>
      <c r="I162">
        <v>1.6915279950355699</v>
      </c>
      <c r="J162">
        <v>1.69079186094124</v>
      </c>
      <c r="K162">
        <v>1.79761275251899</v>
      </c>
      <c r="L162">
        <v>1.69821870774015</v>
      </c>
      <c r="M162">
        <v>1.69115992798841</v>
      </c>
      <c r="N162">
        <v>1.69115988793502</v>
      </c>
      <c r="Q162">
        <f t="shared" si="10"/>
        <v>1.85</v>
      </c>
      <c r="R162">
        <f t="shared" si="12"/>
        <v>1.7070485894787395</v>
      </c>
      <c r="S162">
        <f t="shared" si="13"/>
        <v>0.14295141052126059</v>
      </c>
      <c r="T162">
        <f t="shared" si="14"/>
        <v>2.0435105770017972E-2</v>
      </c>
    </row>
    <row r="163" spans="1:20" hidden="1" x14ac:dyDescent="0.25">
      <c r="A163" t="str">
        <f t="shared" si="11"/>
        <v>BAR</v>
      </c>
      <c r="B163" t="s">
        <v>169</v>
      </c>
      <c r="C163">
        <v>1.852212207</v>
      </c>
      <c r="D163">
        <v>5.3143665E-2</v>
      </c>
      <c r="E163">
        <v>0.70684218399999998</v>
      </c>
      <c r="F163">
        <v>0.50671596900000004</v>
      </c>
      <c r="G163">
        <v>0.80667403299999996</v>
      </c>
      <c r="H163">
        <v>1.39</v>
      </c>
      <c r="I163">
        <v>1.53978757805241</v>
      </c>
      <c r="J163">
        <v>1.4529745846930799</v>
      </c>
      <c r="K163">
        <v>1.5763517584065201</v>
      </c>
      <c r="L163">
        <v>1.4651487967299499</v>
      </c>
      <c r="M163">
        <v>1.4963810813727401</v>
      </c>
      <c r="N163">
        <v>1.4957513886793701</v>
      </c>
      <c r="Q163">
        <f t="shared" si="10"/>
        <v>1.39</v>
      </c>
      <c r="R163">
        <f t="shared" si="12"/>
        <v>1.4250632902459479</v>
      </c>
      <c r="S163">
        <f t="shared" si="13"/>
        <v>-3.5063290245948009E-2</v>
      </c>
      <c r="T163">
        <f t="shared" si="14"/>
        <v>1.2294343228715927E-3</v>
      </c>
    </row>
    <row r="164" spans="1:20" hidden="1" x14ac:dyDescent="0.25">
      <c r="A164" t="str">
        <f t="shared" si="11"/>
        <v>BAR</v>
      </c>
      <c r="B164" t="s">
        <v>170</v>
      </c>
      <c r="C164">
        <v>1.9678492949999999</v>
      </c>
      <c r="D164">
        <v>4.9153694999999997E-2</v>
      </c>
      <c r="E164">
        <v>0.72833246799999996</v>
      </c>
      <c r="F164">
        <v>0.58837128100000002</v>
      </c>
      <c r="G164">
        <v>0.82730748499999995</v>
      </c>
      <c r="H164">
        <v>1.86</v>
      </c>
      <c r="I164">
        <v>1.6082860727381501</v>
      </c>
      <c r="J164">
        <v>1.5720903064317</v>
      </c>
      <c r="K164">
        <v>1.73508299410124</v>
      </c>
      <c r="L164">
        <v>1.59698126236405</v>
      </c>
      <c r="M164">
        <v>1.5901881895849299</v>
      </c>
      <c r="N164">
        <v>1.5900852005225301</v>
      </c>
      <c r="Q164">
        <f t="shared" si="10"/>
        <v>1.86</v>
      </c>
      <c r="R164">
        <f t="shared" si="12"/>
        <v>1.5691482693129619</v>
      </c>
      <c r="S164">
        <f t="shared" si="13"/>
        <v>0.29085173068703818</v>
      </c>
      <c r="T164">
        <f t="shared" si="14"/>
        <v>8.4594729243645389E-2</v>
      </c>
    </row>
    <row r="165" spans="1:20" hidden="1" x14ac:dyDescent="0.25">
      <c r="A165" t="str">
        <f t="shared" si="11"/>
        <v>BAR</v>
      </c>
      <c r="B165" t="s">
        <v>171</v>
      </c>
      <c r="C165">
        <v>2.0656980040000001</v>
      </c>
      <c r="D165">
        <v>4.9029258999999999E-2</v>
      </c>
      <c r="E165">
        <v>0.73242545599999997</v>
      </c>
      <c r="F165">
        <v>0.63789417800000003</v>
      </c>
      <c r="G165">
        <v>0.83913309199999997</v>
      </c>
      <c r="H165">
        <v>2.04</v>
      </c>
      <c r="I165">
        <v>1.6519461154535899</v>
      </c>
      <c r="J165">
        <v>1.6569834516470301</v>
      </c>
      <c r="K165">
        <v>1.7097872447296301</v>
      </c>
      <c r="L165">
        <v>1.5483589195638401</v>
      </c>
      <c r="M165">
        <v>1.6544647835503099</v>
      </c>
      <c r="N165">
        <v>1.6544628664068599</v>
      </c>
      <c r="Q165">
        <f t="shared" si="10"/>
        <v>2.04</v>
      </c>
      <c r="R165">
        <f t="shared" si="12"/>
        <v>1.6635894280601162</v>
      </c>
      <c r="S165">
        <f t="shared" si="13"/>
        <v>0.37641057193988381</v>
      </c>
      <c r="T165">
        <f t="shared" si="14"/>
        <v>0.14168491866811045</v>
      </c>
    </row>
    <row r="166" spans="1:20" hidden="1" x14ac:dyDescent="0.25">
      <c r="A166" t="str">
        <f t="shared" si="11"/>
        <v>BAR</v>
      </c>
      <c r="B166" t="s">
        <v>172</v>
      </c>
      <c r="C166">
        <v>2.0090169329999998</v>
      </c>
      <c r="D166">
        <v>5.0954500999999999E-2</v>
      </c>
      <c r="E166">
        <v>0.71501213299999999</v>
      </c>
      <c r="F166">
        <v>0.628135204</v>
      </c>
      <c r="G166">
        <v>0.81924691699999996</v>
      </c>
      <c r="H166">
        <v>2.78</v>
      </c>
      <c r="I166">
        <v>1.7432658661139699</v>
      </c>
      <c r="J166">
        <v>1.70316100036266</v>
      </c>
      <c r="K166">
        <v>1.81380716681165</v>
      </c>
      <c r="L166">
        <v>1.72324558321384</v>
      </c>
      <c r="M166">
        <v>1.72321343323831</v>
      </c>
      <c r="N166">
        <v>1.72309675770943</v>
      </c>
      <c r="Q166">
        <f t="shared" si="10"/>
        <v>2.78</v>
      </c>
      <c r="R166">
        <f t="shared" si="12"/>
        <v>1.7159451205159719</v>
      </c>
      <c r="S166">
        <f t="shared" si="13"/>
        <v>1.0640548794840279</v>
      </c>
      <c r="T166">
        <f t="shared" si="14"/>
        <v>1.132212786553769</v>
      </c>
    </row>
    <row r="167" spans="1:20" hidden="1" x14ac:dyDescent="0.25">
      <c r="A167" t="str">
        <f t="shared" si="11"/>
        <v>BAR</v>
      </c>
      <c r="B167" t="s">
        <v>173</v>
      </c>
      <c r="C167">
        <v>1.932807221</v>
      </c>
      <c r="D167">
        <v>5.5789256000000002E-2</v>
      </c>
      <c r="E167">
        <v>0.73947175899999995</v>
      </c>
      <c r="F167">
        <v>0.60200868200000002</v>
      </c>
      <c r="G167">
        <v>0.83197859600000001</v>
      </c>
      <c r="H167">
        <v>1.73</v>
      </c>
      <c r="I167">
        <v>1.8013620573398299</v>
      </c>
      <c r="J167">
        <v>1.8108052195281099</v>
      </c>
      <c r="K167">
        <v>1.8182355237977099</v>
      </c>
      <c r="L167">
        <v>1.71658509337084</v>
      </c>
      <c r="M167">
        <v>1.80608363843397</v>
      </c>
      <c r="N167">
        <v>1.80607746669152</v>
      </c>
      <c r="Q167">
        <f t="shared" si="10"/>
        <v>1.73</v>
      </c>
      <c r="R167">
        <f t="shared" si="12"/>
        <v>1.8257069771106873</v>
      </c>
      <c r="S167">
        <f t="shared" si="13"/>
        <v>-9.5706977110687319E-2</v>
      </c>
      <c r="T167">
        <f t="shared" si="14"/>
        <v>9.1598254676656266E-3</v>
      </c>
    </row>
    <row r="168" spans="1:20" hidden="1" x14ac:dyDescent="0.25">
      <c r="A168" t="str">
        <f t="shared" si="11"/>
        <v>BAR</v>
      </c>
      <c r="B168" t="s">
        <v>174</v>
      </c>
      <c r="C168">
        <v>1.848174143</v>
      </c>
      <c r="D168">
        <v>5.6544836000000001E-2</v>
      </c>
      <c r="E168">
        <v>0.71303161199999998</v>
      </c>
      <c r="F168">
        <v>0.52954435499999997</v>
      </c>
      <c r="G168">
        <v>0.80658064600000001</v>
      </c>
      <c r="H168">
        <v>1.68</v>
      </c>
      <c r="I168">
        <v>1.6826451504481399</v>
      </c>
      <c r="J168">
        <v>1.6205362943353001</v>
      </c>
      <c r="K168">
        <v>1.75343972768062</v>
      </c>
      <c r="L168">
        <v>1.68350268668109</v>
      </c>
      <c r="M168">
        <v>1.6515907223917199</v>
      </c>
      <c r="N168">
        <v>1.6512987424413801</v>
      </c>
      <c r="Q168">
        <f t="shared" si="10"/>
        <v>1.68</v>
      </c>
      <c r="R168">
        <f t="shared" si="12"/>
        <v>1.6083563959765912</v>
      </c>
      <c r="S168">
        <f t="shared" si="13"/>
        <v>7.1643604023408747E-2</v>
      </c>
      <c r="T168">
        <f t="shared" si="14"/>
        <v>5.1328059974629896E-3</v>
      </c>
    </row>
    <row r="169" spans="1:20" hidden="1" x14ac:dyDescent="0.25">
      <c r="A169" t="str">
        <f t="shared" si="11"/>
        <v>BAR</v>
      </c>
      <c r="B169" t="s">
        <v>175</v>
      </c>
      <c r="C169">
        <v>1.8522889950000001</v>
      </c>
      <c r="D169">
        <v>5.4702252999999999E-2</v>
      </c>
      <c r="E169">
        <v>0.72306071000000005</v>
      </c>
      <c r="F169">
        <v>0.60388172600000001</v>
      </c>
      <c r="G169">
        <v>0.81481139400000002</v>
      </c>
      <c r="H169">
        <v>1.77</v>
      </c>
      <c r="I169">
        <v>1.90400543027728</v>
      </c>
      <c r="J169">
        <v>1.8584811232376801</v>
      </c>
      <c r="K169">
        <v>1.9945319752417101</v>
      </c>
      <c r="L169">
        <v>1.9147034836357</v>
      </c>
      <c r="M169">
        <v>1.88124327675748</v>
      </c>
      <c r="N169">
        <v>1.88110556607341</v>
      </c>
      <c r="Q169">
        <f t="shared" si="10"/>
        <v>1.77</v>
      </c>
      <c r="R169">
        <f t="shared" si="12"/>
        <v>1.8910155353339664</v>
      </c>
      <c r="S169">
        <f t="shared" si="13"/>
        <v>-0.12101553533396636</v>
      </c>
      <c r="T169">
        <f t="shared" si="14"/>
        <v>1.4644759792166461E-2</v>
      </c>
    </row>
    <row r="170" spans="1:20" hidden="1" x14ac:dyDescent="0.25">
      <c r="A170" t="str">
        <f t="shared" si="11"/>
        <v>BAR</v>
      </c>
      <c r="B170" t="s">
        <v>176</v>
      </c>
      <c r="C170">
        <v>1.7625313039999999</v>
      </c>
      <c r="D170">
        <v>5.7699691999999997E-2</v>
      </c>
      <c r="E170">
        <v>0.70192374700000004</v>
      </c>
      <c r="F170">
        <v>0.51002409699999995</v>
      </c>
      <c r="G170">
        <v>0.80196630800000002</v>
      </c>
      <c r="H170">
        <v>1.28</v>
      </c>
      <c r="I170">
        <v>1.73638831425846</v>
      </c>
      <c r="J170">
        <v>1.64916886921326</v>
      </c>
      <c r="K170">
        <v>1.73978004000013</v>
      </c>
      <c r="L170">
        <v>1.6199857966287401</v>
      </c>
      <c r="M170">
        <v>1.69277859173586</v>
      </c>
      <c r="N170">
        <v>1.6922167570204301</v>
      </c>
      <c r="Q170">
        <f t="shared" si="10"/>
        <v>1.28</v>
      </c>
      <c r="R170">
        <f t="shared" si="12"/>
        <v>1.6431342456763152</v>
      </c>
      <c r="S170">
        <f t="shared" si="13"/>
        <v>-0.36313424567631514</v>
      </c>
      <c r="T170">
        <f t="shared" si="14"/>
        <v>0.13186648038290641</v>
      </c>
    </row>
    <row r="171" spans="1:20" hidden="1" x14ac:dyDescent="0.25">
      <c r="A171" t="str">
        <f t="shared" si="11"/>
        <v>BAR</v>
      </c>
      <c r="B171" t="s">
        <v>177</v>
      </c>
      <c r="C171">
        <v>1.848660328</v>
      </c>
      <c r="D171">
        <v>5.4851379999999998E-2</v>
      </c>
      <c r="E171">
        <v>0.70481714299999998</v>
      </c>
      <c r="F171">
        <v>0.50411241500000004</v>
      </c>
      <c r="G171">
        <v>0.80029255700000002</v>
      </c>
      <c r="H171">
        <v>1.78</v>
      </c>
      <c r="I171">
        <v>1.5656798669496299</v>
      </c>
      <c r="J171">
        <v>1.48170954324862</v>
      </c>
      <c r="K171">
        <v>1.5815086534591101</v>
      </c>
      <c r="L171">
        <v>1.4754453307592399</v>
      </c>
      <c r="M171">
        <v>1.5236947050991201</v>
      </c>
      <c r="N171">
        <v>1.5231161480765301</v>
      </c>
      <c r="Q171">
        <f t="shared" si="10"/>
        <v>1.78</v>
      </c>
      <c r="R171">
        <f t="shared" si="12"/>
        <v>1.4532547520761927</v>
      </c>
      <c r="S171">
        <f t="shared" si="13"/>
        <v>0.32674524792380732</v>
      </c>
      <c r="T171">
        <f t="shared" si="14"/>
        <v>0.10676245704079032</v>
      </c>
    </row>
    <row r="172" spans="1:20" hidden="1" x14ac:dyDescent="0.25">
      <c r="A172" t="str">
        <f t="shared" si="11"/>
        <v>BAR</v>
      </c>
      <c r="B172" t="s">
        <v>178</v>
      </c>
      <c r="C172">
        <v>1.9637834190000001</v>
      </c>
      <c r="D172">
        <v>5.1639217000000001E-2</v>
      </c>
      <c r="E172">
        <v>0.73058631799999996</v>
      </c>
      <c r="F172">
        <v>0.64004639699999999</v>
      </c>
      <c r="G172">
        <v>0.827942654</v>
      </c>
      <c r="H172">
        <v>2.16</v>
      </c>
      <c r="I172">
        <v>1.8295629234630899</v>
      </c>
      <c r="J172">
        <v>1.8204231787477501</v>
      </c>
      <c r="K172">
        <v>1.9277573738412901</v>
      </c>
      <c r="L172">
        <v>1.8448980816579501</v>
      </c>
      <c r="M172">
        <v>1.82499305110542</v>
      </c>
      <c r="N172">
        <v>1.8249873295038801</v>
      </c>
      <c r="Q172">
        <f t="shared" si="10"/>
        <v>2.16</v>
      </c>
      <c r="R172">
        <f t="shared" si="12"/>
        <v>1.8508211440230498</v>
      </c>
      <c r="S172">
        <f t="shared" si="13"/>
        <v>0.30917885597695038</v>
      </c>
      <c r="T172">
        <f t="shared" si="14"/>
        <v>9.5591564983215832E-2</v>
      </c>
    </row>
    <row r="173" spans="1:20" hidden="1" x14ac:dyDescent="0.25">
      <c r="A173" t="str">
        <f t="shared" si="11"/>
        <v>BAR</v>
      </c>
      <c r="B173" t="s">
        <v>179</v>
      </c>
      <c r="C173">
        <v>1.8488331090000001</v>
      </c>
      <c r="D173">
        <v>5.0971871000000002E-2</v>
      </c>
      <c r="E173">
        <v>0.71921275100000004</v>
      </c>
      <c r="F173">
        <v>0.56731009600000004</v>
      </c>
      <c r="G173">
        <v>0.81323538500000003</v>
      </c>
      <c r="H173">
        <v>1.95</v>
      </c>
      <c r="I173">
        <v>1.7152138715638101</v>
      </c>
      <c r="J173">
        <v>1.6440136532849401</v>
      </c>
      <c r="K173">
        <v>1.8500924162621999</v>
      </c>
      <c r="L173">
        <v>1.7730862743558899</v>
      </c>
      <c r="M173">
        <v>1.6796137624243701</v>
      </c>
      <c r="N173">
        <v>1.6792364405153399</v>
      </c>
      <c r="Q173">
        <f t="shared" si="10"/>
        <v>1.95</v>
      </c>
      <c r="R173">
        <f t="shared" si="12"/>
        <v>1.6538443739382997</v>
      </c>
      <c r="S173">
        <f t="shared" si="13"/>
        <v>0.29615562606170021</v>
      </c>
      <c r="T173">
        <f t="shared" si="14"/>
        <v>8.7708154847997599E-2</v>
      </c>
    </row>
    <row r="174" spans="1:20" hidden="1" x14ac:dyDescent="0.25">
      <c r="A174" t="str">
        <f t="shared" si="11"/>
        <v>BAR</v>
      </c>
      <c r="B174" t="s">
        <v>180</v>
      </c>
      <c r="C174">
        <v>1.9353212120000001</v>
      </c>
      <c r="D174">
        <v>4.6832932000000001E-2</v>
      </c>
      <c r="E174">
        <v>0.71346428799999995</v>
      </c>
      <c r="F174">
        <v>0.55783876099999996</v>
      </c>
      <c r="G174">
        <v>0.81747430700000001</v>
      </c>
      <c r="H174">
        <v>1.73</v>
      </c>
      <c r="I174">
        <v>1.5150392905383701</v>
      </c>
      <c r="J174">
        <v>1.43249634222459</v>
      </c>
      <c r="K174">
        <v>1.6656129271567699</v>
      </c>
      <c r="L174">
        <v>1.5597374984282899</v>
      </c>
      <c r="M174">
        <v>1.47376781638148</v>
      </c>
      <c r="N174">
        <v>1.4731898187344199</v>
      </c>
      <c r="Q174">
        <f t="shared" si="10"/>
        <v>1.73</v>
      </c>
      <c r="R174">
        <f t="shared" si="12"/>
        <v>1.4166569009540342</v>
      </c>
      <c r="S174">
        <f t="shared" si="13"/>
        <v>0.3133430990459658</v>
      </c>
      <c r="T174">
        <f t="shared" si="14"/>
        <v>9.8183897719729935E-2</v>
      </c>
    </row>
    <row r="175" spans="1:20" hidden="1" x14ac:dyDescent="0.25">
      <c r="A175" t="str">
        <f t="shared" si="11"/>
        <v>BAR</v>
      </c>
      <c r="B175" t="s">
        <v>181</v>
      </c>
      <c r="C175">
        <v>1.9405183530000001</v>
      </c>
      <c r="D175">
        <v>4.9555595000000001E-2</v>
      </c>
      <c r="E175">
        <v>0.72293335400000003</v>
      </c>
      <c r="F175">
        <v>0.58800284800000002</v>
      </c>
      <c r="G175">
        <v>0.81359021899999995</v>
      </c>
      <c r="H175">
        <v>1.97</v>
      </c>
      <c r="I175">
        <v>1.6621168591130999</v>
      </c>
      <c r="J175">
        <v>1.6018617340332699</v>
      </c>
      <c r="K175">
        <v>1.78430410563917</v>
      </c>
      <c r="L175">
        <v>1.72488263344479</v>
      </c>
      <c r="M175">
        <v>1.6319892965731899</v>
      </c>
      <c r="N175">
        <v>1.63171118587354</v>
      </c>
      <c r="Q175">
        <f t="shared" si="10"/>
        <v>1.97</v>
      </c>
      <c r="R175">
        <f t="shared" si="12"/>
        <v>1.6045031895664881</v>
      </c>
      <c r="S175">
        <f t="shared" si="13"/>
        <v>0.3654968104335119</v>
      </c>
      <c r="T175">
        <f t="shared" si="14"/>
        <v>0.13358791843707052</v>
      </c>
    </row>
    <row r="176" spans="1:20" hidden="1" x14ac:dyDescent="0.25">
      <c r="A176" t="str">
        <f t="shared" si="11"/>
        <v>BAR</v>
      </c>
      <c r="B176" t="s">
        <v>182</v>
      </c>
      <c r="C176">
        <v>1.943626957</v>
      </c>
      <c r="D176">
        <v>4.9522176000000001E-2</v>
      </c>
      <c r="E176">
        <v>0.73340419700000004</v>
      </c>
      <c r="F176">
        <v>0.58929093300000002</v>
      </c>
      <c r="G176">
        <v>0.82399867100000002</v>
      </c>
      <c r="H176">
        <v>1.83</v>
      </c>
      <c r="I176">
        <v>1.6467586708038</v>
      </c>
      <c r="J176">
        <v>1.6117272714186099</v>
      </c>
      <c r="K176">
        <v>1.7559403425100799</v>
      </c>
      <c r="L176">
        <v>1.70692728569351</v>
      </c>
      <c r="M176">
        <v>1.62924297111121</v>
      </c>
      <c r="N176">
        <v>1.6291488143136399</v>
      </c>
      <c r="Q176">
        <f t="shared" si="10"/>
        <v>1.83</v>
      </c>
      <c r="R176">
        <f t="shared" si="12"/>
        <v>1.6147790015092864</v>
      </c>
      <c r="S176">
        <f t="shared" si="13"/>
        <v>0.21522099849071363</v>
      </c>
      <c r="T176">
        <f t="shared" si="14"/>
        <v>4.6320078191339757E-2</v>
      </c>
    </row>
    <row r="177" spans="1:20" hidden="1" x14ac:dyDescent="0.25">
      <c r="A177" t="str">
        <f t="shared" si="11"/>
        <v>BAR</v>
      </c>
      <c r="B177" t="s">
        <v>183</v>
      </c>
      <c r="C177">
        <v>1.7478773670000001</v>
      </c>
      <c r="D177">
        <v>7.3243503000000001E-2</v>
      </c>
      <c r="E177">
        <v>0.66024974800000003</v>
      </c>
      <c r="F177">
        <v>0.39578276299999998</v>
      </c>
      <c r="G177">
        <v>0.74492638499999997</v>
      </c>
      <c r="H177">
        <v>1.19</v>
      </c>
      <c r="I177">
        <v>1.57478245127907</v>
      </c>
      <c r="J177">
        <v>1.57341351774159</v>
      </c>
      <c r="K177">
        <v>1.46598901197925</v>
      </c>
      <c r="L177">
        <v>1.36636683925123</v>
      </c>
      <c r="M177">
        <v>1.57409798451033</v>
      </c>
      <c r="N177">
        <v>1.5740978356966</v>
      </c>
      <c r="Q177">
        <f t="shared" si="10"/>
        <v>1.19</v>
      </c>
      <c r="R177">
        <f t="shared" si="12"/>
        <v>1.4970458625532705</v>
      </c>
      <c r="S177">
        <f t="shared" si="13"/>
        <v>-0.3070458625532706</v>
      </c>
      <c r="T177">
        <f t="shared" si="14"/>
        <v>9.4277161711081942E-2</v>
      </c>
    </row>
    <row r="178" spans="1:20" hidden="1" x14ac:dyDescent="0.25">
      <c r="A178" t="str">
        <f t="shared" si="11"/>
        <v>BAR</v>
      </c>
      <c r="B178" t="s">
        <v>184</v>
      </c>
      <c r="C178">
        <v>1.796185613</v>
      </c>
      <c r="D178">
        <v>8.0297750000000001E-2</v>
      </c>
      <c r="E178">
        <v>0.65306644899999999</v>
      </c>
      <c r="F178">
        <v>0.36454834200000003</v>
      </c>
      <c r="G178">
        <v>0.73740994299999996</v>
      </c>
      <c r="H178">
        <v>1.25</v>
      </c>
      <c r="I178">
        <v>1.5005777331553101</v>
      </c>
      <c r="J178">
        <v>1.6015350903694701</v>
      </c>
      <c r="K178">
        <v>1.2418425235705499</v>
      </c>
      <c r="L178">
        <v>1.1170864219405801</v>
      </c>
      <c r="M178">
        <v>1.55105641176239</v>
      </c>
      <c r="N178">
        <v>1.5502347872097699</v>
      </c>
      <c r="Q178">
        <f t="shared" si="10"/>
        <v>1.25</v>
      </c>
      <c r="R178">
        <f t="shared" si="12"/>
        <v>1.490367911432906</v>
      </c>
      <c r="S178">
        <f t="shared" si="13"/>
        <v>-0.24036791143290603</v>
      </c>
      <c r="T178">
        <f t="shared" si="14"/>
        <v>5.7776732846617357E-2</v>
      </c>
    </row>
    <row r="179" spans="1:20" hidden="1" x14ac:dyDescent="0.25">
      <c r="A179" t="str">
        <f t="shared" si="11"/>
        <v>BAR</v>
      </c>
      <c r="B179" t="s">
        <v>185</v>
      </c>
      <c r="C179">
        <v>1.8033164749999999</v>
      </c>
      <c r="D179">
        <v>7.7877377999999997E-2</v>
      </c>
      <c r="E179">
        <v>0.664514143</v>
      </c>
      <c r="F179">
        <v>0.38767900599999999</v>
      </c>
      <c r="G179">
        <v>0.75092060500000002</v>
      </c>
      <c r="H179">
        <v>1.47</v>
      </c>
      <c r="I179">
        <v>1.5632922700549701</v>
      </c>
      <c r="J179">
        <v>1.6229732932504899</v>
      </c>
      <c r="K179">
        <v>1.32718579211762</v>
      </c>
      <c r="L179">
        <v>1.23929144192837</v>
      </c>
      <c r="M179">
        <v>1.5931327816527301</v>
      </c>
      <c r="N179">
        <v>1.5928532901193799</v>
      </c>
      <c r="Q179">
        <f t="shared" si="10"/>
        <v>1.47</v>
      </c>
      <c r="R179">
        <f t="shared" si="12"/>
        <v>1.5271321384458227</v>
      </c>
      <c r="S179">
        <f t="shared" si="13"/>
        <v>-5.7132138445822767E-2</v>
      </c>
      <c r="T179">
        <f t="shared" si="14"/>
        <v>3.26408124339266E-3</v>
      </c>
    </row>
    <row r="180" spans="1:20" hidden="1" x14ac:dyDescent="0.25">
      <c r="A180" t="str">
        <f t="shared" si="11"/>
        <v>BAR</v>
      </c>
      <c r="B180" t="s">
        <v>186</v>
      </c>
      <c r="C180">
        <v>1.800540247</v>
      </c>
      <c r="D180">
        <v>6.5826682999999997E-2</v>
      </c>
      <c r="E180">
        <v>0.640817364</v>
      </c>
      <c r="F180">
        <v>0.37639623799999999</v>
      </c>
      <c r="G180">
        <v>0.72722556500000002</v>
      </c>
      <c r="H180">
        <v>1.1399999999999999</v>
      </c>
      <c r="I180">
        <v>1.2880774625654099</v>
      </c>
      <c r="J180">
        <v>1.2406225111985001</v>
      </c>
      <c r="K180">
        <v>1.2859751835765201</v>
      </c>
      <c r="L180">
        <v>1.1777013566780801</v>
      </c>
      <c r="M180">
        <v>1.2643499868819501</v>
      </c>
      <c r="N180">
        <v>1.2641273259549799</v>
      </c>
      <c r="Q180">
        <f t="shared" si="10"/>
        <v>1.1399999999999999</v>
      </c>
      <c r="R180">
        <f t="shared" si="12"/>
        <v>1.1424146445792576</v>
      </c>
      <c r="S180">
        <f t="shared" si="13"/>
        <v>-2.4146445792576632E-3</v>
      </c>
      <c r="T180">
        <f t="shared" si="14"/>
        <v>5.8305084441384171E-6</v>
      </c>
    </row>
    <row r="181" spans="1:20" hidden="1" x14ac:dyDescent="0.25">
      <c r="A181" t="str">
        <f t="shared" si="11"/>
        <v>BAR</v>
      </c>
      <c r="B181" t="s">
        <v>187</v>
      </c>
      <c r="C181">
        <v>1.8334032309999999</v>
      </c>
      <c r="D181">
        <v>6.4410643000000004E-2</v>
      </c>
      <c r="E181">
        <v>0.64366498800000005</v>
      </c>
      <c r="F181">
        <v>0.377178491</v>
      </c>
      <c r="G181">
        <v>0.73583147800000004</v>
      </c>
      <c r="H181">
        <v>0.89</v>
      </c>
      <c r="I181">
        <v>1.2364156522243701</v>
      </c>
      <c r="J181">
        <v>1.1808558535429099</v>
      </c>
      <c r="K181">
        <v>1.23832955690739</v>
      </c>
      <c r="L181">
        <v>1.1532080222799901</v>
      </c>
      <c r="M181">
        <v>1.20863575288364</v>
      </c>
      <c r="N181">
        <v>1.2083164570348399</v>
      </c>
      <c r="Q181">
        <f t="shared" si="10"/>
        <v>0.89</v>
      </c>
      <c r="R181">
        <f t="shared" si="12"/>
        <v>1.0763533494568822</v>
      </c>
      <c r="S181">
        <f t="shared" si="13"/>
        <v>-0.1863533494568822</v>
      </c>
      <c r="T181">
        <f t="shared" si="14"/>
        <v>3.4727570853798857E-2</v>
      </c>
    </row>
    <row r="182" spans="1:20" hidden="1" x14ac:dyDescent="0.25">
      <c r="A182" t="str">
        <f t="shared" si="11"/>
        <v>BAR</v>
      </c>
      <c r="B182" t="s">
        <v>188</v>
      </c>
      <c r="C182">
        <v>1.9533806010000001</v>
      </c>
      <c r="D182">
        <v>7.3070921999999996E-2</v>
      </c>
      <c r="E182">
        <v>0.69291981800000002</v>
      </c>
      <c r="F182">
        <v>0.47973110800000002</v>
      </c>
      <c r="G182">
        <v>0.78151217699999997</v>
      </c>
      <c r="H182">
        <v>1.75</v>
      </c>
      <c r="I182">
        <v>1.68647711605198</v>
      </c>
      <c r="J182">
        <v>1.7127772099518701</v>
      </c>
      <c r="K182">
        <v>1.4524168414655501</v>
      </c>
      <c r="L182">
        <v>1.4896898431957299</v>
      </c>
      <c r="M182">
        <v>1.69962716300192</v>
      </c>
      <c r="N182">
        <v>1.69957629116176</v>
      </c>
      <c r="Q182">
        <f t="shared" si="10"/>
        <v>1.75</v>
      </c>
      <c r="R182">
        <f t="shared" si="12"/>
        <v>1.6454220501496284</v>
      </c>
      <c r="S182">
        <f t="shared" si="13"/>
        <v>0.10457794985037161</v>
      </c>
      <c r="T182">
        <f t="shared" si="14"/>
        <v>1.0936547594906839E-2</v>
      </c>
    </row>
    <row r="183" spans="1:20" hidden="1" x14ac:dyDescent="0.25">
      <c r="A183" t="str">
        <f t="shared" si="11"/>
        <v>BAR</v>
      </c>
      <c r="B183" t="s">
        <v>189</v>
      </c>
      <c r="C183">
        <v>1.9381885720000001</v>
      </c>
      <c r="D183">
        <v>7.0521690999999997E-2</v>
      </c>
      <c r="E183">
        <v>0.69475909400000002</v>
      </c>
      <c r="F183">
        <v>0.46234831199999998</v>
      </c>
      <c r="G183">
        <v>0.77468338800000003</v>
      </c>
      <c r="H183">
        <v>1.77</v>
      </c>
      <c r="I183">
        <v>1.5708631213339199</v>
      </c>
      <c r="J183">
        <v>1.59843887142192</v>
      </c>
      <c r="K183">
        <v>1.4190724763217599</v>
      </c>
      <c r="L183">
        <v>1.4316185159210999</v>
      </c>
      <c r="M183">
        <v>1.5846509963779201</v>
      </c>
      <c r="N183">
        <v>1.58459101184606</v>
      </c>
      <c r="Q183">
        <f t="shared" si="10"/>
        <v>1.77</v>
      </c>
      <c r="R183">
        <f t="shared" si="12"/>
        <v>1.5246612614874158</v>
      </c>
      <c r="S183">
        <f t="shared" si="13"/>
        <v>0.24533873851258425</v>
      </c>
      <c r="T183">
        <f t="shared" si="14"/>
        <v>6.0191096614946191E-2</v>
      </c>
    </row>
    <row r="184" spans="1:20" hidden="1" x14ac:dyDescent="0.25">
      <c r="A184" t="str">
        <f t="shared" si="11"/>
        <v>BAR</v>
      </c>
      <c r="B184" t="s">
        <v>190</v>
      </c>
      <c r="C184">
        <v>2.0989549759999999</v>
      </c>
      <c r="D184">
        <v>6.7403123999999995E-2</v>
      </c>
      <c r="E184">
        <v>0.70732317</v>
      </c>
      <c r="F184">
        <v>0.53666058500000002</v>
      </c>
      <c r="G184">
        <v>0.793900351</v>
      </c>
      <c r="H184">
        <v>1.53</v>
      </c>
      <c r="I184">
        <v>1.6193826095697199</v>
      </c>
      <c r="J184">
        <v>1.64554415276156</v>
      </c>
      <c r="K184">
        <v>1.42471990232985</v>
      </c>
      <c r="L184">
        <v>1.4362948540645299</v>
      </c>
      <c r="M184">
        <v>1.6324633811656399</v>
      </c>
      <c r="N184">
        <v>1.63241097284391</v>
      </c>
      <c r="Q184">
        <f t="shared" si="10"/>
        <v>1.53</v>
      </c>
      <c r="R184">
        <f t="shared" si="12"/>
        <v>1.5841783679662358</v>
      </c>
      <c r="S184">
        <f t="shared" si="13"/>
        <v>-5.4178367966235763E-2</v>
      </c>
      <c r="T184">
        <f t="shared" si="14"/>
        <v>2.9352955554848414E-3</v>
      </c>
    </row>
    <row r="185" spans="1:20" hidden="1" x14ac:dyDescent="0.25">
      <c r="A185" t="str">
        <f t="shared" si="11"/>
        <v>BAR</v>
      </c>
      <c r="B185" t="s">
        <v>191</v>
      </c>
      <c r="C185">
        <v>2.050068998</v>
      </c>
      <c r="D185">
        <v>5.7368977000000002E-2</v>
      </c>
      <c r="E185">
        <v>0.69115320599999996</v>
      </c>
      <c r="F185">
        <v>0.53013080099999998</v>
      </c>
      <c r="G185">
        <v>0.77853913900000005</v>
      </c>
      <c r="H185">
        <v>1.63</v>
      </c>
      <c r="I185">
        <v>1.49232865143059</v>
      </c>
      <c r="J185">
        <v>1.41748393840686</v>
      </c>
      <c r="K185">
        <v>1.4899090851982599</v>
      </c>
      <c r="L185">
        <v>1.4854249543500999</v>
      </c>
      <c r="M185">
        <v>1.4549062949187199</v>
      </c>
      <c r="N185">
        <v>1.45442493592046</v>
      </c>
      <c r="Q185">
        <f t="shared" si="10"/>
        <v>1.63</v>
      </c>
      <c r="R185">
        <f t="shared" si="12"/>
        <v>1.3619143113210201</v>
      </c>
      <c r="S185">
        <f t="shared" si="13"/>
        <v>0.26808568867897975</v>
      </c>
      <c r="T185">
        <f t="shared" si="14"/>
        <v>7.1869936474482851E-2</v>
      </c>
    </row>
    <row r="186" spans="1:20" hidden="1" x14ac:dyDescent="0.25">
      <c r="A186" t="str">
        <f t="shared" si="11"/>
        <v>BAR</v>
      </c>
      <c r="B186" t="s">
        <v>192</v>
      </c>
      <c r="C186">
        <v>2.083052254</v>
      </c>
      <c r="D186">
        <v>6.2137383999999997E-2</v>
      </c>
      <c r="E186">
        <v>0.67282134900000001</v>
      </c>
      <c r="F186">
        <v>0.37437920499999999</v>
      </c>
      <c r="G186">
        <v>0.74167445300000001</v>
      </c>
      <c r="H186">
        <v>1.42</v>
      </c>
      <c r="I186">
        <v>0.84940263661960702</v>
      </c>
      <c r="J186">
        <v>0.90047644101399704</v>
      </c>
      <c r="K186">
        <v>0.76309741339431503</v>
      </c>
      <c r="L186">
        <v>0.74958031834002004</v>
      </c>
      <c r="M186">
        <v>0.87493953881680198</v>
      </c>
      <c r="N186">
        <v>0.87456678602101601</v>
      </c>
      <c r="Q186">
        <f t="shared" si="10"/>
        <v>1.42</v>
      </c>
      <c r="R186">
        <f t="shared" si="12"/>
        <v>0.74200382979129653</v>
      </c>
      <c r="S186">
        <f t="shared" si="13"/>
        <v>0.6779961702087034</v>
      </c>
      <c r="T186">
        <f t="shared" si="14"/>
        <v>0.45967880681766909</v>
      </c>
    </row>
    <row r="187" spans="1:20" hidden="1" x14ac:dyDescent="0.25">
      <c r="A187" t="str">
        <f t="shared" si="11"/>
        <v>BAR</v>
      </c>
      <c r="B187" t="s">
        <v>193</v>
      </c>
      <c r="C187">
        <v>1.82136404</v>
      </c>
      <c r="D187">
        <v>7.4714119999999995E-2</v>
      </c>
      <c r="E187">
        <v>0.68691586000000004</v>
      </c>
      <c r="F187">
        <v>0.41497764599999998</v>
      </c>
      <c r="G187">
        <v>0.763126741</v>
      </c>
      <c r="H187">
        <v>1.36</v>
      </c>
      <c r="I187">
        <v>1.5860847670628699</v>
      </c>
      <c r="J187">
        <v>1.6445638690048101</v>
      </c>
      <c r="K187">
        <v>1.37356002778251</v>
      </c>
      <c r="L187">
        <v>1.29485416970477</v>
      </c>
      <c r="M187">
        <v>1.6153243180338399</v>
      </c>
      <c r="N187">
        <v>1.61505965867844</v>
      </c>
      <c r="Q187">
        <f t="shared" si="10"/>
        <v>1.36</v>
      </c>
      <c r="R187">
        <f t="shared" si="12"/>
        <v>1.5646508281256626</v>
      </c>
      <c r="S187">
        <f t="shared" si="13"/>
        <v>-0.20465082812566249</v>
      </c>
      <c r="T187">
        <f t="shared" si="14"/>
        <v>4.1881961452519448E-2</v>
      </c>
    </row>
    <row r="188" spans="1:20" hidden="1" x14ac:dyDescent="0.25">
      <c r="A188" t="str">
        <f t="shared" si="11"/>
        <v>BAR</v>
      </c>
      <c r="B188" t="s">
        <v>194</v>
      </c>
      <c r="C188">
        <v>2.0202215529999998</v>
      </c>
      <c r="D188">
        <v>7.5984388E-2</v>
      </c>
      <c r="E188">
        <v>0.66860325499999995</v>
      </c>
      <c r="F188">
        <v>0.39000923799999998</v>
      </c>
      <c r="G188">
        <v>0.73936712800000004</v>
      </c>
      <c r="H188">
        <v>1.4</v>
      </c>
      <c r="I188">
        <v>1.22294502872563</v>
      </c>
      <c r="J188">
        <v>1.36581194241853</v>
      </c>
      <c r="K188">
        <v>0.94138626987935703</v>
      </c>
      <c r="L188">
        <v>0.911349247469047</v>
      </c>
      <c r="M188">
        <v>1.2943784855720799</v>
      </c>
      <c r="N188">
        <v>1.2924058670382299</v>
      </c>
      <c r="Q188">
        <f t="shared" si="10"/>
        <v>1.4</v>
      </c>
      <c r="R188">
        <f t="shared" si="12"/>
        <v>1.2265345468425539</v>
      </c>
      <c r="S188">
        <f t="shared" si="13"/>
        <v>0.17346545315744599</v>
      </c>
      <c r="T188">
        <f t="shared" si="14"/>
        <v>3.0090263439118088E-2</v>
      </c>
    </row>
    <row r="189" spans="1:20" hidden="1" x14ac:dyDescent="0.25">
      <c r="A189" t="str">
        <f t="shared" si="11"/>
        <v>BAR</v>
      </c>
      <c r="B189" t="s">
        <v>195</v>
      </c>
      <c r="C189">
        <v>2.1282517859999999</v>
      </c>
      <c r="D189">
        <v>7.2122333999999996E-2</v>
      </c>
      <c r="E189">
        <v>0.68331538800000002</v>
      </c>
      <c r="F189">
        <v>0.43121502</v>
      </c>
      <c r="G189">
        <v>0.76368007100000002</v>
      </c>
      <c r="H189">
        <v>1.53</v>
      </c>
      <c r="I189">
        <v>1.2306318516507699</v>
      </c>
      <c r="J189">
        <v>1.3221801283419901</v>
      </c>
      <c r="K189">
        <v>0.95368537513915497</v>
      </c>
      <c r="L189">
        <v>1.0363109983127601</v>
      </c>
      <c r="M189">
        <v>1.27640598999638</v>
      </c>
      <c r="N189">
        <v>1.2755849558368699</v>
      </c>
      <c r="Q189">
        <f t="shared" si="10"/>
        <v>1.53</v>
      </c>
      <c r="R189">
        <f t="shared" si="12"/>
        <v>1.1876530926158719</v>
      </c>
      <c r="S189">
        <f t="shared" si="13"/>
        <v>0.3423469073841281</v>
      </c>
      <c r="T189">
        <f t="shared" si="14"/>
        <v>0.11720140499547678</v>
      </c>
    </row>
    <row r="190" spans="1:20" hidden="1" x14ac:dyDescent="0.25">
      <c r="A190" t="str">
        <f t="shared" si="11"/>
        <v>BAR</v>
      </c>
      <c r="B190" t="s">
        <v>196</v>
      </c>
      <c r="C190">
        <v>2.3252933690000002</v>
      </c>
      <c r="D190">
        <v>6.3825238000000006E-2</v>
      </c>
      <c r="E190">
        <v>0.69018975500000002</v>
      </c>
      <c r="F190">
        <v>0.481669281</v>
      </c>
      <c r="G190">
        <v>0.76924442000000004</v>
      </c>
      <c r="H190">
        <v>1.57</v>
      </c>
      <c r="I190">
        <v>1.0630577920148101</v>
      </c>
      <c r="J190">
        <v>1.11045964043194</v>
      </c>
      <c r="K190">
        <v>0.86635228954056998</v>
      </c>
      <c r="L190">
        <v>1.0481215917895901</v>
      </c>
      <c r="M190">
        <v>1.0867587162233801</v>
      </c>
      <c r="N190">
        <v>1.0865002409015601</v>
      </c>
      <c r="Q190">
        <f t="shared" si="10"/>
        <v>1.57</v>
      </c>
      <c r="R190">
        <f t="shared" si="12"/>
        <v>0.96663620604622524</v>
      </c>
      <c r="S190">
        <f t="shared" si="13"/>
        <v>0.60336379395377482</v>
      </c>
      <c r="T190">
        <f t="shared" si="14"/>
        <v>0.36404786785429322</v>
      </c>
    </row>
    <row r="191" spans="1:20" hidden="1" x14ac:dyDescent="0.25">
      <c r="A191" t="str">
        <f t="shared" si="11"/>
        <v>BAR</v>
      </c>
      <c r="B191" t="s">
        <v>197</v>
      </c>
      <c r="C191">
        <v>2.4542609999999998</v>
      </c>
      <c r="D191">
        <v>5.9532730999999998E-2</v>
      </c>
      <c r="E191">
        <v>0.70522636299999997</v>
      </c>
      <c r="F191">
        <v>0.53765911300000002</v>
      </c>
      <c r="G191">
        <v>0.79241600400000001</v>
      </c>
      <c r="H191">
        <v>1.68</v>
      </c>
      <c r="I191">
        <v>1.0671953898614199</v>
      </c>
      <c r="J191">
        <v>1.1034861762786901</v>
      </c>
      <c r="K191">
        <v>0.83811761964448395</v>
      </c>
      <c r="L191">
        <v>0.95535318043584005</v>
      </c>
      <c r="M191">
        <v>1.0853407830700601</v>
      </c>
      <c r="N191">
        <v>1.0851890895601699</v>
      </c>
      <c r="Q191">
        <f t="shared" si="10"/>
        <v>1.68</v>
      </c>
      <c r="R191">
        <f t="shared" si="12"/>
        <v>0.96683287570394638</v>
      </c>
      <c r="S191">
        <f t="shared" si="13"/>
        <v>0.71316712429605356</v>
      </c>
      <c r="T191">
        <f t="shared" si="14"/>
        <v>0.50860734717670275</v>
      </c>
    </row>
    <row r="192" spans="1:20" hidden="1" x14ac:dyDescent="0.25">
      <c r="A192" t="str">
        <f t="shared" si="11"/>
        <v>BAR</v>
      </c>
      <c r="B192" t="s">
        <v>198</v>
      </c>
      <c r="C192">
        <v>2.138516665</v>
      </c>
      <c r="D192">
        <v>4.1538485E-2</v>
      </c>
      <c r="E192">
        <v>0.74687045699999999</v>
      </c>
      <c r="F192">
        <v>0.69485739499999999</v>
      </c>
      <c r="G192">
        <v>0.85337678699999997</v>
      </c>
      <c r="H192">
        <v>2.4</v>
      </c>
      <c r="I192">
        <v>1.60253167969383</v>
      </c>
      <c r="J192">
        <v>1.65163904177917</v>
      </c>
      <c r="K192">
        <v>1.74802951221452</v>
      </c>
      <c r="L192">
        <v>1.55933504846152</v>
      </c>
      <c r="M192">
        <v>1.6270853607364999</v>
      </c>
      <c r="N192">
        <v>1.6269000853986899</v>
      </c>
      <c r="Q192">
        <f t="shared" si="10"/>
        <v>2.4</v>
      </c>
      <c r="R192">
        <f t="shared" si="12"/>
        <v>1.6754116312380503</v>
      </c>
      <c r="S192">
        <f t="shared" si="13"/>
        <v>0.72458836876194965</v>
      </c>
      <c r="T192">
        <f t="shared" si="14"/>
        <v>0.52502830414510315</v>
      </c>
    </row>
    <row r="193" spans="1:20" hidden="1" x14ac:dyDescent="0.25">
      <c r="A193" t="str">
        <f t="shared" si="11"/>
        <v>BAR</v>
      </c>
      <c r="B193" t="s">
        <v>199</v>
      </c>
      <c r="C193">
        <v>1.8508838009999999</v>
      </c>
      <c r="D193">
        <v>4.5163726000000001E-2</v>
      </c>
      <c r="E193">
        <v>0.71505903500000001</v>
      </c>
      <c r="F193">
        <v>0.55477844200000004</v>
      </c>
      <c r="G193">
        <v>0.81855965600000002</v>
      </c>
      <c r="H193">
        <v>1.55</v>
      </c>
      <c r="I193">
        <v>1.5676634287925699</v>
      </c>
      <c r="J193">
        <v>1.4734192009192499</v>
      </c>
      <c r="K193">
        <v>1.72212850687036</v>
      </c>
      <c r="L193">
        <v>1.5981436268800699</v>
      </c>
      <c r="M193">
        <v>1.5205413148559099</v>
      </c>
      <c r="N193">
        <v>1.51981097395758</v>
      </c>
      <c r="Q193">
        <f t="shared" ref="Q193:Q256" si="15">H193</f>
        <v>1.55</v>
      </c>
      <c r="R193">
        <f t="shared" si="12"/>
        <v>1.473253578434945</v>
      </c>
      <c r="S193">
        <f t="shared" si="13"/>
        <v>7.6746421565055067E-2</v>
      </c>
      <c r="T193">
        <f t="shared" si="14"/>
        <v>5.8900132230411493E-3</v>
      </c>
    </row>
    <row r="194" spans="1:20" hidden="1" x14ac:dyDescent="0.25">
      <c r="A194" t="str">
        <f t="shared" si="11"/>
        <v>BAR</v>
      </c>
      <c r="B194" t="s">
        <v>200</v>
      </c>
      <c r="C194">
        <v>1.822484937</v>
      </c>
      <c r="D194">
        <v>4.0734234000000001E-2</v>
      </c>
      <c r="E194">
        <v>0.74871215499999999</v>
      </c>
      <c r="F194">
        <v>0.70498221100000003</v>
      </c>
      <c r="G194">
        <v>0.859399888</v>
      </c>
      <c r="H194">
        <v>3.13</v>
      </c>
      <c r="I194">
        <v>1.9301653615155301</v>
      </c>
      <c r="J194">
        <v>1.99013303330785</v>
      </c>
      <c r="K194">
        <v>2.2795602816037999</v>
      </c>
      <c r="L194">
        <v>2.0127537164381399</v>
      </c>
      <c r="M194">
        <v>1.96014919741169</v>
      </c>
      <c r="N194">
        <v>1.95991985695809</v>
      </c>
      <c r="Q194">
        <f t="shared" si="15"/>
        <v>3.13</v>
      </c>
      <c r="R194">
        <f t="shared" si="12"/>
        <v>2.087418256466238</v>
      </c>
      <c r="S194">
        <f t="shared" si="13"/>
        <v>1.0425817435337619</v>
      </c>
      <c r="T194">
        <f t="shared" si="14"/>
        <v>1.0869766919498989</v>
      </c>
    </row>
    <row r="195" spans="1:20" hidden="1" x14ac:dyDescent="0.25">
      <c r="A195" t="str">
        <f t="shared" ref="A195:A258" si="16">LEFT(B195,3)</f>
        <v>BAR</v>
      </c>
      <c r="B195" t="s">
        <v>201</v>
      </c>
      <c r="C195">
        <v>1.9074924280000001</v>
      </c>
      <c r="D195">
        <v>4.2264801999999997E-2</v>
      </c>
      <c r="E195">
        <v>0.72909489800000005</v>
      </c>
      <c r="F195">
        <v>0.69547583800000001</v>
      </c>
      <c r="G195">
        <v>0.83852028899999997</v>
      </c>
      <c r="H195">
        <v>2.38</v>
      </c>
      <c r="I195">
        <v>1.8857754163425799</v>
      </c>
      <c r="J195">
        <v>1.8865244208487399</v>
      </c>
      <c r="K195">
        <v>2.2262969114387801</v>
      </c>
      <c r="L195">
        <v>1.98737383465038</v>
      </c>
      <c r="M195">
        <v>1.8861499185956601</v>
      </c>
      <c r="N195">
        <v>1.8861498814162401</v>
      </c>
      <c r="Q195">
        <f t="shared" si="15"/>
        <v>2.38</v>
      </c>
      <c r="R195">
        <f t="shared" ref="R195:R258" si="17">$X$2*F195+$X$3*D195*E195+($X$4/(D195-$X$5))-$X$6*C195</f>
        <v>1.9599248334900978</v>
      </c>
      <c r="S195">
        <f t="shared" ref="S195:S258" si="18">Q195-R195</f>
        <v>0.42007516650990206</v>
      </c>
      <c r="T195">
        <f t="shared" ref="T195:T258" si="19">S195^2</f>
        <v>0.17646314551832196</v>
      </c>
    </row>
    <row r="196" spans="1:20" hidden="1" x14ac:dyDescent="0.25">
      <c r="A196" t="str">
        <f t="shared" si="16"/>
        <v>BAR</v>
      </c>
      <c r="B196" t="s">
        <v>202</v>
      </c>
      <c r="C196">
        <v>1.9224684809999999</v>
      </c>
      <c r="D196">
        <v>4.1089735000000002E-2</v>
      </c>
      <c r="E196">
        <v>0.73682167300000001</v>
      </c>
      <c r="F196">
        <v>0.68848345499999997</v>
      </c>
      <c r="G196">
        <v>0.84710628300000002</v>
      </c>
      <c r="H196">
        <v>2.76</v>
      </c>
      <c r="I196">
        <v>1.8096933946170899</v>
      </c>
      <c r="J196">
        <v>1.82821131587078</v>
      </c>
      <c r="K196">
        <v>2.10565909280071</v>
      </c>
      <c r="L196">
        <v>1.8988564320349399</v>
      </c>
      <c r="M196">
        <v>1.8189523552439399</v>
      </c>
      <c r="N196">
        <v>1.8189287897813899</v>
      </c>
      <c r="Q196">
        <f t="shared" si="15"/>
        <v>2.76</v>
      </c>
      <c r="R196">
        <f t="shared" si="17"/>
        <v>1.8938567033336438</v>
      </c>
      <c r="S196">
        <f t="shared" si="18"/>
        <v>0.86614329666635603</v>
      </c>
      <c r="T196">
        <f t="shared" si="19"/>
        <v>0.75020421036006324</v>
      </c>
    </row>
    <row r="197" spans="1:20" hidden="1" x14ac:dyDescent="0.25">
      <c r="A197" t="str">
        <f t="shared" si="16"/>
        <v>BAR</v>
      </c>
      <c r="B197" t="s">
        <v>203</v>
      </c>
      <c r="C197">
        <v>2.0315712640000001</v>
      </c>
      <c r="D197">
        <v>4.3821932000000001E-2</v>
      </c>
      <c r="E197">
        <v>0.74997074600000002</v>
      </c>
      <c r="F197">
        <v>0.70440654800000002</v>
      </c>
      <c r="G197">
        <v>0.85593835600000001</v>
      </c>
      <c r="H197">
        <v>2.21</v>
      </c>
      <c r="I197">
        <v>1.7766139801899901</v>
      </c>
      <c r="J197">
        <v>1.8419819522916501</v>
      </c>
      <c r="K197">
        <v>2.0332702767574302</v>
      </c>
      <c r="L197">
        <v>1.77268781056659</v>
      </c>
      <c r="M197">
        <v>1.80929796624082</v>
      </c>
      <c r="N197">
        <v>1.8090027329164</v>
      </c>
      <c r="Q197">
        <f t="shared" si="15"/>
        <v>2.21</v>
      </c>
      <c r="R197">
        <f t="shared" si="17"/>
        <v>1.8954189460667337</v>
      </c>
      <c r="S197">
        <f t="shared" si="18"/>
        <v>0.3145810539332663</v>
      </c>
      <c r="T197">
        <f t="shared" si="19"/>
        <v>9.8961239493764605E-2</v>
      </c>
    </row>
    <row r="198" spans="1:20" hidden="1" x14ac:dyDescent="0.25">
      <c r="A198" t="str">
        <f t="shared" si="16"/>
        <v>BAR</v>
      </c>
      <c r="B198" t="s">
        <v>204</v>
      </c>
      <c r="C198">
        <v>1.8266590789999999</v>
      </c>
      <c r="D198">
        <v>4.2053565000000001E-2</v>
      </c>
      <c r="E198">
        <v>0.74099868499999999</v>
      </c>
      <c r="F198">
        <v>0.69592132699999998</v>
      </c>
      <c r="G198">
        <v>0.84951972200000003</v>
      </c>
      <c r="H198">
        <v>2.37</v>
      </c>
      <c r="I198">
        <v>1.9435802681046199</v>
      </c>
      <c r="J198">
        <v>1.97345229044955</v>
      </c>
      <c r="K198">
        <v>2.2918852831065499</v>
      </c>
      <c r="L198">
        <v>2.0583818830154601</v>
      </c>
      <c r="M198">
        <v>1.9585162792770801</v>
      </c>
      <c r="N198">
        <v>1.9584593260426999</v>
      </c>
      <c r="Q198">
        <f t="shared" si="15"/>
        <v>2.37</v>
      </c>
      <c r="R198">
        <f t="shared" si="17"/>
        <v>2.0646143531165988</v>
      </c>
      <c r="S198">
        <f t="shared" si="18"/>
        <v>0.30538564688340131</v>
      </c>
      <c r="T198">
        <f t="shared" si="19"/>
        <v>9.326039332239347E-2</v>
      </c>
    </row>
    <row r="199" spans="1:20" hidden="1" x14ac:dyDescent="0.25">
      <c r="A199" t="str">
        <f t="shared" si="16"/>
        <v>BAR</v>
      </c>
      <c r="B199" t="s">
        <v>205</v>
      </c>
      <c r="C199">
        <v>1.83945629</v>
      </c>
      <c r="D199">
        <v>4.4501393E-2</v>
      </c>
      <c r="E199">
        <v>0.73566261300000002</v>
      </c>
      <c r="F199">
        <v>0.68416050900000003</v>
      </c>
      <c r="G199">
        <v>0.84501589399999999</v>
      </c>
      <c r="H199">
        <v>2.84</v>
      </c>
      <c r="I199">
        <v>1.9465687884302501</v>
      </c>
      <c r="J199">
        <v>1.9626339473235801</v>
      </c>
      <c r="K199">
        <v>2.25390113289644</v>
      </c>
      <c r="L199">
        <v>2.0231820162396801</v>
      </c>
      <c r="M199">
        <v>1.9546013678769201</v>
      </c>
      <c r="N199">
        <v>1.95458486256641</v>
      </c>
      <c r="Q199">
        <f t="shared" si="15"/>
        <v>2.84</v>
      </c>
      <c r="R199">
        <f t="shared" si="17"/>
        <v>2.0446089492619448</v>
      </c>
      <c r="S199">
        <f t="shared" si="18"/>
        <v>0.79539105073805505</v>
      </c>
      <c r="T199">
        <f t="shared" si="19"/>
        <v>0.63264692359418728</v>
      </c>
    </row>
    <row r="200" spans="1:20" hidden="1" x14ac:dyDescent="0.25">
      <c r="A200" t="str">
        <f t="shared" si="16"/>
        <v>BAR</v>
      </c>
      <c r="B200" t="s">
        <v>206</v>
      </c>
      <c r="C200">
        <v>1.931880587</v>
      </c>
      <c r="D200">
        <v>4.6504085000000001E-2</v>
      </c>
      <c r="E200">
        <v>0.74271326000000004</v>
      </c>
      <c r="F200">
        <v>0.68576148000000003</v>
      </c>
      <c r="G200">
        <v>0.84194783500000003</v>
      </c>
      <c r="H200">
        <v>2.41</v>
      </c>
      <c r="I200">
        <v>1.8980557616693201</v>
      </c>
      <c r="J200">
        <v>1.9225612459518</v>
      </c>
      <c r="K200">
        <v>2.1490386292982402</v>
      </c>
      <c r="L200">
        <v>1.9882577181337699</v>
      </c>
      <c r="M200">
        <v>1.9103085038105601</v>
      </c>
      <c r="N200">
        <v>1.9102692087873301</v>
      </c>
      <c r="Q200">
        <f t="shared" si="15"/>
        <v>2.41</v>
      </c>
      <c r="R200">
        <f t="shared" si="17"/>
        <v>1.9866301715229362</v>
      </c>
      <c r="S200">
        <f t="shared" si="18"/>
        <v>0.42336982847706395</v>
      </c>
      <c r="T200">
        <f t="shared" si="19"/>
        <v>0.17924201166469855</v>
      </c>
    </row>
    <row r="201" spans="1:20" hidden="1" x14ac:dyDescent="0.25">
      <c r="A201" t="str">
        <f t="shared" si="16"/>
        <v>BAR</v>
      </c>
      <c r="B201" t="s">
        <v>207</v>
      </c>
      <c r="C201">
        <v>1.986149261</v>
      </c>
      <c r="D201">
        <v>4.6544702E-2</v>
      </c>
      <c r="E201">
        <v>0.73235142600000003</v>
      </c>
      <c r="F201">
        <v>0.64215305899999997</v>
      </c>
      <c r="G201">
        <v>0.83554391800000005</v>
      </c>
      <c r="H201">
        <v>2.42</v>
      </c>
      <c r="I201">
        <v>1.7114442047140801</v>
      </c>
      <c r="J201">
        <v>1.70065944787076</v>
      </c>
      <c r="K201">
        <v>1.8624226535197499</v>
      </c>
      <c r="L201">
        <v>1.73952356325323</v>
      </c>
      <c r="M201">
        <v>1.70605182629242</v>
      </c>
      <c r="N201">
        <v>1.70604330433042</v>
      </c>
      <c r="Q201">
        <f t="shared" si="15"/>
        <v>2.42</v>
      </c>
      <c r="R201">
        <f t="shared" si="17"/>
        <v>1.7261029819793436</v>
      </c>
      <c r="S201">
        <f t="shared" si="18"/>
        <v>0.69389701802065629</v>
      </c>
      <c r="T201">
        <f t="shared" si="19"/>
        <v>0.48149307161795901</v>
      </c>
    </row>
    <row r="202" spans="1:20" hidden="1" x14ac:dyDescent="0.25">
      <c r="A202" t="str">
        <f t="shared" si="16"/>
        <v>BAR</v>
      </c>
      <c r="B202" t="s">
        <v>208</v>
      </c>
      <c r="C202">
        <v>2.0273660659999999</v>
      </c>
      <c r="D202">
        <v>3.9555301000000001E-2</v>
      </c>
      <c r="E202">
        <v>0.750464138</v>
      </c>
      <c r="F202">
        <v>0.683617001</v>
      </c>
      <c r="G202">
        <v>0.84693909099999998</v>
      </c>
      <c r="H202">
        <v>2.19</v>
      </c>
      <c r="I202">
        <v>1.6638973359956</v>
      </c>
      <c r="J202">
        <v>1.68462853597833</v>
      </c>
      <c r="K202">
        <v>1.94463575285696</v>
      </c>
      <c r="L202">
        <v>1.79747335185852</v>
      </c>
      <c r="M202">
        <v>1.6742629359869601</v>
      </c>
      <c r="N202">
        <v>1.6742308482274799</v>
      </c>
      <c r="Q202">
        <f t="shared" si="15"/>
        <v>2.19</v>
      </c>
      <c r="R202">
        <f t="shared" si="17"/>
        <v>1.7245643918414966</v>
      </c>
      <c r="S202">
        <f t="shared" si="18"/>
        <v>0.46543560815850338</v>
      </c>
      <c r="T202">
        <f t="shared" si="19"/>
        <v>0.21663030534187588</v>
      </c>
    </row>
    <row r="203" spans="1:20" hidden="1" x14ac:dyDescent="0.25">
      <c r="A203" t="str">
        <f t="shared" si="16"/>
        <v>BAR</v>
      </c>
      <c r="B203" t="s">
        <v>209</v>
      </c>
      <c r="C203">
        <v>1.8459307359999999</v>
      </c>
      <c r="D203">
        <v>4.3521806000000003E-2</v>
      </c>
      <c r="E203">
        <v>0.74074681399999998</v>
      </c>
      <c r="F203">
        <v>0.66719555399999997</v>
      </c>
      <c r="G203">
        <v>0.83955265000000001</v>
      </c>
      <c r="H203">
        <v>2.17</v>
      </c>
      <c r="I203">
        <v>1.8836058937050599</v>
      </c>
      <c r="J203">
        <v>1.8779345074639799</v>
      </c>
      <c r="K203">
        <v>2.1939292272120201</v>
      </c>
      <c r="L203">
        <v>2.0261576254882199</v>
      </c>
      <c r="M203">
        <v>1.8807702005845199</v>
      </c>
      <c r="N203">
        <v>1.8807680628539101</v>
      </c>
      <c r="Q203">
        <f t="shared" si="15"/>
        <v>2.17</v>
      </c>
      <c r="R203">
        <f t="shared" si="17"/>
        <v>1.9478883906306645</v>
      </c>
      <c r="S203">
        <f t="shared" si="18"/>
        <v>0.22211160936933538</v>
      </c>
      <c r="T203">
        <f t="shared" si="19"/>
        <v>4.9333567016636236E-2</v>
      </c>
    </row>
    <row r="204" spans="1:20" hidden="1" x14ac:dyDescent="0.25">
      <c r="A204" t="str">
        <f t="shared" si="16"/>
        <v>BAR</v>
      </c>
      <c r="B204" t="s">
        <v>210</v>
      </c>
      <c r="C204">
        <v>1.844572986</v>
      </c>
      <c r="D204">
        <v>4.3123781999999999E-2</v>
      </c>
      <c r="E204">
        <v>0.73382772900000004</v>
      </c>
      <c r="F204">
        <v>0.67057401699999997</v>
      </c>
      <c r="G204">
        <v>0.83362658499999998</v>
      </c>
      <c r="H204">
        <v>2.11</v>
      </c>
      <c r="I204">
        <v>1.9017458815605901</v>
      </c>
      <c r="J204">
        <v>1.87854412947752</v>
      </c>
      <c r="K204">
        <v>2.2362252349889098</v>
      </c>
      <c r="L204">
        <v>2.0926140997694098</v>
      </c>
      <c r="M204">
        <v>1.8901450055190601</v>
      </c>
      <c r="N204">
        <v>1.8901094046545801</v>
      </c>
      <c r="Q204">
        <f t="shared" si="15"/>
        <v>2.11</v>
      </c>
      <c r="R204">
        <f t="shared" si="17"/>
        <v>1.9505460945446607</v>
      </c>
      <c r="S204">
        <f t="shared" si="18"/>
        <v>0.15945390545533922</v>
      </c>
      <c r="T204">
        <f t="shared" si="19"/>
        <v>2.5425547964960257E-2</v>
      </c>
    </row>
    <row r="205" spans="1:20" hidden="1" x14ac:dyDescent="0.25">
      <c r="A205" t="str">
        <f t="shared" si="16"/>
        <v>BAR</v>
      </c>
      <c r="B205" t="s">
        <v>211</v>
      </c>
      <c r="C205">
        <v>2.0445663519999999</v>
      </c>
      <c r="D205">
        <v>4.1823784000000003E-2</v>
      </c>
      <c r="E205">
        <v>0.73809890099999997</v>
      </c>
      <c r="F205">
        <v>0.65551511399999995</v>
      </c>
      <c r="G205">
        <v>0.83888606700000001</v>
      </c>
      <c r="H205">
        <v>2.1</v>
      </c>
      <c r="I205">
        <v>1.60810094987281</v>
      </c>
      <c r="J205">
        <v>1.6004783402360001</v>
      </c>
      <c r="K205">
        <v>1.8241115539148101</v>
      </c>
      <c r="L205">
        <v>1.66920482206721</v>
      </c>
      <c r="M205">
        <v>1.60428964505441</v>
      </c>
      <c r="N205">
        <v>1.60428511779682</v>
      </c>
      <c r="Q205">
        <f t="shared" si="15"/>
        <v>2.1</v>
      </c>
      <c r="R205">
        <f t="shared" si="17"/>
        <v>1.6200962754366515</v>
      </c>
      <c r="S205">
        <f t="shared" si="18"/>
        <v>0.47990372456334862</v>
      </c>
      <c r="T205">
        <f t="shared" si="19"/>
        <v>0.23030758484977437</v>
      </c>
    </row>
    <row r="206" spans="1:20" hidden="1" x14ac:dyDescent="0.25">
      <c r="A206" t="str">
        <f t="shared" si="16"/>
        <v>BAR</v>
      </c>
      <c r="B206" t="s">
        <v>212</v>
      </c>
      <c r="C206">
        <v>2.125501275</v>
      </c>
      <c r="D206">
        <v>4.3374243E-2</v>
      </c>
      <c r="E206">
        <v>0.73951209500000004</v>
      </c>
      <c r="F206">
        <v>0.67290410499999997</v>
      </c>
      <c r="G206">
        <v>0.84794072600000003</v>
      </c>
      <c r="H206">
        <v>2.37</v>
      </c>
      <c r="I206">
        <v>1.5892429386684399</v>
      </c>
      <c r="J206">
        <v>1.61543300841439</v>
      </c>
      <c r="K206">
        <v>1.72057886312595</v>
      </c>
      <c r="L206">
        <v>1.54928150341694</v>
      </c>
      <c r="M206">
        <v>1.6023379735414101</v>
      </c>
      <c r="N206">
        <v>1.6022844633567701</v>
      </c>
      <c r="Q206">
        <f t="shared" si="15"/>
        <v>2.37</v>
      </c>
      <c r="R206">
        <f t="shared" si="17"/>
        <v>1.6290308131743996</v>
      </c>
      <c r="S206">
        <f t="shared" si="18"/>
        <v>0.74096918682560053</v>
      </c>
      <c r="T206">
        <f t="shared" si="19"/>
        <v>0.54903533582499175</v>
      </c>
    </row>
    <row r="207" spans="1:20" hidden="1" x14ac:dyDescent="0.25">
      <c r="A207" t="str">
        <f t="shared" si="16"/>
        <v>BAR</v>
      </c>
      <c r="B207" t="s">
        <v>213</v>
      </c>
      <c r="C207">
        <v>2.010464115</v>
      </c>
      <c r="D207">
        <v>4.5525924000000002E-2</v>
      </c>
      <c r="E207">
        <v>0.72152449299999999</v>
      </c>
      <c r="F207">
        <v>0.60632737299999995</v>
      </c>
      <c r="G207">
        <v>0.82986356500000003</v>
      </c>
      <c r="H207">
        <v>1.91</v>
      </c>
      <c r="I207">
        <v>1.5609671929758899</v>
      </c>
      <c r="J207">
        <v>1.5154776225582101</v>
      </c>
      <c r="K207">
        <v>1.72225167503037</v>
      </c>
      <c r="L207">
        <v>1.55398803703071</v>
      </c>
      <c r="M207">
        <v>1.5382224077670501</v>
      </c>
      <c r="N207">
        <v>1.5380542417296199</v>
      </c>
      <c r="Q207">
        <f t="shared" si="15"/>
        <v>1.91</v>
      </c>
      <c r="R207">
        <f t="shared" si="17"/>
        <v>1.5131151492886987</v>
      </c>
      <c r="S207">
        <f t="shared" si="18"/>
        <v>0.3968848507113012</v>
      </c>
      <c r="T207">
        <f t="shared" si="19"/>
        <v>0.15751758472413183</v>
      </c>
    </row>
    <row r="208" spans="1:20" hidden="1" x14ac:dyDescent="0.25">
      <c r="A208" t="str">
        <f t="shared" si="16"/>
        <v>BAR</v>
      </c>
      <c r="B208" t="s">
        <v>214</v>
      </c>
      <c r="C208">
        <v>2.0130634110000001</v>
      </c>
      <c r="D208">
        <v>5.0040977E-2</v>
      </c>
      <c r="E208">
        <v>0.71776586499999995</v>
      </c>
      <c r="F208">
        <v>0.573178772</v>
      </c>
      <c r="G208">
        <v>0.821029711</v>
      </c>
      <c r="H208">
        <v>1.62</v>
      </c>
      <c r="I208">
        <v>1.5316676345098099</v>
      </c>
      <c r="J208">
        <v>1.48056251300604</v>
      </c>
      <c r="K208">
        <v>1.5744678473768701</v>
      </c>
      <c r="L208">
        <v>1.4771266001619101</v>
      </c>
      <c r="M208">
        <v>1.5061150737579301</v>
      </c>
      <c r="N208">
        <v>1.50589829737598</v>
      </c>
      <c r="Q208">
        <f t="shared" si="15"/>
        <v>1.62</v>
      </c>
      <c r="R208">
        <f t="shared" si="17"/>
        <v>1.4585867370227557</v>
      </c>
      <c r="S208">
        <f t="shared" si="18"/>
        <v>0.16141326297724445</v>
      </c>
      <c r="T208">
        <f t="shared" si="19"/>
        <v>2.6054241464961075E-2</v>
      </c>
    </row>
    <row r="209" spans="1:20" hidden="1" x14ac:dyDescent="0.25">
      <c r="A209" t="str">
        <f t="shared" si="16"/>
        <v>BAR</v>
      </c>
      <c r="B209" t="s">
        <v>215</v>
      </c>
      <c r="C209">
        <v>1.9750034279999999</v>
      </c>
      <c r="D209">
        <v>4.9911637000000002E-2</v>
      </c>
      <c r="E209">
        <v>0.71071867200000005</v>
      </c>
      <c r="F209">
        <v>0.56402870699999996</v>
      </c>
      <c r="G209">
        <v>0.81728073199999995</v>
      </c>
      <c r="H209">
        <v>1.54</v>
      </c>
      <c r="I209">
        <v>1.54541814519747</v>
      </c>
      <c r="J209">
        <v>1.4762564082823599</v>
      </c>
      <c r="K209">
        <v>1.57099686220296</v>
      </c>
      <c r="L209">
        <v>1.46024598991526</v>
      </c>
      <c r="M209">
        <v>1.5108372767399101</v>
      </c>
      <c r="N209">
        <v>1.51044147199539</v>
      </c>
      <c r="Q209">
        <f t="shared" si="15"/>
        <v>1.54</v>
      </c>
      <c r="R209">
        <f t="shared" si="17"/>
        <v>1.4565674127826287</v>
      </c>
      <c r="S209">
        <f t="shared" si="18"/>
        <v>8.3432587217371346E-2</v>
      </c>
      <c r="T209">
        <f t="shared" si="19"/>
        <v>6.9609966097842766E-3</v>
      </c>
    </row>
    <row r="210" spans="1:20" hidden="1" x14ac:dyDescent="0.25">
      <c r="A210" t="str">
        <f t="shared" si="16"/>
        <v>BAR</v>
      </c>
      <c r="B210" t="s">
        <v>216</v>
      </c>
      <c r="C210">
        <v>1.9004545610000001</v>
      </c>
      <c r="D210">
        <v>5.1076533E-2</v>
      </c>
      <c r="E210">
        <v>0.71417403999999995</v>
      </c>
      <c r="F210">
        <v>0.53372557899999995</v>
      </c>
      <c r="G210">
        <v>0.81383943999999997</v>
      </c>
      <c r="H210">
        <v>1.75</v>
      </c>
      <c r="I210">
        <v>1.5414772093925999</v>
      </c>
      <c r="J210">
        <v>1.4668173712519901</v>
      </c>
      <c r="K210">
        <v>1.5839157006969</v>
      </c>
      <c r="L210">
        <v>1.4853585457563201</v>
      </c>
      <c r="M210">
        <v>1.5041472903222901</v>
      </c>
      <c r="N210">
        <v>1.5036839921094101</v>
      </c>
      <c r="Q210">
        <f t="shared" si="15"/>
        <v>1.75</v>
      </c>
      <c r="R210">
        <f t="shared" si="17"/>
        <v>1.4448819193556832</v>
      </c>
      <c r="S210">
        <f t="shared" si="18"/>
        <v>0.30511808064431678</v>
      </c>
      <c r="T210">
        <f t="shared" si="19"/>
        <v>9.3097043136071797E-2</v>
      </c>
    </row>
    <row r="211" spans="1:20" hidden="1" x14ac:dyDescent="0.25">
      <c r="A211" t="str">
        <f t="shared" si="16"/>
        <v>BAR</v>
      </c>
      <c r="B211" t="s">
        <v>217</v>
      </c>
      <c r="C211">
        <v>1.8158166979999999</v>
      </c>
      <c r="D211">
        <v>4.9173283999999998E-2</v>
      </c>
      <c r="E211">
        <v>0.68532571099999995</v>
      </c>
      <c r="F211">
        <v>0.53337422499999998</v>
      </c>
      <c r="G211">
        <v>0.79239397</v>
      </c>
      <c r="H211">
        <v>1.34</v>
      </c>
      <c r="I211">
        <v>1.6288725067088099</v>
      </c>
      <c r="J211">
        <v>1.4860859127266299</v>
      </c>
      <c r="K211">
        <v>1.7733781421136099</v>
      </c>
      <c r="L211">
        <v>1.67037659697823</v>
      </c>
      <c r="M211">
        <v>1.5574792097177199</v>
      </c>
      <c r="N211">
        <v>1.55584205041761</v>
      </c>
      <c r="Q211">
        <f t="shared" si="15"/>
        <v>1.34</v>
      </c>
      <c r="R211">
        <f t="shared" si="17"/>
        <v>1.4807050538825526</v>
      </c>
      <c r="S211">
        <f t="shared" si="18"/>
        <v>-0.1407050538825525</v>
      </c>
      <c r="T211">
        <f t="shared" si="19"/>
        <v>1.9797912188092001E-2</v>
      </c>
    </row>
    <row r="212" spans="1:20" hidden="1" x14ac:dyDescent="0.25">
      <c r="A212" t="str">
        <f t="shared" si="16"/>
        <v>BAR</v>
      </c>
      <c r="B212" t="s">
        <v>218</v>
      </c>
      <c r="C212">
        <v>1.951555538</v>
      </c>
      <c r="D212">
        <v>4.9447391E-2</v>
      </c>
      <c r="E212">
        <v>0.71211543799999999</v>
      </c>
      <c r="F212">
        <v>0.58228665099999999</v>
      </c>
      <c r="G212">
        <v>0.81454782000000003</v>
      </c>
      <c r="H212">
        <v>1.29</v>
      </c>
      <c r="I212">
        <v>1.6282517733737401</v>
      </c>
      <c r="J212">
        <v>1.55835194899434</v>
      </c>
      <c r="K212">
        <v>1.7260954346719</v>
      </c>
      <c r="L212">
        <v>1.63039690679041</v>
      </c>
      <c r="M212">
        <v>1.5933018611840399</v>
      </c>
      <c r="N212">
        <v>1.5929184927329001</v>
      </c>
      <c r="Q212">
        <f t="shared" si="15"/>
        <v>1.29</v>
      </c>
      <c r="R212">
        <f t="shared" si="17"/>
        <v>1.5547910921296944</v>
      </c>
      <c r="S212">
        <f t="shared" si="18"/>
        <v>-0.26479109212969432</v>
      </c>
      <c r="T212">
        <f t="shared" si="19"/>
        <v>7.0114322471236265E-2</v>
      </c>
    </row>
    <row r="213" spans="1:20" hidden="1" x14ac:dyDescent="0.25">
      <c r="A213" t="str">
        <f t="shared" si="16"/>
        <v>BAR</v>
      </c>
      <c r="B213" t="s">
        <v>219</v>
      </c>
      <c r="C213">
        <v>1.9012788549999999</v>
      </c>
      <c r="D213">
        <v>5.2626262E-2</v>
      </c>
      <c r="E213">
        <v>0.69954649099999999</v>
      </c>
      <c r="F213">
        <v>0.53592265699999997</v>
      </c>
      <c r="G213">
        <v>0.79960092000000005</v>
      </c>
      <c r="H213">
        <v>1.48</v>
      </c>
      <c r="I213">
        <v>1.58928288994861</v>
      </c>
      <c r="J213">
        <v>1.4935671270119699</v>
      </c>
      <c r="K213">
        <v>1.63199247462209</v>
      </c>
      <c r="L213">
        <v>1.5550226350025</v>
      </c>
      <c r="M213">
        <v>1.5414250084802901</v>
      </c>
      <c r="N213">
        <v>1.5406818879800701</v>
      </c>
      <c r="Q213">
        <f t="shared" si="15"/>
        <v>1.48</v>
      </c>
      <c r="R213">
        <f t="shared" si="17"/>
        <v>1.4727530819039374</v>
      </c>
      <c r="S213">
        <f t="shared" si="18"/>
        <v>7.2469180960625934E-3</v>
      </c>
      <c r="T213">
        <f t="shared" si="19"/>
        <v>5.2517821891039485E-5</v>
      </c>
    </row>
    <row r="214" spans="1:20" hidden="1" x14ac:dyDescent="0.25">
      <c r="A214" t="str">
        <f t="shared" si="16"/>
        <v>BAR</v>
      </c>
      <c r="B214" t="s">
        <v>220</v>
      </c>
      <c r="C214">
        <v>1.855995045</v>
      </c>
      <c r="D214">
        <v>5.1836413999999997E-2</v>
      </c>
      <c r="E214">
        <v>0.71385563699999999</v>
      </c>
      <c r="F214">
        <v>0.52813096500000001</v>
      </c>
      <c r="G214">
        <v>0.81530759200000003</v>
      </c>
      <c r="H214">
        <v>1.52</v>
      </c>
      <c r="I214">
        <v>1.58335660388693</v>
      </c>
      <c r="J214">
        <v>1.5064576680029</v>
      </c>
      <c r="K214">
        <v>1.63439661281139</v>
      </c>
      <c r="L214">
        <v>1.5333861947452601</v>
      </c>
      <c r="M214">
        <v>1.54490713594491</v>
      </c>
      <c r="N214">
        <v>1.54442859890268</v>
      </c>
      <c r="Q214">
        <f t="shared" si="15"/>
        <v>1.52</v>
      </c>
      <c r="R214">
        <f t="shared" si="17"/>
        <v>1.4907791070363512</v>
      </c>
      <c r="S214">
        <f t="shared" si="18"/>
        <v>2.9220892963648826E-2</v>
      </c>
      <c r="T214">
        <f t="shared" si="19"/>
        <v>8.5386058559302146E-4</v>
      </c>
    </row>
    <row r="215" spans="1:20" hidden="1" x14ac:dyDescent="0.25">
      <c r="A215" t="str">
        <f t="shared" si="16"/>
        <v>BAR</v>
      </c>
      <c r="B215" t="s">
        <v>221</v>
      </c>
      <c r="C215">
        <v>1.803221781</v>
      </c>
      <c r="D215">
        <v>5.2678993E-2</v>
      </c>
      <c r="E215">
        <v>0.70591607199999995</v>
      </c>
      <c r="F215">
        <v>0.55937919400000002</v>
      </c>
      <c r="G215">
        <v>0.81165210899999995</v>
      </c>
      <c r="H215">
        <v>1.37</v>
      </c>
      <c r="I215">
        <v>1.7716479837176899</v>
      </c>
      <c r="J215">
        <v>1.6846670071157499</v>
      </c>
      <c r="K215">
        <v>1.8691784080892599</v>
      </c>
      <c r="L215">
        <v>1.7597926135099899</v>
      </c>
      <c r="M215">
        <v>1.72815749541672</v>
      </c>
      <c r="N215">
        <v>1.7276101719984001</v>
      </c>
      <c r="Q215">
        <f t="shared" si="15"/>
        <v>1.37</v>
      </c>
      <c r="R215">
        <f t="shared" si="17"/>
        <v>1.6994160357193309</v>
      </c>
      <c r="S215">
        <f t="shared" si="18"/>
        <v>-0.32941603571933076</v>
      </c>
      <c r="T215">
        <f t="shared" si="19"/>
        <v>0.1085149245890394</v>
      </c>
    </row>
    <row r="216" spans="1:20" hidden="1" x14ac:dyDescent="0.25">
      <c r="A216" t="str">
        <f t="shared" si="16"/>
        <v>BAR</v>
      </c>
      <c r="B216" t="s">
        <v>222</v>
      </c>
      <c r="C216">
        <v>1.779268581</v>
      </c>
      <c r="D216">
        <v>5.0221751000000002E-2</v>
      </c>
      <c r="E216">
        <v>0.69305273599999995</v>
      </c>
      <c r="F216">
        <v>0.51436884400000005</v>
      </c>
      <c r="G216">
        <v>0.80193680499999997</v>
      </c>
      <c r="H216">
        <v>1.72</v>
      </c>
      <c r="I216">
        <v>1.6073266622454301</v>
      </c>
      <c r="J216">
        <v>1.4807457887339599</v>
      </c>
      <c r="K216">
        <v>1.7147939862891901</v>
      </c>
      <c r="L216">
        <v>1.58834794899535</v>
      </c>
      <c r="M216">
        <v>1.54403622548969</v>
      </c>
      <c r="N216">
        <v>1.5427385346324001</v>
      </c>
      <c r="Q216">
        <f t="shared" si="15"/>
        <v>1.72</v>
      </c>
      <c r="R216">
        <f t="shared" si="17"/>
        <v>1.4720123283381303</v>
      </c>
      <c r="S216">
        <f t="shared" si="18"/>
        <v>0.24798767166186964</v>
      </c>
      <c r="T216">
        <f t="shared" si="19"/>
        <v>6.1497885296275263E-2</v>
      </c>
    </row>
    <row r="217" spans="1:20" hidden="1" x14ac:dyDescent="0.25">
      <c r="A217" t="str">
        <f t="shared" si="16"/>
        <v>BAR</v>
      </c>
      <c r="B217" t="s">
        <v>223</v>
      </c>
      <c r="C217">
        <v>1.8272464129999999</v>
      </c>
      <c r="D217">
        <v>5.8279571000000002E-2</v>
      </c>
      <c r="E217">
        <v>0.71279770499999995</v>
      </c>
      <c r="F217">
        <v>0.54120942100000002</v>
      </c>
      <c r="G217">
        <v>0.805224096</v>
      </c>
      <c r="H217">
        <v>1.1499999999999999</v>
      </c>
      <c r="I217">
        <v>1.78138299568201</v>
      </c>
      <c r="J217">
        <v>1.7228431426558799</v>
      </c>
      <c r="K217">
        <v>1.8234487803687101</v>
      </c>
      <c r="L217">
        <v>1.7365534094166999</v>
      </c>
      <c r="M217">
        <v>1.7521130691689399</v>
      </c>
      <c r="N217">
        <v>1.7518685677169199</v>
      </c>
      <c r="Q217">
        <f t="shared" si="15"/>
        <v>1.1499999999999999</v>
      </c>
      <c r="R217">
        <f t="shared" si="17"/>
        <v>1.7225438905846606</v>
      </c>
      <c r="S217">
        <f t="shared" si="18"/>
        <v>-0.57254389058466071</v>
      </c>
      <c r="T217">
        <f t="shared" si="19"/>
        <v>0.32780650664581995</v>
      </c>
    </row>
    <row r="218" spans="1:20" hidden="1" x14ac:dyDescent="0.25">
      <c r="A218" t="str">
        <f t="shared" si="16"/>
        <v>BAR</v>
      </c>
      <c r="B218" t="s">
        <v>224</v>
      </c>
      <c r="C218">
        <v>1.720040988</v>
      </c>
      <c r="D218">
        <v>5.9676554999999999E-2</v>
      </c>
      <c r="E218">
        <v>0.69950958100000005</v>
      </c>
      <c r="F218">
        <v>0.475661002</v>
      </c>
      <c r="G218">
        <v>0.78644585099999997</v>
      </c>
      <c r="H218">
        <v>1.22</v>
      </c>
      <c r="I218">
        <v>1.6946682753245299</v>
      </c>
      <c r="J218">
        <v>1.6074028584397799</v>
      </c>
      <c r="K218">
        <v>1.7818931598876699</v>
      </c>
      <c r="L218">
        <v>1.68732175383644</v>
      </c>
      <c r="M218">
        <v>1.6510355668821499</v>
      </c>
      <c r="N218">
        <v>1.6504589149275599</v>
      </c>
      <c r="Q218">
        <f t="shared" si="15"/>
        <v>1.22</v>
      </c>
      <c r="R218">
        <f t="shared" si="17"/>
        <v>1.5895047944624245</v>
      </c>
      <c r="S218">
        <f t="shared" si="18"/>
        <v>-0.36950479446242457</v>
      </c>
      <c r="T218">
        <f t="shared" si="19"/>
        <v>0.13653379313071862</v>
      </c>
    </row>
    <row r="219" spans="1:20" hidden="1" x14ac:dyDescent="0.25">
      <c r="A219" t="str">
        <f t="shared" si="16"/>
        <v>BAR</v>
      </c>
      <c r="B219" t="s">
        <v>225</v>
      </c>
      <c r="C219">
        <v>1.8565505280000001</v>
      </c>
      <c r="D219">
        <v>5.8865514000000001E-2</v>
      </c>
      <c r="E219">
        <v>0.70647998499999998</v>
      </c>
      <c r="F219">
        <v>0.40672371699999998</v>
      </c>
      <c r="G219">
        <v>0.80387590799999997</v>
      </c>
      <c r="H219">
        <v>0.91</v>
      </c>
      <c r="I219">
        <v>1.26445270332885</v>
      </c>
      <c r="J219">
        <v>1.2064731435737299</v>
      </c>
      <c r="K219">
        <v>1.19950824900919</v>
      </c>
      <c r="L219">
        <v>1.0846031603456201</v>
      </c>
      <c r="M219">
        <v>1.2354629234512899</v>
      </c>
      <c r="N219">
        <v>1.2351227582250499</v>
      </c>
      <c r="Q219">
        <f t="shared" si="15"/>
        <v>0.91</v>
      </c>
      <c r="R219">
        <f t="shared" si="17"/>
        <v>1.117234977251496</v>
      </c>
      <c r="S219">
        <f t="shared" si="18"/>
        <v>-0.20723497725149598</v>
      </c>
      <c r="T219">
        <f t="shared" si="19"/>
        <v>4.2946335796428058E-2</v>
      </c>
    </row>
    <row r="220" spans="1:20" hidden="1" x14ac:dyDescent="0.25">
      <c r="A220" t="str">
        <f t="shared" si="16"/>
        <v>BAR</v>
      </c>
      <c r="B220" t="s">
        <v>226</v>
      </c>
      <c r="C220">
        <v>1.6744436760000001</v>
      </c>
      <c r="D220">
        <v>5.7240988E-2</v>
      </c>
      <c r="E220">
        <v>0.70206424099999998</v>
      </c>
      <c r="F220">
        <v>0.498304725</v>
      </c>
      <c r="G220">
        <v>0.80098035700000003</v>
      </c>
      <c r="H220">
        <v>0.97</v>
      </c>
      <c r="I220">
        <v>1.7850814560820301</v>
      </c>
      <c r="J220">
        <v>1.6841837980049501</v>
      </c>
      <c r="K220">
        <v>1.8893708108363201</v>
      </c>
      <c r="L220">
        <v>1.7668735865119101</v>
      </c>
      <c r="M220">
        <v>1.73463262704349</v>
      </c>
      <c r="N220">
        <v>1.7338988628096099</v>
      </c>
      <c r="Q220">
        <f t="shared" si="15"/>
        <v>0.97</v>
      </c>
      <c r="R220">
        <f t="shared" si="17"/>
        <v>1.6897315518396221</v>
      </c>
      <c r="S220">
        <f t="shared" si="18"/>
        <v>-0.71973155183962212</v>
      </c>
      <c r="T220">
        <f t="shared" si="19"/>
        <v>0.51801350671347068</v>
      </c>
    </row>
    <row r="221" spans="1:20" hidden="1" x14ac:dyDescent="0.25">
      <c r="A221" t="str">
        <f t="shared" si="16"/>
        <v>BAR</v>
      </c>
      <c r="B221" t="s">
        <v>227</v>
      </c>
      <c r="C221">
        <v>1.7790874299999999</v>
      </c>
      <c r="D221">
        <v>5.5175250000000002E-2</v>
      </c>
      <c r="E221">
        <v>0.69127820200000001</v>
      </c>
      <c r="F221">
        <v>0.510830432</v>
      </c>
      <c r="G221">
        <v>0.79365174400000005</v>
      </c>
      <c r="H221">
        <v>1.52</v>
      </c>
      <c r="I221">
        <v>1.6845351542829701</v>
      </c>
      <c r="J221">
        <v>1.57008798348981</v>
      </c>
      <c r="K221">
        <v>1.7684567970222</v>
      </c>
      <c r="L221">
        <v>1.6616243519657099</v>
      </c>
      <c r="M221">
        <v>1.6273115688863899</v>
      </c>
      <c r="N221">
        <v>1.6263051384982601</v>
      </c>
      <c r="Q221">
        <f t="shared" si="15"/>
        <v>1.52</v>
      </c>
      <c r="R221">
        <f t="shared" si="17"/>
        <v>1.5602694435723601</v>
      </c>
      <c r="S221">
        <f t="shared" si="18"/>
        <v>-4.0269443572360064E-2</v>
      </c>
      <c r="T221">
        <f t="shared" si="19"/>
        <v>1.6216280856274914E-3</v>
      </c>
    </row>
    <row r="222" spans="1:20" hidden="1" x14ac:dyDescent="0.25">
      <c r="A222" t="str">
        <f t="shared" si="16"/>
        <v>BAR</v>
      </c>
      <c r="B222" t="s">
        <v>228</v>
      </c>
      <c r="C222">
        <v>1.740711331</v>
      </c>
      <c r="D222">
        <v>5.8804943999999998E-2</v>
      </c>
      <c r="E222">
        <v>0.66592113200000003</v>
      </c>
      <c r="F222">
        <v>0.39584893900000001</v>
      </c>
      <c r="G222">
        <v>0.75627263499999997</v>
      </c>
      <c r="H222">
        <v>0.93</v>
      </c>
      <c r="I222">
        <v>1.3419454984538799</v>
      </c>
      <c r="J222">
        <v>1.2398822869398101</v>
      </c>
      <c r="K222">
        <v>1.39815307700348</v>
      </c>
      <c r="L222">
        <v>1.2425924602432601</v>
      </c>
      <c r="M222">
        <v>1.29091389269684</v>
      </c>
      <c r="N222">
        <v>1.28990482345465</v>
      </c>
      <c r="Q222">
        <f t="shared" si="15"/>
        <v>0.93</v>
      </c>
      <c r="R222">
        <f t="shared" si="17"/>
        <v>1.1673787497823853</v>
      </c>
      <c r="S222">
        <f t="shared" si="18"/>
        <v>-0.23737874978238527</v>
      </c>
      <c r="T222">
        <f t="shared" si="19"/>
        <v>5.6348670848248274E-2</v>
      </c>
    </row>
    <row r="223" spans="1:20" hidden="1" x14ac:dyDescent="0.25">
      <c r="A223" t="str">
        <f t="shared" si="16"/>
        <v>BAR</v>
      </c>
      <c r="B223" t="s">
        <v>229</v>
      </c>
      <c r="C223">
        <v>1.720508022</v>
      </c>
      <c r="D223">
        <v>6.2546493999999994E-2</v>
      </c>
      <c r="E223">
        <v>0.64772479100000002</v>
      </c>
      <c r="F223">
        <v>0.38117316200000001</v>
      </c>
      <c r="G223">
        <v>0.73292352999999999</v>
      </c>
      <c r="H223">
        <v>1.19</v>
      </c>
      <c r="I223">
        <v>1.3570223329617599</v>
      </c>
      <c r="J223">
        <v>1.2703016608650399</v>
      </c>
      <c r="K223">
        <v>1.40330775002741</v>
      </c>
      <c r="L223">
        <v>1.2439645275487199</v>
      </c>
      <c r="M223">
        <v>1.3136619969134</v>
      </c>
      <c r="N223">
        <v>1.3129461997326</v>
      </c>
      <c r="Q223">
        <f t="shared" si="15"/>
        <v>1.19</v>
      </c>
      <c r="R223">
        <f t="shared" si="17"/>
        <v>1.1926246045990077</v>
      </c>
      <c r="S223">
        <f t="shared" si="18"/>
        <v>-2.6246045990077072E-3</v>
      </c>
      <c r="T223">
        <f t="shared" si="19"/>
        <v>6.8885493011324076E-6</v>
      </c>
    </row>
    <row r="224" spans="1:20" hidden="1" x14ac:dyDescent="0.25">
      <c r="A224" t="str">
        <f t="shared" si="16"/>
        <v>BAR</v>
      </c>
      <c r="B224" t="s">
        <v>230</v>
      </c>
      <c r="C224">
        <v>1.907557795</v>
      </c>
      <c r="D224">
        <v>5.6939852999999999E-2</v>
      </c>
      <c r="E224">
        <v>0.68481673499999995</v>
      </c>
      <c r="F224">
        <v>0.41317582899999999</v>
      </c>
      <c r="G224">
        <v>0.77238606799999998</v>
      </c>
      <c r="H224">
        <v>1.22</v>
      </c>
      <c r="I224">
        <v>1.18320893184878</v>
      </c>
      <c r="J224">
        <v>1.1148408237045</v>
      </c>
      <c r="K224">
        <v>1.2090987769774599</v>
      </c>
      <c r="L224">
        <v>1.1707768472314399</v>
      </c>
      <c r="M224">
        <v>1.1490248777766401</v>
      </c>
      <c r="N224">
        <v>1.1485162690170401</v>
      </c>
      <c r="Q224">
        <f t="shared" si="15"/>
        <v>1.22</v>
      </c>
      <c r="R224">
        <f t="shared" si="17"/>
        <v>1.0177017190688695</v>
      </c>
      <c r="S224">
        <f t="shared" si="18"/>
        <v>0.20229828093113045</v>
      </c>
      <c r="T224">
        <f t="shared" si="19"/>
        <v>4.0924594467690575E-2</v>
      </c>
    </row>
    <row r="225" spans="1:20" hidden="1" x14ac:dyDescent="0.25">
      <c r="A225" t="str">
        <f t="shared" si="16"/>
        <v>BAR</v>
      </c>
      <c r="B225" t="s">
        <v>231</v>
      </c>
      <c r="C225">
        <v>1.810709567</v>
      </c>
      <c r="D225">
        <v>5.8722389E-2</v>
      </c>
      <c r="E225">
        <v>0.68687446799999996</v>
      </c>
      <c r="F225">
        <v>0.461852651</v>
      </c>
      <c r="G225">
        <v>0.77323414700000004</v>
      </c>
      <c r="H225">
        <v>1.32</v>
      </c>
      <c r="I225">
        <v>1.52474812197488</v>
      </c>
      <c r="J225">
        <v>1.4316998168538999</v>
      </c>
      <c r="K225">
        <v>1.58001703380356</v>
      </c>
      <c r="L225">
        <v>1.53621061874891</v>
      </c>
      <c r="M225">
        <v>1.4782239694143899</v>
      </c>
      <c r="N225">
        <v>1.47749166054491</v>
      </c>
      <c r="Q225">
        <f t="shared" si="15"/>
        <v>1.32</v>
      </c>
      <c r="R225">
        <f t="shared" si="17"/>
        <v>1.3854265257902871</v>
      </c>
      <c r="S225">
        <f t="shared" si="18"/>
        <v>-6.5426525790287071E-2</v>
      </c>
      <c r="T225">
        <f t="shared" si="19"/>
        <v>4.2806302769870996E-3</v>
      </c>
    </row>
    <row r="226" spans="1:20" hidden="1" x14ac:dyDescent="0.25">
      <c r="A226" t="str">
        <f t="shared" si="16"/>
        <v>BAR</v>
      </c>
      <c r="B226" t="s">
        <v>232</v>
      </c>
      <c r="C226">
        <v>1.7612743660000001</v>
      </c>
      <c r="D226">
        <v>5.4290807000000003E-2</v>
      </c>
      <c r="E226">
        <v>0.72675322499999995</v>
      </c>
      <c r="F226">
        <v>0.52881605499999995</v>
      </c>
      <c r="G226">
        <v>0.82094089999999997</v>
      </c>
      <c r="H226">
        <v>1.85</v>
      </c>
      <c r="I226">
        <v>1.7251925263711201</v>
      </c>
      <c r="J226">
        <v>1.66827286268153</v>
      </c>
      <c r="K226">
        <v>1.7856887709057601</v>
      </c>
      <c r="L226">
        <v>1.6780269552582701</v>
      </c>
      <c r="M226">
        <v>1.6967326945263199</v>
      </c>
      <c r="N226">
        <v>1.6964939948747</v>
      </c>
      <c r="Q226">
        <f t="shared" si="15"/>
        <v>1.85</v>
      </c>
      <c r="R226">
        <f t="shared" si="17"/>
        <v>1.6742267064941503</v>
      </c>
      <c r="S226">
        <f t="shared" si="18"/>
        <v>0.1757732935058498</v>
      </c>
      <c r="T226">
        <f t="shared" si="19"/>
        <v>3.089625070989362E-2</v>
      </c>
    </row>
    <row r="227" spans="1:20" hidden="1" x14ac:dyDescent="0.25">
      <c r="A227" t="str">
        <f t="shared" si="16"/>
        <v>BAR</v>
      </c>
      <c r="B227" t="s">
        <v>233</v>
      </c>
      <c r="C227">
        <v>1.8276661240000001</v>
      </c>
      <c r="D227">
        <v>6.1197847999999999E-2</v>
      </c>
      <c r="E227">
        <v>0.69427361700000001</v>
      </c>
      <c r="F227">
        <v>0.423195039</v>
      </c>
      <c r="G227">
        <v>0.77946177500000002</v>
      </c>
      <c r="H227">
        <v>1.39</v>
      </c>
      <c r="I227">
        <v>1.3835964070484701</v>
      </c>
      <c r="J227">
        <v>1.33638781713014</v>
      </c>
      <c r="K227">
        <v>1.36205419182215</v>
      </c>
      <c r="L227">
        <v>1.27672732328147</v>
      </c>
      <c r="M227">
        <v>1.3599921120892999</v>
      </c>
      <c r="N227">
        <v>1.35978725622967</v>
      </c>
      <c r="Q227">
        <f t="shared" si="15"/>
        <v>1.39</v>
      </c>
      <c r="R227">
        <f t="shared" si="17"/>
        <v>1.2632025354393606</v>
      </c>
      <c r="S227">
        <f t="shared" si="18"/>
        <v>0.12679746456063934</v>
      </c>
      <c r="T227">
        <f t="shared" si="19"/>
        <v>1.607759701900659E-2</v>
      </c>
    </row>
    <row r="228" spans="1:20" hidden="1" x14ac:dyDescent="0.25">
      <c r="A228" t="str">
        <f t="shared" si="16"/>
        <v>BAR</v>
      </c>
      <c r="B228" t="s">
        <v>234</v>
      </c>
      <c r="C228">
        <v>1.7601907189999999</v>
      </c>
      <c r="D228">
        <v>6.1877783999999998E-2</v>
      </c>
      <c r="E228">
        <v>0.66292087099999997</v>
      </c>
      <c r="F228">
        <v>0.39662314599999998</v>
      </c>
      <c r="G228">
        <v>0.74883009899999997</v>
      </c>
      <c r="H228">
        <v>1.23</v>
      </c>
      <c r="I228">
        <v>1.36756428082487</v>
      </c>
      <c r="J228">
        <v>1.2885329159730401</v>
      </c>
      <c r="K228">
        <v>1.3680258169797701</v>
      </c>
      <c r="L228">
        <v>1.22768184163663</v>
      </c>
      <c r="M228">
        <v>1.3280485983989501</v>
      </c>
      <c r="N228">
        <v>1.3274605796602199</v>
      </c>
      <c r="Q228">
        <f t="shared" si="15"/>
        <v>1.23</v>
      </c>
      <c r="R228">
        <f t="shared" si="17"/>
        <v>1.2123921150006924</v>
      </c>
      <c r="S228">
        <f t="shared" si="18"/>
        <v>1.7607884999307544E-2</v>
      </c>
      <c r="T228">
        <f t="shared" si="19"/>
        <v>3.1003761414883963E-4</v>
      </c>
    </row>
    <row r="229" spans="1:20" hidden="1" x14ac:dyDescent="0.25">
      <c r="A229" t="str">
        <f t="shared" si="16"/>
        <v>BAR</v>
      </c>
      <c r="B229" t="s">
        <v>235</v>
      </c>
      <c r="C229">
        <v>1.8833913309999999</v>
      </c>
      <c r="D229">
        <v>6.2737003E-2</v>
      </c>
      <c r="E229">
        <v>0.68560110100000005</v>
      </c>
      <c r="F229">
        <v>0.44903537500000001</v>
      </c>
      <c r="G229">
        <v>0.76654552099999995</v>
      </c>
      <c r="H229">
        <v>1.31</v>
      </c>
      <c r="I229">
        <v>1.4497597051776001</v>
      </c>
      <c r="J229">
        <v>1.40192999699452</v>
      </c>
      <c r="K229">
        <v>1.4341417656198101</v>
      </c>
      <c r="L229">
        <v>1.4403773846002399</v>
      </c>
      <c r="M229">
        <v>1.42584485108606</v>
      </c>
      <c r="N229">
        <v>1.4256442821133199</v>
      </c>
      <c r="Q229">
        <f t="shared" si="15"/>
        <v>1.31</v>
      </c>
      <c r="R229">
        <f t="shared" si="17"/>
        <v>1.3324170547774554</v>
      </c>
      <c r="S229">
        <f t="shared" si="18"/>
        <v>-2.241705477745537E-2</v>
      </c>
      <c r="T229">
        <f t="shared" si="19"/>
        <v>5.0252434489543466E-4</v>
      </c>
    </row>
    <row r="230" spans="1:20" hidden="1" x14ac:dyDescent="0.25">
      <c r="A230" t="str">
        <f t="shared" si="16"/>
        <v>BAR</v>
      </c>
      <c r="B230" t="s">
        <v>236</v>
      </c>
      <c r="C230">
        <v>1.7647793439999999</v>
      </c>
      <c r="D230">
        <v>6.3366938999999997E-2</v>
      </c>
      <c r="E230">
        <v>0.66581664500000004</v>
      </c>
      <c r="F230">
        <v>0.39099616500000001</v>
      </c>
      <c r="G230">
        <v>0.747981118</v>
      </c>
      <c r="H230">
        <v>1.1200000000000001</v>
      </c>
      <c r="I230">
        <v>1.3573780235555899</v>
      </c>
      <c r="J230">
        <v>1.3005051705100501</v>
      </c>
      <c r="K230">
        <v>1.37200647959692</v>
      </c>
      <c r="L230">
        <v>1.24638944481099</v>
      </c>
      <c r="M230">
        <v>1.32894159703282</v>
      </c>
      <c r="N230">
        <v>1.32863732371582</v>
      </c>
      <c r="Q230">
        <f t="shared" si="15"/>
        <v>1.1200000000000001</v>
      </c>
      <c r="R230">
        <f t="shared" si="17"/>
        <v>1.2200155682550831</v>
      </c>
      <c r="S230">
        <f t="shared" si="18"/>
        <v>-0.10001556825508295</v>
      </c>
      <c r="T230">
        <f t="shared" si="19"/>
        <v>1.0003113893387157E-2</v>
      </c>
    </row>
    <row r="231" spans="1:20" hidden="1" x14ac:dyDescent="0.25">
      <c r="A231" t="str">
        <f t="shared" si="16"/>
        <v>BAR</v>
      </c>
      <c r="B231" t="s">
        <v>237</v>
      </c>
      <c r="C231">
        <v>1.7819467499999999</v>
      </c>
      <c r="D231">
        <v>6.3200634000000006E-2</v>
      </c>
      <c r="E231">
        <v>0.66766298300000004</v>
      </c>
      <c r="F231">
        <v>0.42978719700000001</v>
      </c>
      <c r="G231">
        <v>0.75863451299999995</v>
      </c>
      <c r="H231">
        <v>1.3</v>
      </c>
      <c r="I231">
        <v>1.51004166533659</v>
      </c>
      <c r="J231">
        <v>1.4239695840031901</v>
      </c>
      <c r="K231">
        <v>1.5267096042166699</v>
      </c>
      <c r="L231">
        <v>1.47139157746716</v>
      </c>
      <c r="M231">
        <v>1.4670056246698899</v>
      </c>
      <c r="N231">
        <v>1.4663742366861301</v>
      </c>
      <c r="Q231">
        <f t="shared" si="15"/>
        <v>1.3</v>
      </c>
      <c r="R231">
        <f t="shared" si="17"/>
        <v>1.3636866128879932</v>
      </c>
      <c r="S231">
        <f t="shared" si="18"/>
        <v>-6.3686612887993155E-2</v>
      </c>
      <c r="T231">
        <f t="shared" si="19"/>
        <v>4.0559846611450956E-3</v>
      </c>
    </row>
    <row r="232" spans="1:20" hidden="1" x14ac:dyDescent="0.25">
      <c r="A232" t="str">
        <f t="shared" si="16"/>
        <v>BAR</v>
      </c>
      <c r="B232" t="s">
        <v>238</v>
      </c>
      <c r="C232">
        <v>1.8243395689999999</v>
      </c>
      <c r="D232">
        <v>6.3301504999999994E-2</v>
      </c>
      <c r="E232">
        <v>0.71125261500000003</v>
      </c>
      <c r="F232">
        <v>0.585516484</v>
      </c>
      <c r="G232">
        <v>0.80447084300000005</v>
      </c>
      <c r="H232">
        <v>1.28</v>
      </c>
      <c r="I232">
        <v>2.0464237342814999</v>
      </c>
      <c r="J232">
        <v>2.00342072618853</v>
      </c>
      <c r="K232">
        <v>1.97011400450427</v>
      </c>
      <c r="L232">
        <v>1.9064474275896499</v>
      </c>
      <c r="M232">
        <v>2.0249222302350098</v>
      </c>
      <c r="N232">
        <v>2.0248080708609599</v>
      </c>
      <c r="Q232">
        <f t="shared" si="15"/>
        <v>1.28</v>
      </c>
      <c r="R232">
        <f t="shared" si="17"/>
        <v>2.0312061854103431</v>
      </c>
      <c r="S232">
        <f t="shared" si="18"/>
        <v>-0.75120618541034312</v>
      </c>
      <c r="T232">
        <f t="shared" si="19"/>
        <v>0.56431073299875878</v>
      </c>
    </row>
    <row r="233" spans="1:20" hidden="1" x14ac:dyDescent="0.25">
      <c r="A233" t="str">
        <f t="shared" si="16"/>
        <v>BAR</v>
      </c>
      <c r="B233" t="s">
        <v>239</v>
      </c>
      <c r="C233">
        <v>1.7525045290000001</v>
      </c>
      <c r="D233">
        <v>6.9837016000000002E-2</v>
      </c>
      <c r="E233">
        <v>0.67261311700000004</v>
      </c>
      <c r="F233">
        <v>0.376448691</v>
      </c>
      <c r="G233">
        <v>0.74933108199999998</v>
      </c>
      <c r="H233">
        <v>1.39</v>
      </c>
      <c r="I233">
        <v>1.4082948549638099</v>
      </c>
      <c r="J233">
        <v>1.42417378966028</v>
      </c>
      <c r="K233">
        <v>1.2888462379549801</v>
      </c>
      <c r="L233">
        <v>1.1175069113107801</v>
      </c>
      <c r="M233">
        <v>1.4162343223120499</v>
      </c>
      <c r="N233">
        <v>1.41621206764838</v>
      </c>
      <c r="Q233">
        <f t="shared" si="15"/>
        <v>1.39</v>
      </c>
      <c r="R233">
        <f t="shared" si="17"/>
        <v>1.3366949357280009</v>
      </c>
      <c r="S233">
        <f t="shared" si="18"/>
        <v>5.3305064271998992E-2</v>
      </c>
      <c r="T233">
        <f t="shared" si="19"/>
        <v>2.8414298770419433E-3</v>
      </c>
    </row>
    <row r="234" spans="1:20" hidden="1" x14ac:dyDescent="0.25">
      <c r="A234" t="str">
        <f t="shared" si="16"/>
        <v>BAR</v>
      </c>
      <c r="B234" t="s">
        <v>240</v>
      </c>
      <c r="C234">
        <v>1.8378388430000001</v>
      </c>
      <c r="D234">
        <v>6.5487796000000001E-2</v>
      </c>
      <c r="E234">
        <v>0.69981628200000001</v>
      </c>
      <c r="F234">
        <v>0.46662975600000001</v>
      </c>
      <c r="G234">
        <v>0.79219866500000002</v>
      </c>
      <c r="H234">
        <v>1.36</v>
      </c>
      <c r="I234">
        <v>1.6260782118608801</v>
      </c>
      <c r="J234">
        <v>1.59339255683693</v>
      </c>
      <c r="K234">
        <v>1.56286855074909</v>
      </c>
      <c r="L234">
        <v>1.57038272166551</v>
      </c>
      <c r="M234">
        <v>1.6097353843489</v>
      </c>
      <c r="N234">
        <v>1.6096524219886199</v>
      </c>
      <c r="Q234">
        <f t="shared" si="15"/>
        <v>1.36</v>
      </c>
      <c r="R234">
        <f t="shared" si="17"/>
        <v>1.5448184234250473</v>
      </c>
      <c r="S234">
        <f t="shared" si="18"/>
        <v>-0.18481842342504717</v>
      </c>
      <c r="T234">
        <f t="shared" si="19"/>
        <v>3.4157849637320027E-2</v>
      </c>
    </row>
    <row r="235" spans="1:20" hidden="1" x14ac:dyDescent="0.25">
      <c r="A235" t="str">
        <f t="shared" si="16"/>
        <v>BAR</v>
      </c>
      <c r="B235" t="s">
        <v>241</v>
      </c>
      <c r="C235">
        <v>1.8051372370000001</v>
      </c>
      <c r="D235">
        <v>6.6587655999999995E-2</v>
      </c>
      <c r="E235">
        <v>0.66526473500000005</v>
      </c>
      <c r="F235">
        <v>0.42070553500000002</v>
      </c>
      <c r="G235">
        <v>0.75741044800000001</v>
      </c>
      <c r="H235">
        <v>1.1499999999999999</v>
      </c>
      <c r="I235">
        <v>1.5031289000879999</v>
      </c>
      <c r="J235">
        <v>1.44479891347909</v>
      </c>
      <c r="K235">
        <v>1.43126035438276</v>
      </c>
      <c r="L235">
        <v>1.3562818036367601</v>
      </c>
      <c r="M235">
        <v>1.4739639067835499</v>
      </c>
      <c r="N235">
        <v>1.4736753379446099</v>
      </c>
      <c r="Q235">
        <f t="shared" si="15"/>
        <v>1.1499999999999999</v>
      </c>
      <c r="R235">
        <f t="shared" si="17"/>
        <v>1.3736149915926417</v>
      </c>
      <c r="S235">
        <f t="shared" si="18"/>
        <v>-0.22361499159264175</v>
      </c>
      <c r="T235">
        <f t="shared" si="19"/>
        <v>5.000366446497724E-2</v>
      </c>
    </row>
    <row r="236" spans="1:20" hidden="1" x14ac:dyDescent="0.25">
      <c r="A236" t="str">
        <f t="shared" si="16"/>
        <v>BAR</v>
      </c>
      <c r="B236" t="s">
        <v>242</v>
      </c>
      <c r="C236">
        <v>1.760980537</v>
      </c>
      <c r="D236">
        <v>6.7834331999999997E-2</v>
      </c>
      <c r="E236">
        <v>0.64863086400000003</v>
      </c>
      <c r="F236">
        <v>0.37593584200000002</v>
      </c>
      <c r="G236">
        <v>0.73739045199999997</v>
      </c>
      <c r="H236">
        <v>1.1599999999999999</v>
      </c>
      <c r="I236">
        <v>1.3731131992830501</v>
      </c>
      <c r="J236">
        <v>1.3354828747210401</v>
      </c>
      <c r="K236">
        <v>1.2815389393529999</v>
      </c>
      <c r="L236">
        <v>1.0967783406754901</v>
      </c>
      <c r="M236">
        <v>1.3542980370020501</v>
      </c>
      <c r="N236">
        <v>1.35416733186705</v>
      </c>
      <c r="Q236">
        <f t="shared" si="15"/>
        <v>1.1599999999999999</v>
      </c>
      <c r="R236">
        <f t="shared" si="17"/>
        <v>1.2454166603288059</v>
      </c>
      <c r="S236">
        <f t="shared" si="18"/>
        <v>-8.5416660328806016E-2</v>
      </c>
      <c r="T236">
        <f t="shared" si="19"/>
        <v>7.2960058617266236E-3</v>
      </c>
    </row>
    <row r="237" spans="1:20" hidden="1" x14ac:dyDescent="0.25">
      <c r="A237" t="str">
        <f t="shared" si="16"/>
        <v>BAR</v>
      </c>
      <c r="B237" t="s">
        <v>243</v>
      </c>
      <c r="C237">
        <v>2.1239799019999999</v>
      </c>
      <c r="D237">
        <v>5.6286975000000003E-2</v>
      </c>
      <c r="E237">
        <v>0.72460259800000004</v>
      </c>
      <c r="F237">
        <v>0.52988052399999996</v>
      </c>
      <c r="G237">
        <v>0.813221635</v>
      </c>
      <c r="H237">
        <v>1.62</v>
      </c>
      <c r="I237">
        <v>1.35524486695991</v>
      </c>
      <c r="J237">
        <v>1.35149250914092</v>
      </c>
      <c r="K237">
        <v>1.3892744518784601</v>
      </c>
      <c r="L237">
        <v>1.5765806489327501</v>
      </c>
      <c r="M237">
        <v>1.3533686880504201</v>
      </c>
      <c r="N237">
        <v>1.35336738757368</v>
      </c>
      <c r="Q237">
        <f t="shared" si="15"/>
        <v>1.62</v>
      </c>
      <c r="R237">
        <f t="shared" si="17"/>
        <v>1.2808749546268086</v>
      </c>
      <c r="S237">
        <f t="shared" si="18"/>
        <v>0.33912504537319155</v>
      </c>
      <c r="T237">
        <f t="shared" si="19"/>
        <v>0.11500579639936923</v>
      </c>
    </row>
    <row r="238" spans="1:20" hidden="1" x14ac:dyDescent="0.25">
      <c r="A238" t="str">
        <f t="shared" si="16"/>
        <v>BAR</v>
      </c>
      <c r="B238" t="s">
        <v>244</v>
      </c>
      <c r="C238">
        <v>2.0403220129999999</v>
      </c>
      <c r="D238">
        <v>6.0298440000000002E-2</v>
      </c>
      <c r="E238">
        <v>0.72217407899999997</v>
      </c>
      <c r="F238">
        <v>0.556999456</v>
      </c>
      <c r="G238">
        <v>0.80180232699999998</v>
      </c>
      <c r="H238">
        <v>1.68</v>
      </c>
      <c r="I238">
        <v>1.62537732758515</v>
      </c>
      <c r="J238">
        <v>1.62356993333774</v>
      </c>
      <c r="K238">
        <v>1.63372100946461</v>
      </c>
      <c r="L238">
        <v>1.6966909890515001</v>
      </c>
      <c r="M238">
        <v>1.62447363046144</v>
      </c>
      <c r="N238">
        <v>1.62447337909739</v>
      </c>
      <c r="Q238">
        <f t="shared" si="15"/>
        <v>1.68</v>
      </c>
      <c r="R238">
        <f t="shared" si="17"/>
        <v>1.5879344705959748</v>
      </c>
      <c r="S238">
        <f t="shared" si="18"/>
        <v>9.2065529404025126E-2</v>
      </c>
      <c r="T238">
        <f t="shared" si="19"/>
        <v>8.4760617044434151E-3</v>
      </c>
    </row>
    <row r="239" spans="1:20" hidden="1" x14ac:dyDescent="0.25">
      <c r="A239" t="str">
        <f t="shared" si="16"/>
        <v>BAR</v>
      </c>
      <c r="B239" t="s">
        <v>245</v>
      </c>
      <c r="C239">
        <v>1.9773119830000001</v>
      </c>
      <c r="D239">
        <v>5.8236364999999998E-2</v>
      </c>
      <c r="E239">
        <v>0.71178972500000004</v>
      </c>
      <c r="F239">
        <v>0.52342493599999995</v>
      </c>
      <c r="G239">
        <v>0.79688325599999998</v>
      </c>
      <c r="H239">
        <v>1.28</v>
      </c>
      <c r="I239">
        <v>1.54408501981949</v>
      </c>
      <c r="J239">
        <v>1.5054753993646499</v>
      </c>
      <c r="K239">
        <v>1.65193250703775</v>
      </c>
      <c r="L239">
        <v>1.7861205732029799</v>
      </c>
      <c r="M239">
        <v>1.5247802095920699</v>
      </c>
      <c r="N239">
        <v>1.5246579983280599</v>
      </c>
      <c r="Q239">
        <f t="shared" si="15"/>
        <v>1.28</v>
      </c>
      <c r="R239">
        <f t="shared" si="17"/>
        <v>1.4621374936157174</v>
      </c>
      <c r="S239">
        <f t="shared" si="18"/>
        <v>-0.18213749361571741</v>
      </c>
      <c r="T239">
        <f t="shared" si="19"/>
        <v>3.3174066580615495E-2</v>
      </c>
    </row>
    <row r="240" spans="1:20" hidden="1" x14ac:dyDescent="0.25">
      <c r="A240" t="str">
        <f t="shared" si="16"/>
        <v>BAR</v>
      </c>
      <c r="B240" t="s">
        <v>246</v>
      </c>
      <c r="C240">
        <v>1.9061790679999999</v>
      </c>
      <c r="D240">
        <v>6.0101024000000003E-2</v>
      </c>
      <c r="E240">
        <v>0.71896438900000004</v>
      </c>
      <c r="F240">
        <v>0.55765407600000005</v>
      </c>
      <c r="G240">
        <v>0.80479165900000005</v>
      </c>
      <c r="H240">
        <v>1.4</v>
      </c>
      <c r="I240">
        <v>1.7817688569141701</v>
      </c>
      <c r="J240">
        <v>1.7522077990854401</v>
      </c>
      <c r="K240">
        <v>1.8947657835687901</v>
      </c>
      <c r="L240">
        <v>1.9630857157849</v>
      </c>
      <c r="M240">
        <v>1.76698832799981</v>
      </c>
      <c r="N240">
        <v>1.7669265087299399</v>
      </c>
      <c r="Q240">
        <f t="shared" si="15"/>
        <v>1.4</v>
      </c>
      <c r="R240">
        <f t="shared" si="17"/>
        <v>1.7455284971569482</v>
      </c>
      <c r="S240">
        <f t="shared" si="18"/>
        <v>-0.34552849715694833</v>
      </c>
      <c r="T240">
        <f t="shared" si="19"/>
        <v>0.11938994234753925</v>
      </c>
    </row>
    <row r="241" spans="1:20" hidden="1" x14ac:dyDescent="0.25">
      <c r="A241" t="str">
        <f t="shared" si="16"/>
        <v>BAR</v>
      </c>
      <c r="B241" t="s">
        <v>247</v>
      </c>
      <c r="C241">
        <v>1.9269114519999999</v>
      </c>
      <c r="D241">
        <v>6.1791078999999999E-2</v>
      </c>
      <c r="E241">
        <v>0.72610041199999997</v>
      </c>
      <c r="F241">
        <v>0.56888015199999997</v>
      </c>
      <c r="G241">
        <v>0.81624989199999998</v>
      </c>
      <c r="H241">
        <v>1.57</v>
      </c>
      <c r="I241">
        <v>1.8200782021764901</v>
      </c>
      <c r="J241">
        <v>1.81979422291992</v>
      </c>
      <c r="K241">
        <v>1.88568688544101</v>
      </c>
      <c r="L241">
        <v>1.95517479830506</v>
      </c>
      <c r="M241">
        <v>1.8199362125481999</v>
      </c>
      <c r="N241">
        <v>1.81993620700926</v>
      </c>
      <c r="Q241">
        <f t="shared" si="15"/>
        <v>1.57</v>
      </c>
      <c r="R241">
        <f t="shared" si="17"/>
        <v>1.8159333021051962</v>
      </c>
      <c r="S241">
        <f t="shared" si="18"/>
        <v>-0.24593330210519615</v>
      </c>
      <c r="T241">
        <f t="shared" si="19"/>
        <v>6.0483189084365674E-2</v>
      </c>
    </row>
    <row r="242" spans="1:20" hidden="1" x14ac:dyDescent="0.25">
      <c r="A242" t="str">
        <f t="shared" si="16"/>
        <v>BAR</v>
      </c>
      <c r="B242" t="s">
        <v>248</v>
      </c>
      <c r="C242">
        <v>1.9717444399999999</v>
      </c>
      <c r="D242">
        <v>6.5686009000000004E-2</v>
      </c>
      <c r="E242">
        <v>0.69142597900000002</v>
      </c>
      <c r="F242">
        <v>0.40494538299999999</v>
      </c>
      <c r="G242">
        <v>0.75110851300000003</v>
      </c>
      <c r="H242">
        <v>1.42</v>
      </c>
      <c r="I242">
        <v>1.17321772420992</v>
      </c>
      <c r="J242">
        <v>1.22828369568872</v>
      </c>
      <c r="K242">
        <v>1.1538765050333</v>
      </c>
      <c r="L242">
        <v>1.20254914093528</v>
      </c>
      <c r="M242">
        <v>1.20075070994932</v>
      </c>
      <c r="N242">
        <v>1.20043500537933</v>
      </c>
      <c r="Q242">
        <f t="shared" si="15"/>
        <v>1.42</v>
      </c>
      <c r="R242">
        <f t="shared" si="17"/>
        <v>1.1128939256673447</v>
      </c>
      <c r="S242">
        <f t="shared" si="18"/>
        <v>0.30710607433265524</v>
      </c>
      <c r="T242">
        <f t="shared" si="19"/>
        <v>9.431414089201437E-2</v>
      </c>
    </row>
    <row r="243" spans="1:20" hidden="1" x14ac:dyDescent="0.25">
      <c r="A243" t="str">
        <f t="shared" si="16"/>
        <v>BAR</v>
      </c>
      <c r="B243" t="s">
        <v>249</v>
      </c>
      <c r="C243">
        <v>1.9420413590000001</v>
      </c>
      <c r="D243">
        <v>6.3442402999999994E-2</v>
      </c>
      <c r="E243">
        <v>0.67979451199999996</v>
      </c>
      <c r="F243">
        <v>0.408013193</v>
      </c>
      <c r="G243">
        <v>0.73507411899999997</v>
      </c>
      <c r="H243">
        <v>1.1599999999999999</v>
      </c>
      <c r="I243">
        <v>1.1932821450368201</v>
      </c>
      <c r="J243">
        <v>1.20277754064811</v>
      </c>
      <c r="K243">
        <v>1.2972231567872201</v>
      </c>
      <c r="L243">
        <v>1.43352607424054</v>
      </c>
      <c r="M243">
        <v>1.1980298428424601</v>
      </c>
      <c r="N243">
        <v>1.1980204354295001</v>
      </c>
      <c r="Q243">
        <f t="shared" si="15"/>
        <v>1.1599999999999999</v>
      </c>
      <c r="R243">
        <f t="shared" si="17"/>
        <v>1.0953311297996908</v>
      </c>
      <c r="S243">
        <f t="shared" si="18"/>
        <v>6.4668870200309092E-2</v>
      </c>
      <c r="T243">
        <f t="shared" si="19"/>
        <v>4.182062772984425E-3</v>
      </c>
    </row>
    <row r="244" spans="1:20" hidden="1" x14ac:dyDescent="0.25">
      <c r="A244" t="str">
        <f t="shared" si="16"/>
        <v>BAR</v>
      </c>
      <c r="B244" t="s">
        <v>250</v>
      </c>
      <c r="C244">
        <v>2.1370533229999999</v>
      </c>
      <c r="D244">
        <v>6.4182682000000005E-2</v>
      </c>
      <c r="E244">
        <v>0.69715421</v>
      </c>
      <c r="F244">
        <v>0.43097025500000002</v>
      </c>
      <c r="G244">
        <v>0.75999309100000001</v>
      </c>
      <c r="H244">
        <v>1.33</v>
      </c>
      <c r="I244">
        <v>1.06087101582069</v>
      </c>
      <c r="J244">
        <v>1.1287011033395999</v>
      </c>
      <c r="K244">
        <v>1.00860079378825</v>
      </c>
      <c r="L244">
        <v>1.2169443978307399</v>
      </c>
      <c r="M244">
        <v>1.09478605958015</v>
      </c>
      <c r="N244">
        <v>1.09426061158109</v>
      </c>
      <c r="Q244">
        <f t="shared" si="15"/>
        <v>1.33</v>
      </c>
      <c r="R244">
        <f t="shared" si="17"/>
        <v>0.99425078765897323</v>
      </c>
      <c r="S244">
        <f t="shared" si="18"/>
        <v>0.33574921234102684</v>
      </c>
      <c r="T244">
        <f t="shared" si="19"/>
        <v>0.11272753358761993</v>
      </c>
    </row>
    <row r="245" spans="1:20" hidden="1" x14ac:dyDescent="0.25">
      <c r="A245" t="str">
        <f t="shared" si="16"/>
        <v>BAR</v>
      </c>
      <c r="B245" t="s">
        <v>251</v>
      </c>
      <c r="C245">
        <v>2.001742396</v>
      </c>
      <c r="D245">
        <v>6.3171759999999993E-2</v>
      </c>
      <c r="E245">
        <v>0.70445775300000002</v>
      </c>
      <c r="F245">
        <v>0.46154701100000001</v>
      </c>
      <c r="G245">
        <v>0.77964473400000001</v>
      </c>
      <c r="H245">
        <v>1.43</v>
      </c>
      <c r="I245">
        <v>1.3532158516825299</v>
      </c>
      <c r="J245">
        <v>1.3602248287502801</v>
      </c>
      <c r="K245">
        <v>1.38732937098926</v>
      </c>
      <c r="L245">
        <v>1.5553396011855201</v>
      </c>
      <c r="M245">
        <v>1.3567203402164101</v>
      </c>
      <c r="N245">
        <v>1.3567158140587301</v>
      </c>
      <c r="Q245">
        <f t="shared" si="15"/>
        <v>1.43</v>
      </c>
      <c r="R245">
        <f t="shared" si="17"/>
        <v>1.2737570351406013</v>
      </c>
      <c r="S245">
        <f t="shared" si="18"/>
        <v>0.15624296485939859</v>
      </c>
      <c r="T245">
        <f t="shared" si="19"/>
        <v>2.4411864068055265E-2</v>
      </c>
    </row>
    <row r="246" spans="1:20" hidden="1" x14ac:dyDescent="0.25">
      <c r="A246" t="str">
        <f t="shared" si="16"/>
        <v>BAR</v>
      </c>
      <c r="B246" t="s">
        <v>252</v>
      </c>
      <c r="C246">
        <v>1.953650141</v>
      </c>
      <c r="D246">
        <v>6.3917941000000006E-2</v>
      </c>
      <c r="E246">
        <v>0.70488180700000003</v>
      </c>
      <c r="F246">
        <v>0.503574301</v>
      </c>
      <c r="G246">
        <v>0.78056884299999996</v>
      </c>
      <c r="H246">
        <v>1.25</v>
      </c>
      <c r="I246">
        <v>1.5989820027705199</v>
      </c>
      <c r="J246">
        <v>1.58094203492597</v>
      </c>
      <c r="K246">
        <v>1.6754967569737</v>
      </c>
      <c r="L246">
        <v>1.8504051463216</v>
      </c>
      <c r="M246">
        <v>1.5899620188482499</v>
      </c>
      <c r="N246">
        <v>1.58993643309097</v>
      </c>
      <c r="Q246">
        <f t="shared" si="15"/>
        <v>1.25</v>
      </c>
      <c r="R246">
        <f t="shared" si="17"/>
        <v>1.5305518463516665</v>
      </c>
      <c r="S246">
        <f t="shared" si="18"/>
        <v>-0.28055184635166652</v>
      </c>
      <c r="T246">
        <f t="shared" si="19"/>
        <v>7.8709338491329106E-2</v>
      </c>
    </row>
    <row r="247" spans="1:20" hidden="1" x14ac:dyDescent="0.25">
      <c r="A247" t="str">
        <f t="shared" si="16"/>
        <v>BAR</v>
      </c>
      <c r="B247" t="s">
        <v>253</v>
      </c>
      <c r="C247">
        <v>1.941782594</v>
      </c>
      <c r="D247">
        <v>6.3751216999999999E-2</v>
      </c>
      <c r="E247">
        <v>0.68568382100000003</v>
      </c>
      <c r="F247">
        <v>0.37666946499999998</v>
      </c>
      <c r="G247">
        <v>0.75527435099999995</v>
      </c>
      <c r="H247">
        <v>1.06</v>
      </c>
      <c r="I247">
        <v>1.06540717283451</v>
      </c>
      <c r="J247">
        <v>1.1016394218874701</v>
      </c>
      <c r="K247">
        <v>1.06561693604956</v>
      </c>
      <c r="L247">
        <v>1.05529190482833</v>
      </c>
      <c r="M247">
        <v>1.0835232973609901</v>
      </c>
      <c r="N247">
        <v>1.0833718391928799</v>
      </c>
      <c r="Q247">
        <f t="shared" si="15"/>
        <v>1.06</v>
      </c>
      <c r="R247">
        <f t="shared" si="17"/>
        <v>0.97521568468302267</v>
      </c>
      <c r="S247">
        <f t="shared" si="18"/>
        <v>8.4784315316977388E-2</v>
      </c>
      <c r="T247">
        <f t="shared" si="19"/>
        <v>7.1883801237686467E-3</v>
      </c>
    </row>
    <row r="248" spans="1:20" hidden="1" x14ac:dyDescent="0.25">
      <c r="A248" t="str">
        <f t="shared" si="16"/>
        <v>BAR</v>
      </c>
      <c r="B248" t="s">
        <v>254</v>
      </c>
      <c r="C248">
        <v>1.897739708</v>
      </c>
      <c r="D248">
        <v>6.7272697000000006E-2</v>
      </c>
      <c r="E248">
        <v>0.67836181600000001</v>
      </c>
      <c r="F248">
        <v>0.37054339400000003</v>
      </c>
      <c r="G248">
        <v>0.72326036400000004</v>
      </c>
      <c r="H248">
        <v>1.05</v>
      </c>
      <c r="I248">
        <v>1.11017710315147</v>
      </c>
      <c r="J248">
        <v>1.1998005438005199</v>
      </c>
      <c r="K248">
        <v>1.1268308795716899</v>
      </c>
      <c r="L248">
        <v>1.0864484202303</v>
      </c>
      <c r="M248">
        <v>1.15498882347599</v>
      </c>
      <c r="N248">
        <v>1.15411918451953</v>
      </c>
      <c r="Q248">
        <f t="shared" si="15"/>
        <v>1.05</v>
      </c>
      <c r="R248">
        <f t="shared" si="17"/>
        <v>1.0784254250553653</v>
      </c>
      <c r="S248">
        <f t="shared" si="18"/>
        <v>-2.8425425055365272E-2</v>
      </c>
      <c r="T248">
        <f t="shared" si="19"/>
        <v>8.0800478957818774E-4</v>
      </c>
    </row>
    <row r="249" spans="1:20" hidden="1" x14ac:dyDescent="0.25">
      <c r="A249" t="str">
        <f t="shared" si="16"/>
        <v>BAR</v>
      </c>
      <c r="B249" t="s">
        <v>255</v>
      </c>
      <c r="C249">
        <v>1.777692754</v>
      </c>
      <c r="D249">
        <v>7.0458622999999998E-2</v>
      </c>
      <c r="E249">
        <v>0.65800708100000005</v>
      </c>
      <c r="F249">
        <v>0.353537869</v>
      </c>
      <c r="G249">
        <v>0.71117083400000003</v>
      </c>
      <c r="H249">
        <v>0.87</v>
      </c>
      <c r="I249">
        <v>1.2355739188864201</v>
      </c>
      <c r="J249">
        <v>1.3130195929377999</v>
      </c>
      <c r="K249">
        <v>1.2726059801865299</v>
      </c>
      <c r="L249">
        <v>1.1447098987169899</v>
      </c>
      <c r="M249">
        <v>1.2742967559121099</v>
      </c>
      <c r="N249">
        <v>1.27370827272999</v>
      </c>
      <c r="Q249">
        <f t="shared" si="15"/>
        <v>0.87</v>
      </c>
      <c r="R249">
        <f t="shared" si="17"/>
        <v>1.2053310926119734</v>
      </c>
      <c r="S249">
        <f t="shared" si="18"/>
        <v>-0.33533109261197336</v>
      </c>
      <c r="T249">
        <f t="shared" si="19"/>
        <v>0.11244694167233986</v>
      </c>
    </row>
    <row r="250" spans="1:20" hidden="1" x14ac:dyDescent="0.25">
      <c r="A250" t="str">
        <f t="shared" si="16"/>
        <v>BAR</v>
      </c>
      <c r="B250" t="s">
        <v>256</v>
      </c>
      <c r="C250">
        <v>1.898500028</v>
      </c>
      <c r="D250">
        <v>6.6476912999999999E-2</v>
      </c>
      <c r="E250">
        <v>0.67894631299999997</v>
      </c>
      <c r="F250">
        <v>0.38147477000000002</v>
      </c>
      <c r="G250">
        <v>0.73054557099999995</v>
      </c>
      <c r="H250">
        <v>1.1000000000000001</v>
      </c>
      <c r="I250">
        <v>1.16041789247551</v>
      </c>
      <c r="J250">
        <v>1.2203634328442501</v>
      </c>
      <c r="K250">
        <v>1.2071846667549599</v>
      </c>
      <c r="L250">
        <v>1.20651509976565</v>
      </c>
      <c r="M250">
        <v>1.1903906626598799</v>
      </c>
      <c r="N250">
        <v>1.19001326160481</v>
      </c>
      <c r="Q250">
        <f t="shared" si="15"/>
        <v>1.1000000000000001</v>
      </c>
      <c r="R250">
        <f t="shared" si="17"/>
        <v>1.1056730956249972</v>
      </c>
      <c r="S250">
        <f t="shared" si="18"/>
        <v>-5.673095624997071E-3</v>
      </c>
      <c r="T250">
        <f t="shared" si="19"/>
        <v>3.2184013970360908E-5</v>
      </c>
    </row>
    <row r="251" spans="1:20" hidden="1" x14ac:dyDescent="0.25">
      <c r="A251" t="str">
        <f t="shared" si="16"/>
        <v>BAR</v>
      </c>
      <c r="B251" t="s">
        <v>257</v>
      </c>
      <c r="C251">
        <v>1.952024287</v>
      </c>
      <c r="D251">
        <v>6.6772439000000003E-2</v>
      </c>
      <c r="E251">
        <v>0.67528196900000004</v>
      </c>
      <c r="F251">
        <v>0.40012767500000002</v>
      </c>
      <c r="G251">
        <v>0.73692076200000001</v>
      </c>
      <c r="H251">
        <v>1</v>
      </c>
      <c r="I251">
        <v>1.1966851395095499</v>
      </c>
      <c r="J251">
        <v>1.2383420784596</v>
      </c>
      <c r="K251">
        <v>1.2315856137814001</v>
      </c>
      <c r="L251">
        <v>1.3363412502448699</v>
      </c>
      <c r="M251">
        <v>1.21751360898457</v>
      </c>
      <c r="N251">
        <v>1.21733543566347</v>
      </c>
      <c r="Q251">
        <f t="shared" si="15"/>
        <v>1</v>
      </c>
      <c r="R251">
        <f t="shared" si="17"/>
        <v>1.1234758292741027</v>
      </c>
      <c r="S251">
        <f t="shared" si="18"/>
        <v>-0.12347582927410272</v>
      </c>
      <c r="T251">
        <f t="shared" si="19"/>
        <v>1.5246280414927363E-2</v>
      </c>
    </row>
    <row r="252" spans="1:20" hidden="1" x14ac:dyDescent="0.25">
      <c r="A252" t="str">
        <f t="shared" si="16"/>
        <v>BAR</v>
      </c>
      <c r="B252" t="s">
        <v>258</v>
      </c>
      <c r="C252">
        <v>2.0327549770000002</v>
      </c>
      <c r="D252">
        <v>5.6896316000000002E-2</v>
      </c>
      <c r="E252">
        <v>0.71347821700000003</v>
      </c>
      <c r="F252">
        <v>0.565728538</v>
      </c>
      <c r="G252">
        <v>0.81362294700000004</v>
      </c>
      <c r="H252">
        <v>1.52</v>
      </c>
      <c r="I252">
        <v>1.6087453061349799</v>
      </c>
      <c r="J252">
        <v>1.5770818445341199</v>
      </c>
      <c r="K252">
        <v>1.68568526209394</v>
      </c>
      <c r="L252">
        <v>1.7972315075388701</v>
      </c>
      <c r="M252">
        <v>1.59291357533455</v>
      </c>
      <c r="N252">
        <v>1.59283489878423</v>
      </c>
      <c r="Q252">
        <f t="shared" si="15"/>
        <v>1.52</v>
      </c>
      <c r="R252">
        <f t="shared" si="17"/>
        <v>1.5477141219052801</v>
      </c>
      <c r="S252">
        <f t="shared" si="18"/>
        <v>-2.7714121905280109E-2</v>
      </c>
      <c r="T252">
        <f t="shared" si="19"/>
        <v>7.6807255298072682E-4</v>
      </c>
    </row>
    <row r="253" spans="1:20" hidden="1" x14ac:dyDescent="0.25">
      <c r="A253" t="str">
        <f t="shared" si="16"/>
        <v>BAR</v>
      </c>
      <c r="B253" t="s">
        <v>259</v>
      </c>
      <c r="C253">
        <v>1.9181677100000001</v>
      </c>
      <c r="D253">
        <v>5.8140151000000001E-2</v>
      </c>
      <c r="E253">
        <v>0.70698545899999998</v>
      </c>
      <c r="F253">
        <v>0.50745863199999997</v>
      </c>
      <c r="G253">
        <v>0.79583473800000004</v>
      </c>
      <c r="H253">
        <v>1.53</v>
      </c>
      <c r="I253">
        <v>1.5535916963001699</v>
      </c>
      <c r="J253">
        <v>1.4989988944102099</v>
      </c>
      <c r="K253">
        <v>1.7061296434629301</v>
      </c>
      <c r="L253">
        <v>1.87823707751965</v>
      </c>
      <c r="M253">
        <v>1.52629529535519</v>
      </c>
      <c r="N253">
        <v>1.5260511902026199</v>
      </c>
      <c r="Q253">
        <f t="shared" si="15"/>
        <v>1.53</v>
      </c>
      <c r="R253">
        <f t="shared" si="17"/>
        <v>1.4583373145116396</v>
      </c>
      <c r="S253">
        <f t="shared" si="18"/>
        <v>7.1662685488360411E-2</v>
      </c>
      <c r="T253">
        <f t="shared" si="19"/>
        <v>5.1355404914036618E-3</v>
      </c>
    </row>
    <row r="254" spans="1:20" hidden="1" x14ac:dyDescent="0.25">
      <c r="A254" t="str">
        <f t="shared" si="16"/>
        <v>BAR</v>
      </c>
      <c r="B254" t="s">
        <v>260</v>
      </c>
      <c r="C254">
        <v>2.043530273</v>
      </c>
      <c r="D254">
        <v>5.7056377999999998E-2</v>
      </c>
      <c r="E254">
        <v>0.69569902100000003</v>
      </c>
      <c r="F254">
        <v>0.50115743999999995</v>
      </c>
      <c r="G254">
        <v>0.78077462900000005</v>
      </c>
      <c r="H254">
        <v>1.24</v>
      </c>
      <c r="I254">
        <v>1.37463207217735</v>
      </c>
      <c r="J254">
        <v>1.3152329122908399</v>
      </c>
      <c r="K254">
        <v>1.4987773913662501</v>
      </c>
      <c r="L254">
        <v>1.74838602187895</v>
      </c>
      <c r="M254">
        <v>1.3449324922340999</v>
      </c>
      <c r="N254">
        <v>1.3446045305658501</v>
      </c>
      <c r="Q254">
        <f t="shared" si="15"/>
        <v>1.24</v>
      </c>
      <c r="R254">
        <f t="shared" si="17"/>
        <v>1.2433840570686492</v>
      </c>
      <c r="S254">
        <f t="shared" si="18"/>
        <v>-3.3840570686491933E-3</v>
      </c>
      <c r="T254">
        <f t="shared" si="19"/>
        <v>1.1451842243874571E-5</v>
      </c>
    </row>
    <row r="255" spans="1:20" hidden="1" x14ac:dyDescent="0.25">
      <c r="A255" t="str">
        <f t="shared" si="16"/>
        <v>BAR</v>
      </c>
      <c r="B255" t="s">
        <v>261</v>
      </c>
      <c r="C255">
        <v>1.8149566049999999</v>
      </c>
      <c r="D255">
        <v>5.4122839999999998E-2</v>
      </c>
      <c r="E255">
        <v>0.71254341099999996</v>
      </c>
      <c r="F255">
        <v>0.55570414300000004</v>
      </c>
      <c r="G255">
        <v>0.80613603599999994</v>
      </c>
      <c r="H255">
        <v>1.56</v>
      </c>
      <c r="I255">
        <v>1.7748835858566501</v>
      </c>
      <c r="J255">
        <v>1.69640917676863</v>
      </c>
      <c r="K255">
        <v>2.0019598875268301</v>
      </c>
      <c r="L255">
        <v>2.0455021329385099</v>
      </c>
      <c r="M255">
        <v>1.7356463813126399</v>
      </c>
      <c r="N255">
        <v>1.73520281314411</v>
      </c>
      <c r="Q255">
        <f t="shared" si="15"/>
        <v>1.56</v>
      </c>
      <c r="R255">
        <f t="shared" si="17"/>
        <v>1.706913832057193</v>
      </c>
      <c r="S255">
        <f t="shared" si="18"/>
        <v>-0.14691383205719299</v>
      </c>
      <c r="T255">
        <f t="shared" si="19"/>
        <v>2.1583674049729107E-2</v>
      </c>
    </row>
    <row r="256" spans="1:20" hidden="1" x14ac:dyDescent="0.25">
      <c r="A256" t="str">
        <f t="shared" si="16"/>
        <v>BAR</v>
      </c>
      <c r="B256" t="s">
        <v>262</v>
      </c>
      <c r="C256">
        <v>1.800688174</v>
      </c>
      <c r="D256">
        <v>5.8666033999999999E-2</v>
      </c>
      <c r="E256">
        <v>0.69895825</v>
      </c>
      <c r="F256">
        <v>0.49220823200000002</v>
      </c>
      <c r="G256">
        <v>0.78557869300000005</v>
      </c>
      <c r="H256">
        <v>1.57</v>
      </c>
      <c r="I256">
        <v>1.6484542225213299</v>
      </c>
      <c r="J256">
        <v>1.5641766364327301</v>
      </c>
      <c r="K256">
        <v>1.84372679459443</v>
      </c>
      <c r="L256">
        <v>1.9617027833384399</v>
      </c>
      <c r="M256">
        <v>1.6063154294770301</v>
      </c>
      <c r="N256">
        <v>1.6057626166705801</v>
      </c>
      <c r="Q256">
        <f t="shared" si="15"/>
        <v>1.57</v>
      </c>
      <c r="R256">
        <f t="shared" si="17"/>
        <v>1.5390712705476814</v>
      </c>
      <c r="S256">
        <f t="shared" si="18"/>
        <v>3.0928729452318615E-2</v>
      </c>
      <c r="T256">
        <f t="shared" si="19"/>
        <v>9.5658630553472094E-4</v>
      </c>
    </row>
    <row r="257" spans="1:20" hidden="1" x14ac:dyDescent="0.25">
      <c r="A257" t="str">
        <f t="shared" si="16"/>
        <v>BAR</v>
      </c>
      <c r="B257" t="s">
        <v>263</v>
      </c>
      <c r="C257">
        <v>1.9729460000000001</v>
      </c>
      <c r="D257">
        <v>5.5333377000000003E-2</v>
      </c>
      <c r="E257">
        <v>0.72068867299999995</v>
      </c>
      <c r="F257">
        <v>0.55016808399999995</v>
      </c>
      <c r="G257">
        <v>0.81280005799999999</v>
      </c>
      <c r="H257">
        <v>1.69</v>
      </c>
      <c r="I257">
        <v>1.58785111331911</v>
      </c>
      <c r="J257">
        <v>1.5521561668797199</v>
      </c>
      <c r="K257">
        <v>1.70864554828423</v>
      </c>
      <c r="L257">
        <v>1.7569781756030001</v>
      </c>
      <c r="M257">
        <v>1.57000364009941</v>
      </c>
      <c r="N257">
        <v>1.56990219364936</v>
      </c>
      <c r="Q257">
        <f t="shared" ref="Q257:Q320" si="20">H257</f>
        <v>1.69</v>
      </c>
      <c r="R257">
        <f t="shared" si="17"/>
        <v>1.5259811110819776</v>
      </c>
      <c r="S257">
        <f t="shared" si="18"/>
        <v>0.1640188889180223</v>
      </c>
      <c r="T257">
        <f t="shared" si="19"/>
        <v>2.6902195921902537E-2</v>
      </c>
    </row>
    <row r="258" spans="1:20" hidden="1" x14ac:dyDescent="0.25">
      <c r="A258" t="str">
        <f t="shared" si="16"/>
        <v>BAR</v>
      </c>
      <c r="B258" t="s">
        <v>264</v>
      </c>
      <c r="C258">
        <v>1.9983833559999999</v>
      </c>
      <c r="D258">
        <v>5.5171623000000003E-2</v>
      </c>
      <c r="E258">
        <v>0.70887303000000002</v>
      </c>
      <c r="F258">
        <v>0.48880871599999998</v>
      </c>
      <c r="G258">
        <v>0.79887073600000003</v>
      </c>
      <c r="H258">
        <v>1.63</v>
      </c>
      <c r="I258">
        <v>1.33951176337079</v>
      </c>
      <c r="J258">
        <v>1.2865741169366101</v>
      </c>
      <c r="K258">
        <v>1.50289927455475</v>
      </c>
      <c r="L258">
        <v>1.70518356488695</v>
      </c>
      <c r="M258">
        <v>1.3130429401537</v>
      </c>
      <c r="N258">
        <v>1.31277612870016</v>
      </c>
      <c r="Q258">
        <f t="shared" si="20"/>
        <v>1.63</v>
      </c>
      <c r="R258">
        <f t="shared" si="17"/>
        <v>1.2169030436780659</v>
      </c>
      <c r="S258">
        <f t="shared" si="18"/>
        <v>0.41309695632193399</v>
      </c>
      <c r="T258">
        <f t="shared" si="19"/>
        <v>0.17064909532244585</v>
      </c>
    </row>
    <row r="259" spans="1:20" hidden="1" x14ac:dyDescent="0.25">
      <c r="A259" t="str">
        <f t="shared" ref="A259:A322" si="21">LEFT(B259,3)</f>
        <v>BAR</v>
      </c>
      <c r="B259" t="s">
        <v>265</v>
      </c>
      <c r="C259">
        <v>1.9856620679999999</v>
      </c>
      <c r="D259">
        <v>5.5362812999999997E-2</v>
      </c>
      <c r="E259">
        <v>0.71349292399999997</v>
      </c>
      <c r="F259">
        <v>0.53832960699999999</v>
      </c>
      <c r="G259">
        <v>0.80469799200000003</v>
      </c>
      <c r="H259">
        <v>1.36</v>
      </c>
      <c r="I259">
        <v>1.53840038368748</v>
      </c>
      <c r="J259">
        <v>1.4897407622674499</v>
      </c>
      <c r="K259">
        <v>1.67389374379293</v>
      </c>
      <c r="L259">
        <v>1.7989613616357101</v>
      </c>
      <c r="M259">
        <v>1.5140705729774699</v>
      </c>
      <c r="N259">
        <v>1.5138750807999699</v>
      </c>
      <c r="Q259">
        <f t="shared" si="20"/>
        <v>1.36</v>
      </c>
      <c r="R259">
        <f t="shared" ref="R259:R322" si="22">$X$2*F259+$X$3*D259*E259+($X$4/(D259-$X$5))-$X$6*C259</f>
        <v>1.4533614207192267</v>
      </c>
      <c r="S259">
        <f t="shared" ref="S259:S322" si="23">Q259-R259</f>
        <v>-9.3361420719226595E-2</v>
      </c>
      <c r="T259">
        <f t="shared" ref="T259:T322" si="24">S259^2</f>
        <v>8.7163548787124335E-3</v>
      </c>
    </row>
    <row r="260" spans="1:20" hidden="1" x14ac:dyDescent="0.25">
      <c r="A260" t="str">
        <f t="shared" si="21"/>
        <v>BAR</v>
      </c>
      <c r="B260" t="s">
        <v>266</v>
      </c>
      <c r="C260">
        <v>1.9216207620000001</v>
      </c>
      <c r="D260">
        <v>5.5778517999999999E-2</v>
      </c>
      <c r="E260">
        <v>0.70622411299999999</v>
      </c>
      <c r="F260">
        <v>0.49467724699999999</v>
      </c>
      <c r="G260">
        <v>0.79181620200000002</v>
      </c>
      <c r="H260">
        <v>1.29</v>
      </c>
      <c r="I260">
        <v>1.4625942785984001</v>
      </c>
      <c r="J260">
        <v>1.3955882507133199</v>
      </c>
      <c r="K260">
        <v>1.67433413183309</v>
      </c>
      <c r="L260">
        <v>1.9007264301959299</v>
      </c>
      <c r="M260">
        <v>1.42909126465586</v>
      </c>
      <c r="N260">
        <v>1.42869849540498</v>
      </c>
      <c r="Q260">
        <f t="shared" si="20"/>
        <v>1.29</v>
      </c>
      <c r="R260">
        <f t="shared" si="22"/>
        <v>1.3459591023418556</v>
      </c>
      <c r="S260">
        <f t="shared" si="23"/>
        <v>-5.5959102341855527E-2</v>
      </c>
      <c r="T260">
        <f t="shared" si="24"/>
        <v>3.1314211349062608E-3</v>
      </c>
    </row>
    <row r="261" spans="1:20" hidden="1" x14ac:dyDescent="0.25">
      <c r="A261" t="str">
        <f t="shared" si="21"/>
        <v>BAR</v>
      </c>
      <c r="B261" t="s">
        <v>267</v>
      </c>
      <c r="C261">
        <v>1.904270482</v>
      </c>
      <c r="D261">
        <v>5.8372485000000002E-2</v>
      </c>
      <c r="E261">
        <v>0.69071872700000003</v>
      </c>
      <c r="F261">
        <v>0.46148292499999999</v>
      </c>
      <c r="G261">
        <v>0.77456206500000002</v>
      </c>
      <c r="H261">
        <v>1.36</v>
      </c>
      <c r="I261">
        <v>1.40362949075888</v>
      </c>
      <c r="J261">
        <v>1.33288969049448</v>
      </c>
      <c r="K261">
        <v>1.5508586211941999</v>
      </c>
      <c r="L261">
        <v>1.70486835227874</v>
      </c>
      <c r="M261">
        <v>1.3682595906266799</v>
      </c>
      <c r="N261">
        <v>1.36780235323183</v>
      </c>
      <c r="Q261">
        <f t="shared" si="20"/>
        <v>1.36</v>
      </c>
      <c r="R261">
        <f t="shared" si="22"/>
        <v>1.2664749672912241</v>
      </c>
      <c r="S261">
        <f t="shared" si="23"/>
        <v>9.352503270877599E-2</v>
      </c>
      <c r="T261">
        <f t="shared" si="24"/>
        <v>8.7469317431776196E-3</v>
      </c>
    </row>
    <row r="262" spans="1:20" hidden="1" x14ac:dyDescent="0.25">
      <c r="A262" t="str">
        <f t="shared" si="21"/>
        <v>BAR</v>
      </c>
      <c r="B262" t="s">
        <v>268</v>
      </c>
      <c r="C262">
        <v>1.9545736220000001</v>
      </c>
      <c r="D262">
        <v>5.6333917999999997E-2</v>
      </c>
      <c r="E262">
        <v>0.71559516199999995</v>
      </c>
      <c r="F262">
        <v>0.55983534199999996</v>
      </c>
      <c r="G262">
        <v>0.81255190700000002</v>
      </c>
      <c r="H262">
        <v>1.41</v>
      </c>
      <c r="I262">
        <v>1.66422370134234</v>
      </c>
      <c r="J262">
        <v>1.6232087930521599</v>
      </c>
      <c r="K262">
        <v>1.8075608717817799</v>
      </c>
      <c r="L262">
        <v>1.8824515475855901</v>
      </c>
      <c r="M262">
        <v>1.64371624719725</v>
      </c>
      <c r="N262">
        <v>1.6435883139109699</v>
      </c>
      <c r="Q262">
        <f t="shared" si="20"/>
        <v>1.41</v>
      </c>
      <c r="R262">
        <f t="shared" si="22"/>
        <v>1.6069157478188609</v>
      </c>
      <c r="S262">
        <f t="shared" si="23"/>
        <v>-0.19691574781886101</v>
      </c>
      <c r="T262">
        <f t="shared" si="24"/>
        <v>3.8775811739061264E-2</v>
      </c>
    </row>
    <row r="263" spans="1:20" hidden="1" x14ac:dyDescent="0.25">
      <c r="A263" t="str">
        <f t="shared" si="21"/>
        <v>BAR</v>
      </c>
      <c r="B263" t="s">
        <v>269</v>
      </c>
      <c r="C263">
        <v>1.9262736199999999</v>
      </c>
      <c r="D263">
        <v>5.7779780000000003E-2</v>
      </c>
      <c r="E263">
        <v>0.70884323199999999</v>
      </c>
      <c r="F263">
        <v>0.52395272000000004</v>
      </c>
      <c r="G263">
        <v>0.80586967399999998</v>
      </c>
      <c r="H263">
        <v>1.57</v>
      </c>
      <c r="I263">
        <v>1.59777609111673</v>
      </c>
      <c r="J263">
        <v>1.54525546650005</v>
      </c>
      <c r="K263">
        <v>1.74412611858017</v>
      </c>
      <c r="L263">
        <v>1.8523071677190599</v>
      </c>
      <c r="M263">
        <v>1.57151577880839</v>
      </c>
      <c r="N263">
        <v>1.57129635621076</v>
      </c>
      <c r="Q263">
        <f t="shared" si="20"/>
        <v>1.57</v>
      </c>
      <c r="R263">
        <f t="shared" si="22"/>
        <v>1.5129965059732151</v>
      </c>
      <c r="S263">
        <f t="shared" si="23"/>
        <v>5.7003494026784951E-2</v>
      </c>
      <c r="T263">
        <f t="shared" si="24"/>
        <v>3.2493983312617074E-3</v>
      </c>
    </row>
    <row r="264" spans="1:20" hidden="1" x14ac:dyDescent="0.25">
      <c r="A264" t="str">
        <f t="shared" si="21"/>
        <v>BAR</v>
      </c>
      <c r="B264" t="s">
        <v>270</v>
      </c>
      <c r="C264">
        <v>1.958319597</v>
      </c>
      <c r="D264">
        <v>5.5667735000000003E-2</v>
      </c>
      <c r="E264">
        <v>0.70952156899999996</v>
      </c>
      <c r="F264">
        <v>0.55252322499999995</v>
      </c>
      <c r="G264">
        <v>0.80680619399999998</v>
      </c>
      <c r="H264">
        <v>1.49</v>
      </c>
      <c r="I264">
        <v>1.6282261426117799</v>
      </c>
      <c r="J264">
        <v>1.5720815350635899</v>
      </c>
      <c r="K264">
        <v>1.74805882319982</v>
      </c>
      <c r="L264">
        <v>1.80598556299744</v>
      </c>
      <c r="M264">
        <v>1.6001538388376799</v>
      </c>
      <c r="N264">
        <v>1.5999075766142801</v>
      </c>
      <c r="Q264">
        <f t="shared" si="20"/>
        <v>1.49</v>
      </c>
      <c r="R264">
        <f t="shared" si="22"/>
        <v>1.550190159538956</v>
      </c>
      <c r="S264">
        <f t="shared" si="23"/>
        <v>-6.0190159538956012E-2</v>
      </c>
      <c r="T264">
        <f t="shared" si="24"/>
        <v>3.6228553053249775E-3</v>
      </c>
    </row>
    <row r="265" spans="1:20" hidden="1" x14ac:dyDescent="0.25">
      <c r="A265" t="str">
        <f t="shared" si="21"/>
        <v>BAR</v>
      </c>
      <c r="B265" t="s">
        <v>271</v>
      </c>
      <c r="C265">
        <v>1.9239451590000001</v>
      </c>
      <c r="D265">
        <v>5.6572077999999998E-2</v>
      </c>
      <c r="E265">
        <v>0.709768391</v>
      </c>
      <c r="F265">
        <v>0.53169529000000004</v>
      </c>
      <c r="G265">
        <v>0.80171611799999998</v>
      </c>
      <c r="H265">
        <v>1.69</v>
      </c>
      <c r="I265">
        <v>1.6084160279364399</v>
      </c>
      <c r="J265">
        <v>1.55008519661446</v>
      </c>
      <c r="K265">
        <v>1.76172033737678</v>
      </c>
      <c r="L265">
        <v>1.86567391557278</v>
      </c>
      <c r="M265">
        <v>1.5792506122754499</v>
      </c>
      <c r="N265">
        <v>1.5789812775652901</v>
      </c>
      <c r="Q265">
        <f t="shared" si="20"/>
        <v>1.69</v>
      </c>
      <c r="R265">
        <f t="shared" si="22"/>
        <v>1.5229245520224195</v>
      </c>
      <c r="S265">
        <f t="shared" si="23"/>
        <v>0.16707544797758045</v>
      </c>
      <c r="T265">
        <f t="shared" si="24"/>
        <v>2.7914205316909191E-2</v>
      </c>
    </row>
    <row r="266" spans="1:20" hidden="1" x14ac:dyDescent="0.25">
      <c r="A266" t="str">
        <f t="shared" si="21"/>
        <v>BAR</v>
      </c>
      <c r="B266" t="s">
        <v>272</v>
      </c>
      <c r="C266">
        <v>2.0310006550000002</v>
      </c>
      <c r="D266">
        <v>5.8313940000000002E-2</v>
      </c>
      <c r="E266">
        <v>0.70196954600000006</v>
      </c>
      <c r="F266">
        <v>0.48584499799999997</v>
      </c>
      <c r="G266">
        <v>0.786575994</v>
      </c>
      <c r="H266">
        <v>1.33</v>
      </c>
      <c r="I266">
        <v>1.34343335906808</v>
      </c>
      <c r="J266">
        <v>1.3056448396721301</v>
      </c>
      <c r="K266">
        <v>1.4336076594279299</v>
      </c>
      <c r="L266">
        <v>1.6836052808011299</v>
      </c>
      <c r="M266">
        <v>1.3245390993701101</v>
      </c>
      <c r="N266">
        <v>1.3244043312790199</v>
      </c>
      <c r="Q266">
        <f t="shared" si="20"/>
        <v>1.33</v>
      </c>
      <c r="R266">
        <f t="shared" si="22"/>
        <v>1.2274502405308847</v>
      </c>
      <c r="S266">
        <f t="shared" si="23"/>
        <v>0.10254975946911538</v>
      </c>
      <c r="T266">
        <f t="shared" si="24"/>
        <v>1.0516453167173419E-2</v>
      </c>
    </row>
    <row r="267" spans="1:20" hidden="1" x14ac:dyDescent="0.25">
      <c r="A267" t="str">
        <f t="shared" si="21"/>
        <v>BAR</v>
      </c>
      <c r="B267" t="s">
        <v>273</v>
      </c>
      <c r="C267">
        <v>2.0137738660000002</v>
      </c>
      <c r="D267">
        <v>7.0937289000000001E-2</v>
      </c>
      <c r="E267">
        <v>0.68261250399999995</v>
      </c>
      <c r="F267">
        <v>0.41370517200000001</v>
      </c>
      <c r="G267">
        <v>0.76781556500000003</v>
      </c>
      <c r="H267">
        <v>1.43</v>
      </c>
      <c r="I267">
        <v>1.2855042643927701</v>
      </c>
      <c r="J267">
        <v>1.3402497058579199</v>
      </c>
      <c r="K267">
        <v>1.1016682785909799</v>
      </c>
      <c r="L267">
        <v>1.22033162999946</v>
      </c>
      <c r="M267">
        <v>1.3128769851253399</v>
      </c>
      <c r="N267">
        <v>1.31259160146312</v>
      </c>
      <c r="Q267">
        <f t="shared" si="20"/>
        <v>1.43</v>
      </c>
      <c r="R267">
        <f t="shared" si="22"/>
        <v>1.2198434333537547</v>
      </c>
      <c r="S267">
        <f t="shared" si="23"/>
        <v>0.21015656664624527</v>
      </c>
      <c r="T267">
        <f t="shared" si="24"/>
        <v>4.4165782504537732E-2</v>
      </c>
    </row>
    <row r="268" spans="1:20" hidden="1" x14ac:dyDescent="0.25">
      <c r="A268" t="str">
        <f t="shared" si="21"/>
        <v>BAR</v>
      </c>
      <c r="B268" t="s">
        <v>274</v>
      </c>
      <c r="C268">
        <v>2.16896596</v>
      </c>
      <c r="D268">
        <v>6.7984827999999997E-2</v>
      </c>
      <c r="E268">
        <v>0.69541474299999995</v>
      </c>
      <c r="F268">
        <v>0.47961651</v>
      </c>
      <c r="G268">
        <v>0.79032753499999997</v>
      </c>
      <c r="H268">
        <v>1.25</v>
      </c>
      <c r="I268">
        <v>1.33681039371914</v>
      </c>
      <c r="J268">
        <v>1.3667809621707601</v>
      </c>
      <c r="K268">
        <v>1.11908534401764</v>
      </c>
      <c r="L268">
        <v>1.3976950910322301</v>
      </c>
      <c r="M268">
        <v>1.35179567794495</v>
      </c>
      <c r="N268">
        <v>1.3517126159681001</v>
      </c>
      <c r="Q268">
        <f t="shared" si="20"/>
        <v>1.25</v>
      </c>
      <c r="R268">
        <f t="shared" si="22"/>
        <v>1.2548846884813094</v>
      </c>
      <c r="S268">
        <f t="shared" si="23"/>
        <v>-4.8846884813094071E-3</v>
      </c>
      <c r="T268">
        <f t="shared" si="24"/>
        <v>2.3860181559436802E-5</v>
      </c>
    </row>
    <row r="269" spans="1:20" hidden="1" x14ac:dyDescent="0.25">
      <c r="A269" t="str">
        <f t="shared" si="21"/>
        <v>BAR</v>
      </c>
      <c r="B269" t="s">
        <v>275</v>
      </c>
      <c r="C269">
        <v>2.0765169910000001</v>
      </c>
      <c r="D269">
        <v>6.8705191999999998E-2</v>
      </c>
      <c r="E269">
        <v>0.68952109900000003</v>
      </c>
      <c r="F269">
        <v>0.434897433</v>
      </c>
      <c r="G269">
        <v>0.77378610699999995</v>
      </c>
      <c r="H269">
        <v>1.04</v>
      </c>
      <c r="I269">
        <v>1.2581317243841099</v>
      </c>
      <c r="J269">
        <v>1.3062485379142199</v>
      </c>
      <c r="K269">
        <v>1.08046682612602</v>
      </c>
      <c r="L269">
        <v>1.2331399410380699</v>
      </c>
      <c r="M269">
        <v>1.2821901311491599</v>
      </c>
      <c r="N269">
        <v>1.28196440101909</v>
      </c>
      <c r="Q269">
        <f t="shared" si="20"/>
        <v>1.04</v>
      </c>
      <c r="R269">
        <f t="shared" si="22"/>
        <v>1.1863037530432252</v>
      </c>
      <c r="S269">
        <f t="shared" si="23"/>
        <v>-0.14630375304322518</v>
      </c>
      <c r="T269">
        <f t="shared" si="24"/>
        <v>2.1404788154533023E-2</v>
      </c>
    </row>
    <row r="270" spans="1:20" hidden="1" x14ac:dyDescent="0.25">
      <c r="A270" t="str">
        <f t="shared" si="21"/>
        <v>BAR</v>
      </c>
      <c r="B270" t="s">
        <v>276</v>
      </c>
      <c r="C270">
        <v>2.0360562799999999</v>
      </c>
      <c r="D270">
        <v>7.0060410000000004E-2</v>
      </c>
      <c r="E270">
        <v>0.69466753400000003</v>
      </c>
      <c r="F270">
        <v>0.46900272100000001</v>
      </c>
      <c r="G270">
        <v>0.78430630400000001</v>
      </c>
      <c r="H270">
        <v>1.38</v>
      </c>
      <c r="I270">
        <v>1.4832928745285801</v>
      </c>
      <c r="J270">
        <v>1.51288283835106</v>
      </c>
      <c r="K270">
        <v>1.32140691477588</v>
      </c>
      <c r="L270">
        <v>1.5294140834488501</v>
      </c>
      <c r="M270">
        <v>1.4980878564398199</v>
      </c>
      <c r="N270">
        <v>1.4980147976981699</v>
      </c>
      <c r="Q270">
        <f t="shared" si="20"/>
        <v>1.38</v>
      </c>
      <c r="R270">
        <f t="shared" si="22"/>
        <v>1.4223914738968899</v>
      </c>
      <c r="S270">
        <f t="shared" si="23"/>
        <v>-4.239147389689002E-2</v>
      </c>
      <c r="T270">
        <f t="shared" si="24"/>
        <v>1.7970370591507078E-3</v>
      </c>
    </row>
    <row r="271" spans="1:20" hidden="1" x14ac:dyDescent="0.25">
      <c r="A271" t="str">
        <f t="shared" si="21"/>
        <v>BAR</v>
      </c>
      <c r="B271" t="s">
        <v>277</v>
      </c>
      <c r="C271">
        <v>2.1154089260000002</v>
      </c>
      <c r="D271">
        <v>6.5416591999999996E-2</v>
      </c>
      <c r="E271">
        <v>0.68850860800000002</v>
      </c>
      <c r="F271">
        <v>0.45529770800000002</v>
      </c>
      <c r="G271">
        <v>0.78614934599999997</v>
      </c>
      <c r="H271">
        <v>1.29</v>
      </c>
      <c r="I271">
        <v>1.26136664535256</v>
      </c>
      <c r="J271">
        <v>1.2597138148495599</v>
      </c>
      <c r="K271">
        <v>1.1363987765112</v>
      </c>
      <c r="L271">
        <v>1.3927631330577901</v>
      </c>
      <c r="M271">
        <v>1.26054023010106</v>
      </c>
      <c r="N271">
        <v>1.26053995920045</v>
      </c>
      <c r="Q271">
        <f t="shared" si="20"/>
        <v>1.29</v>
      </c>
      <c r="R271">
        <f t="shared" si="22"/>
        <v>1.1444244586424914</v>
      </c>
      <c r="S271">
        <f t="shared" si="23"/>
        <v>0.14557554135750861</v>
      </c>
      <c r="T271">
        <f t="shared" si="24"/>
        <v>2.11922382415317E-2</v>
      </c>
    </row>
    <row r="272" spans="1:20" hidden="1" x14ac:dyDescent="0.25">
      <c r="A272" t="str">
        <f t="shared" si="21"/>
        <v>BAR</v>
      </c>
      <c r="B272" t="s">
        <v>278</v>
      </c>
      <c r="C272">
        <v>2.141358318</v>
      </c>
      <c r="D272">
        <v>6.7922991000000002E-2</v>
      </c>
      <c r="E272">
        <v>0.67133964599999996</v>
      </c>
      <c r="F272">
        <v>0.40516196700000001</v>
      </c>
      <c r="G272">
        <v>0.75543829399999995</v>
      </c>
      <c r="H272">
        <v>1.1599999999999999</v>
      </c>
      <c r="I272">
        <v>1.03273384737982</v>
      </c>
      <c r="J272">
        <v>1.09119403344342</v>
      </c>
      <c r="K272">
        <v>0.83328232233609301</v>
      </c>
      <c r="L272">
        <v>0.94220438564968401</v>
      </c>
      <c r="M272">
        <v>1.0619639404116199</v>
      </c>
      <c r="N272">
        <v>1.06156159142837</v>
      </c>
      <c r="Q272">
        <f t="shared" si="20"/>
        <v>1.1599999999999999</v>
      </c>
      <c r="R272">
        <f t="shared" si="22"/>
        <v>0.93859186125723459</v>
      </c>
      <c r="S272">
        <f t="shared" si="23"/>
        <v>0.22140813874276533</v>
      </c>
      <c r="T272">
        <f t="shared" si="24"/>
        <v>4.9021563901535621E-2</v>
      </c>
    </row>
    <row r="273" spans="1:20" hidden="1" x14ac:dyDescent="0.25">
      <c r="A273" t="str">
        <f t="shared" si="21"/>
        <v>BAR</v>
      </c>
      <c r="B273" t="s">
        <v>279</v>
      </c>
      <c r="C273">
        <v>2.1863331029999999</v>
      </c>
      <c r="D273">
        <v>6.6832382999999995E-2</v>
      </c>
      <c r="E273">
        <v>0.69584264100000004</v>
      </c>
      <c r="F273">
        <v>0.51978859099999997</v>
      </c>
      <c r="G273">
        <v>0.79260010999999997</v>
      </c>
      <c r="H273">
        <v>1.37</v>
      </c>
      <c r="I273">
        <v>1.4550924590343699</v>
      </c>
      <c r="J273">
        <v>1.4686583287919901</v>
      </c>
      <c r="K273">
        <v>1.242209191453</v>
      </c>
      <c r="L273">
        <v>1.46729305285935</v>
      </c>
      <c r="M273">
        <v>1.4618753939131801</v>
      </c>
      <c r="N273">
        <v>1.4618596578068801</v>
      </c>
      <c r="Q273">
        <f t="shared" si="20"/>
        <v>1.37</v>
      </c>
      <c r="R273">
        <f t="shared" si="22"/>
        <v>1.3779006101008471</v>
      </c>
      <c r="S273">
        <f t="shared" si="23"/>
        <v>-7.900610100846972E-3</v>
      </c>
      <c r="T273">
        <f t="shared" si="24"/>
        <v>6.2419639965605208E-5</v>
      </c>
    </row>
    <row r="274" spans="1:20" hidden="1" x14ac:dyDescent="0.25">
      <c r="A274" t="str">
        <f t="shared" si="21"/>
        <v>BAR</v>
      </c>
      <c r="B274" t="s">
        <v>280</v>
      </c>
      <c r="C274">
        <v>2.072055974</v>
      </c>
      <c r="D274">
        <v>6.8119255000000004E-2</v>
      </c>
      <c r="E274">
        <v>0.68861393900000001</v>
      </c>
      <c r="F274">
        <v>0.46463487399999998</v>
      </c>
      <c r="G274">
        <v>0.793904622</v>
      </c>
      <c r="H274">
        <v>1.37</v>
      </c>
      <c r="I274">
        <v>1.4168119613946499</v>
      </c>
      <c r="J274">
        <v>1.4040701864443601</v>
      </c>
      <c r="K274">
        <v>1.21991182536705</v>
      </c>
      <c r="L274">
        <v>1.44673606699507</v>
      </c>
      <c r="M274">
        <v>1.4104410739195099</v>
      </c>
      <c r="N274">
        <v>1.4104266853658101</v>
      </c>
      <c r="Q274">
        <f t="shared" si="20"/>
        <v>1.37</v>
      </c>
      <c r="R274">
        <f t="shared" si="22"/>
        <v>1.3034125944188522</v>
      </c>
      <c r="S274">
        <f t="shared" si="23"/>
        <v>6.6587405581147951E-2</v>
      </c>
      <c r="T274">
        <f t="shared" si="24"/>
        <v>4.4338825820282937E-3</v>
      </c>
    </row>
    <row r="275" spans="1:20" hidden="1" x14ac:dyDescent="0.25">
      <c r="A275" t="str">
        <f t="shared" si="21"/>
        <v>BAR</v>
      </c>
      <c r="B275" t="s">
        <v>281</v>
      </c>
      <c r="C275">
        <v>2.3545734789999999</v>
      </c>
      <c r="D275">
        <v>6.8316611999999999E-2</v>
      </c>
      <c r="E275">
        <v>0.68597383099999998</v>
      </c>
      <c r="F275">
        <v>0.49052284400000001</v>
      </c>
      <c r="G275">
        <v>0.77921903199999998</v>
      </c>
      <c r="H275">
        <v>1.4</v>
      </c>
      <c r="I275">
        <v>1.16274042262254</v>
      </c>
      <c r="J275">
        <v>1.21848333293087</v>
      </c>
      <c r="K275">
        <v>0.88238837360883504</v>
      </c>
      <c r="L275">
        <v>1.2808179196864</v>
      </c>
      <c r="M275">
        <v>1.1906118777767101</v>
      </c>
      <c r="N275">
        <v>1.1902856066888201</v>
      </c>
      <c r="Q275">
        <f t="shared" si="20"/>
        <v>1.4</v>
      </c>
      <c r="R275">
        <f t="shared" si="22"/>
        <v>1.0731674111992242</v>
      </c>
      <c r="S275">
        <f t="shared" si="23"/>
        <v>0.3268325888007757</v>
      </c>
      <c r="T275">
        <f t="shared" si="24"/>
        <v>0.10681954110221693</v>
      </c>
    </row>
    <row r="276" spans="1:20" hidden="1" x14ac:dyDescent="0.25">
      <c r="A276" t="str">
        <f t="shared" si="21"/>
        <v>BAR</v>
      </c>
      <c r="B276" t="s">
        <v>282</v>
      </c>
      <c r="C276">
        <v>2.2144017890000001</v>
      </c>
      <c r="D276">
        <v>6.7526551000000004E-2</v>
      </c>
      <c r="E276">
        <v>0.69604639599999996</v>
      </c>
      <c r="F276">
        <v>0.50438693700000004</v>
      </c>
      <c r="G276">
        <v>0.79673787200000001</v>
      </c>
      <c r="H276">
        <v>1.47</v>
      </c>
      <c r="I276">
        <v>1.38261418467908</v>
      </c>
      <c r="J276">
        <v>1.4015497791334099</v>
      </c>
      <c r="K276">
        <v>1.1680357855873</v>
      </c>
      <c r="L276">
        <v>1.52114948797838</v>
      </c>
      <c r="M276">
        <v>1.39208198190624</v>
      </c>
      <c r="N276">
        <v>1.39204978544723</v>
      </c>
      <c r="Q276">
        <f t="shared" si="20"/>
        <v>1.47</v>
      </c>
      <c r="R276">
        <f t="shared" si="22"/>
        <v>1.2952433594268045</v>
      </c>
      <c r="S276">
        <f t="shared" si="23"/>
        <v>0.17475664057319551</v>
      </c>
      <c r="T276">
        <f t="shared" si="24"/>
        <v>3.0539883424429044E-2</v>
      </c>
    </row>
    <row r="277" spans="1:20" hidden="1" x14ac:dyDescent="0.25">
      <c r="A277" t="str">
        <f t="shared" si="21"/>
        <v>BAR</v>
      </c>
      <c r="B277" t="s">
        <v>283</v>
      </c>
      <c r="C277">
        <v>2.0125993059999998</v>
      </c>
      <c r="D277">
        <v>7.0244011999999995E-2</v>
      </c>
      <c r="E277">
        <v>0.66414508500000002</v>
      </c>
      <c r="F277">
        <v>0.42656991599999999</v>
      </c>
      <c r="G277">
        <v>0.75565169799999998</v>
      </c>
      <c r="H277">
        <v>0.98</v>
      </c>
      <c r="I277">
        <v>1.3399203427411901</v>
      </c>
      <c r="J277">
        <v>1.34830593906845</v>
      </c>
      <c r="K277">
        <v>1.1593330483714499</v>
      </c>
      <c r="L277">
        <v>1.2605394543455</v>
      </c>
      <c r="M277">
        <v>1.3441131409048199</v>
      </c>
      <c r="N277">
        <v>1.34410660142586</v>
      </c>
      <c r="Q277">
        <f t="shared" si="20"/>
        <v>0.98</v>
      </c>
      <c r="R277">
        <f t="shared" si="22"/>
        <v>1.2355223099846646</v>
      </c>
      <c r="S277">
        <f t="shared" si="23"/>
        <v>-0.25552230998466463</v>
      </c>
      <c r="T277">
        <f t="shared" si="24"/>
        <v>6.5291650899899037E-2</v>
      </c>
    </row>
    <row r="278" spans="1:20" hidden="1" x14ac:dyDescent="0.25">
      <c r="A278" t="str">
        <f t="shared" si="21"/>
        <v>BAR</v>
      </c>
      <c r="B278" t="s">
        <v>284</v>
      </c>
      <c r="C278">
        <v>2.07157897</v>
      </c>
      <c r="D278">
        <v>6.9999027000000005E-2</v>
      </c>
      <c r="E278">
        <v>0.64644902599999998</v>
      </c>
      <c r="F278">
        <v>0.38945540899999997</v>
      </c>
      <c r="G278">
        <v>0.74039586199999996</v>
      </c>
      <c r="H278">
        <v>1.1299999999999999</v>
      </c>
      <c r="I278">
        <v>1.09653237300781</v>
      </c>
      <c r="J278">
        <v>1.12542497825565</v>
      </c>
      <c r="K278">
        <v>0.89156009288382199</v>
      </c>
      <c r="L278">
        <v>0.98088610660144004</v>
      </c>
      <c r="M278">
        <v>1.1109786756317299</v>
      </c>
      <c r="N278">
        <v>1.11088474741934</v>
      </c>
      <c r="Q278">
        <f t="shared" si="20"/>
        <v>1.1299999999999999</v>
      </c>
      <c r="R278">
        <f t="shared" si="22"/>
        <v>0.97662339560607414</v>
      </c>
      <c r="S278">
        <f t="shared" si="23"/>
        <v>0.15337660439392575</v>
      </c>
      <c r="T278">
        <f t="shared" si="24"/>
        <v>2.3524382775410805E-2</v>
      </c>
    </row>
    <row r="279" spans="1:20" hidden="1" x14ac:dyDescent="0.25">
      <c r="A279" t="str">
        <f t="shared" si="21"/>
        <v>BAR</v>
      </c>
      <c r="B279" t="s">
        <v>285</v>
      </c>
      <c r="C279">
        <v>2.067584343</v>
      </c>
      <c r="D279">
        <v>6.6131063000000004E-2</v>
      </c>
      <c r="E279">
        <v>0.66564372999999999</v>
      </c>
      <c r="F279">
        <v>0.35454563700000002</v>
      </c>
      <c r="G279">
        <v>0.74883266999999998</v>
      </c>
      <c r="H279">
        <v>0.83</v>
      </c>
      <c r="I279">
        <v>0.86397338020690695</v>
      </c>
      <c r="J279">
        <v>0.92880311450576303</v>
      </c>
      <c r="K279">
        <v>0.70364812855304704</v>
      </c>
      <c r="L279">
        <v>0.71036558552074902</v>
      </c>
      <c r="M279">
        <v>0.89638824735633504</v>
      </c>
      <c r="N279">
        <v>0.89580196828665604</v>
      </c>
      <c r="Q279">
        <f t="shared" si="20"/>
        <v>0.83</v>
      </c>
      <c r="R279">
        <f t="shared" si="22"/>
        <v>0.76097889519490813</v>
      </c>
      <c r="S279">
        <f t="shared" si="23"/>
        <v>6.9021104805091826E-2</v>
      </c>
      <c r="T279">
        <f t="shared" si="24"/>
        <v>4.7639129085154698E-3</v>
      </c>
    </row>
    <row r="280" spans="1:20" hidden="1" x14ac:dyDescent="0.25">
      <c r="A280" t="str">
        <f t="shared" si="21"/>
        <v>BAR</v>
      </c>
      <c r="B280" t="s">
        <v>286</v>
      </c>
      <c r="C280">
        <v>2.2189094470000001</v>
      </c>
      <c r="D280">
        <v>6.5342091000000005E-2</v>
      </c>
      <c r="E280">
        <v>0.67650195999999996</v>
      </c>
      <c r="F280">
        <v>0.44973648199999999</v>
      </c>
      <c r="G280">
        <v>0.77389128200000001</v>
      </c>
      <c r="H280">
        <v>1.27</v>
      </c>
      <c r="I280">
        <v>1.11360208033157</v>
      </c>
      <c r="J280">
        <v>1.12046161669406</v>
      </c>
      <c r="K280">
        <v>0.93243129245307599</v>
      </c>
      <c r="L280">
        <v>1.2915709600280101</v>
      </c>
      <c r="M280">
        <v>1.1170318485128099</v>
      </c>
      <c r="N280">
        <v>1.11702658306872</v>
      </c>
      <c r="Q280">
        <f t="shared" si="20"/>
        <v>1.27</v>
      </c>
      <c r="R280">
        <f t="shared" si="22"/>
        <v>0.97919150278573319</v>
      </c>
      <c r="S280">
        <f t="shared" si="23"/>
        <v>0.29080849721426683</v>
      </c>
      <c r="T280">
        <f t="shared" si="24"/>
        <v>8.456958205202024E-2</v>
      </c>
    </row>
    <row r="281" spans="1:20" hidden="1" x14ac:dyDescent="0.25">
      <c r="A281" t="str">
        <f t="shared" si="21"/>
        <v>BAR</v>
      </c>
      <c r="B281" t="s">
        <v>287</v>
      </c>
      <c r="C281">
        <v>2.249225569</v>
      </c>
      <c r="D281">
        <v>6.5981005999999995E-2</v>
      </c>
      <c r="E281">
        <v>0.67985386199999998</v>
      </c>
      <c r="F281">
        <v>0.48005700800000001</v>
      </c>
      <c r="G281">
        <v>0.77793933999999998</v>
      </c>
      <c r="H281">
        <v>1.27</v>
      </c>
      <c r="I281">
        <v>1.2136006419029499</v>
      </c>
      <c r="J281">
        <v>1.2206824098170199</v>
      </c>
      <c r="K281">
        <v>0.99603043373709799</v>
      </c>
      <c r="L281">
        <v>1.3299953338945001</v>
      </c>
      <c r="M281">
        <v>1.21714152585999</v>
      </c>
      <c r="N281">
        <v>1.21713637531444</v>
      </c>
      <c r="Q281">
        <f t="shared" si="20"/>
        <v>1.27</v>
      </c>
      <c r="R281">
        <f t="shared" si="22"/>
        <v>1.0915977156822483</v>
      </c>
      <c r="S281">
        <f t="shared" si="23"/>
        <v>0.17840228431775174</v>
      </c>
      <c r="T281">
        <f t="shared" si="24"/>
        <v>3.1827375049791926E-2</v>
      </c>
    </row>
    <row r="282" spans="1:20" hidden="1" x14ac:dyDescent="0.25">
      <c r="A282" t="str">
        <f t="shared" si="21"/>
        <v>BAR</v>
      </c>
      <c r="B282" t="s">
        <v>288</v>
      </c>
      <c r="C282">
        <v>2.3473055409999999</v>
      </c>
      <c r="D282">
        <v>6.0482362999999997E-2</v>
      </c>
      <c r="E282">
        <v>0.70804781900000002</v>
      </c>
      <c r="F282">
        <v>0.51662922600000005</v>
      </c>
      <c r="G282">
        <v>0.78932719299999998</v>
      </c>
      <c r="H282">
        <v>1.33</v>
      </c>
      <c r="I282">
        <v>1.1192535442571001</v>
      </c>
      <c r="J282">
        <v>1.15787001959891</v>
      </c>
      <c r="K282">
        <v>0.97315050711216</v>
      </c>
      <c r="L282">
        <v>1.32396267854093</v>
      </c>
      <c r="M282">
        <v>1.1385617819280001</v>
      </c>
      <c r="N282">
        <v>1.1383980513094301</v>
      </c>
      <c r="Q282">
        <f t="shared" si="20"/>
        <v>1.33</v>
      </c>
      <c r="R282">
        <f t="shared" si="22"/>
        <v>1.0313540798767091</v>
      </c>
      <c r="S282">
        <f t="shared" si="23"/>
        <v>0.29864592012329094</v>
      </c>
      <c r="T282">
        <f t="shared" si="24"/>
        <v>8.9189385606287072E-2</v>
      </c>
    </row>
    <row r="283" spans="1:20" hidden="1" x14ac:dyDescent="0.25">
      <c r="A283" t="str">
        <f t="shared" si="21"/>
        <v>BAR</v>
      </c>
      <c r="B283" t="s">
        <v>289</v>
      </c>
      <c r="C283">
        <v>2.3270126630000001</v>
      </c>
      <c r="D283">
        <v>6.0618830999999998E-2</v>
      </c>
      <c r="E283">
        <v>0.71847291700000004</v>
      </c>
      <c r="F283">
        <v>0.50300197899999999</v>
      </c>
      <c r="G283">
        <v>0.79969717900000004</v>
      </c>
      <c r="H283">
        <v>1.23</v>
      </c>
      <c r="I283">
        <v>1.0864774616945101</v>
      </c>
      <c r="J283">
        <v>1.1421592154941</v>
      </c>
      <c r="K283">
        <v>0.93837619982354004</v>
      </c>
      <c r="L283">
        <v>1.3079276457945199</v>
      </c>
      <c r="M283">
        <v>1.1143183385943001</v>
      </c>
      <c r="N283">
        <v>1.113970486728</v>
      </c>
      <c r="Q283">
        <f t="shared" si="20"/>
        <v>1.23</v>
      </c>
      <c r="R283">
        <f t="shared" si="22"/>
        <v>1.011987018765987</v>
      </c>
      <c r="S283">
        <f t="shared" si="23"/>
        <v>0.21801298123401303</v>
      </c>
      <c r="T283">
        <f t="shared" si="24"/>
        <v>4.7529659986542114E-2</v>
      </c>
    </row>
    <row r="284" spans="1:20" hidden="1" x14ac:dyDescent="0.25">
      <c r="A284" t="str">
        <f t="shared" si="21"/>
        <v>BAR</v>
      </c>
      <c r="B284" t="s">
        <v>290</v>
      </c>
      <c r="C284">
        <v>2.3404907989999999</v>
      </c>
      <c r="D284">
        <v>5.7044480000000002E-2</v>
      </c>
      <c r="E284">
        <v>0.70100565999999997</v>
      </c>
      <c r="F284">
        <v>0.53537556799999997</v>
      </c>
      <c r="G284">
        <v>0.79661658199999996</v>
      </c>
      <c r="H284">
        <v>1.35</v>
      </c>
      <c r="I284">
        <v>1.1598219445436899</v>
      </c>
      <c r="J284">
        <v>1.14890057297017</v>
      </c>
      <c r="K284">
        <v>1.02765083807812</v>
      </c>
      <c r="L284">
        <v>1.21786430652036</v>
      </c>
      <c r="M284">
        <v>1.1543612587569301</v>
      </c>
      <c r="N284">
        <v>1.1543483428452701</v>
      </c>
      <c r="Q284">
        <f t="shared" si="20"/>
        <v>1.35</v>
      </c>
      <c r="R284">
        <f t="shared" si="22"/>
        <v>1.034728159383083</v>
      </c>
      <c r="S284">
        <f t="shared" si="23"/>
        <v>0.31527184061691704</v>
      </c>
      <c r="T284">
        <f t="shared" si="24"/>
        <v>9.9396333485978747E-2</v>
      </c>
    </row>
    <row r="285" spans="1:20" hidden="1" x14ac:dyDescent="0.25">
      <c r="A285" t="str">
        <f t="shared" si="21"/>
        <v>BAR</v>
      </c>
      <c r="B285" t="s">
        <v>291</v>
      </c>
      <c r="C285">
        <v>2.434819353</v>
      </c>
      <c r="D285">
        <v>5.7209903999999999E-2</v>
      </c>
      <c r="E285">
        <v>0.70713445699999999</v>
      </c>
      <c r="F285">
        <v>0.515622845</v>
      </c>
      <c r="G285">
        <v>0.800801447</v>
      </c>
      <c r="H285">
        <v>1.08</v>
      </c>
      <c r="I285">
        <v>0.97486703691305598</v>
      </c>
      <c r="J285">
        <v>0.99172483479736895</v>
      </c>
      <c r="K285">
        <v>0.79319936849543005</v>
      </c>
      <c r="L285">
        <v>1.1335856139262199</v>
      </c>
      <c r="M285">
        <v>0.98329593585521202</v>
      </c>
      <c r="N285">
        <v>0.98325980856129802</v>
      </c>
      <c r="Q285">
        <f t="shared" si="20"/>
        <v>1.08</v>
      </c>
      <c r="R285">
        <f t="shared" si="22"/>
        <v>0.84548484595896189</v>
      </c>
      <c r="S285">
        <f t="shared" si="23"/>
        <v>0.23451515404103818</v>
      </c>
      <c r="T285">
        <f t="shared" si="24"/>
        <v>5.4997357474891866E-2</v>
      </c>
    </row>
    <row r="286" spans="1:20" hidden="1" x14ac:dyDescent="0.25">
      <c r="A286" t="str">
        <f t="shared" si="21"/>
        <v>BAR</v>
      </c>
      <c r="B286" t="s">
        <v>292</v>
      </c>
      <c r="C286">
        <v>2.3658357790000002</v>
      </c>
      <c r="D286">
        <v>6.0696623999999998E-2</v>
      </c>
      <c r="E286">
        <v>0.69911411099999998</v>
      </c>
      <c r="F286">
        <v>0.50291948399999997</v>
      </c>
      <c r="G286">
        <v>0.78700676300000005</v>
      </c>
      <c r="H286">
        <v>1.21</v>
      </c>
      <c r="I286">
        <v>1.05761508758039</v>
      </c>
      <c r="J286">
        <v>1.0845844034394001</v>
      </c>
      <c r="K286">
        <v>0.886751169941563</v>
      </c>
      <c r="L286">
        <v>1.2631935792184701</v>
      </c>
      <c r="M286">
        <v>1.0710997455099001</v>
      </c>
      <c r="N286">
        <v>1.07101485929556</v>
      </c>
      <c r="Q286">
        <f t="shared" si="20"/>
        <v>1.21</v>
      </c>
      <c r="R286">
        <f t="shared" si="22"/>
        <v>0.9454002916131663</v>
      </c>
      <c r="S286">
        <f t="shared" si="23"/>
        <v>0.26459970838683367</v>
      </c>
      <c r="T286">
        <f t="shared" si="24"/>
        <v>7.0013005678397411E-2</v>
      </c>
    </row>
    <row r="287" spans="1:20" hidden="1" x14ac:dyDescent="0.25">
      <c r="A287" t="str">
        <f t="shared" si="21"/>
        <v>BAR</v>
      </c>
      <c r="B287" t="s">
        <v>293</v>
      </c>
      <c r="C287">
        <v>2.2194792059999999</v>
      </c>
      <c r="D287">
        <v>6.0902795000000003E-2</v>
      </c>
      <c r="E287">
        <v>0.70369406599999995</v>
      </c>
      <c r="F287">
        <v>0.48379332899999999</v>
      </c>
      <c r="G287">
        <v>0.77686917799999999</v>
      </c>
      <c r="H287">
        <v>1.23</v>
      </c>
      <c r="I287">
        <v>1.14352288068746</v>
      </c>
      <c r="J287">
        <v>1.1702451645855201</v>
      </c>
      <c r="K287">
        <v>1.05346073732359</v>
      </c>
      <c r="L287">
        <v>1.27888984154096</v>
      </c>
      <c r="M287">
        <v>1.15688402263649</v>
      </c>
      <c r="N287">
        <v>1.1568068644840399</v>
      </c>
      <c r="Q287">
        <f t="shared" si="20"/>
        <v>1.23</v>
      </c>
      <c r="R287">
        <f t="shared" si="22"/>
        <v>1.0507861329847499</v>
      </c>
      <c r="S287">
        <f t="shared" si="23"/>
        <v>0.17921386701525011</v>
      </c>
      <c r="T287">
        <f t="shared" si="24"/>
        <v>3.2117610130559748E-2</v>
      </c>
    </row>
    <row r="288" spans="1:20" hidden="1" x14ac:dyDescent="0.25">
      <c r="A288" t="str">
        <f t="shared" si="21"/>
        <v>BAR</v>
      </c>
      <c r="B288" t="s">
        <v>294</v>
      </c>
      <c r="C288">
        <v>2.264430285</v>
      </c>
      <c r="D288">
        <v>6.2534311999999995E-2</v>
      </c>
      <c r="E288">
        <v>0.686111307</v>
      </c>
      <c r="F288">
        <v>0.43810349300000001</v>
      </c>
      <c r="G288">
        <v>0.75981278600000002</v>
      </c>
      <c r="H288">
        <v>1.1100000000000001</v>
      </c>
      <c r="I288">
        <v>0.92477027075351903</v>
      </c>
      <c r="J288">
        <v>0.97657633260391996</v>
      </c>
      <c r="K288">
        <v>0.79373362235114797</v>
      </c>
      <c r="L288">
        <v>1.0743413446068899</v>
      </c>
      <c r="M288">
        <v>0.95067330167872</v>
      </c>
      <c r="N288">
        <v>0.95032034573274604</v>
      </c>
      <c r="Q288">
        <f t="shared" si="20"/>
        <v>1.1100000000000001</v>
      </c>
      <c r="R288">
        <f t="shared" si="22"/>
        <v>0.81890267660929306</v>
      </c>
      <c r="S288">
        <f t="shared" si="23"/>
        <v>0.29109732339070704</v>
      </c>
      <c r="T288">
        <f t="shared" si="24"/>
        <v>8.4737651685233881E-2</v>
      </c>
    </row>
    <row r="289" spans="1:20" hidden="1" x14ac:dyDescent="0.25">
      <c r="A289" t="str">
        <f t="shared" si="21"/>
        <v>BAR</v>
      </c>
      <c r="B289" t="s">
        <v>295</v>
      </c>
      <c r="C289">
        <v>2.2548942730000001</v>
      </c>
      <c r="D289">
        <v>6.0086104000000001E-2</v>
      </c>
      <c r="E289">
        <v>0.70220648799999996</v>
      </c>
      <c r="F289">
        <v>0.47711878200000002</v>
      </c>
      <c r="G289">
        <v>0.78122838800000005</v>
      </c>
      <c r="H289">
        <v>1.28</v>
      </c>
      <c r="I289">
        <v>1.06580002871471</v>
      </c>
      <c r="J289">
        <v>1.0900108416169201</v>
      </c>
      <c r="K289">
        <v>0.96520047636835204</v>
      </c>
      <c r="L289">
        <v>1.27131987555268</v>
      </c>
      <c r="M289">
        <v>1.0779054351658199</v>
      </c>
      <c r="N289">
        <v>1.0778374581979699</v>
      </c>
      <c r="Q289">
        <f t="shared" si="20"/>
        <v>1.28</v>
      </c>
      <c r="R289">
        <f t="shared" si="22"/>
        <v>0.958776210401731</v>
      </c>
      <c r="S289">
        <f t="shared" si="23"/>
        <v>0.32122378959826903</v>
      </c>
      <c r="T289">
        <f t="shared" si="24"/>
        <v>0.10318472300387301</v>
      </c>
    </row>
    <row r="290" spans="1:20" hidden="1" x14ac:dyDescent="0.25">
      <c r="A290" t="str">
        <f t="shared" si="21"/>
        <v>BAR</v>
      </c>
      <c r="B290" t="s">
        <v>296</v>
      </c>
      <c r="C290">
        <v>2.2652882239999999</v>
      </c>
      <c r="D290">
        <v>5.3866553999999997E-2</v>
      </c>
      <c r="E290">
        <v>0.71736259499999999</v>
      </c>
      <c r="F290">
        <v>0.54551557799999995</v>
      </c>
      <c r="G290">
        <v>0.80869414699999997</v>
      </c>
      <c r="H290">
        <v>1.31</v>
      </c>
      <c r="I290">
        <v>1.2181695457372299</v>
      </c>
      <c r="J290">
        <v>1.2076081214112799</v>
      </c>
      <c r="K290">
        <v>1.1899193250181299</v>
      </c>
      <c r="L290">
        <v>1.4248277893002399</v>
      </c>
      <c r="M290">
        <v>1.21288883357426</v>
      </c>
      <c r="N290">
        <v>1.21287733785745</v>
      </c>
      <c r="Q290">
        <f t="shared" si="20"/>
        <v>1.31</v>
      </c>
      <c r="R290">
        <f t="shared" si="22"/>
        <v>1.1156673428714421</v>
      </c>
      <c r="S290">
        <f t="shared" si="23"/>
        <v>0.19433265712855796</v>
      </c>
      <c r="T290">
        <f t="shared" si="24"/>
        <v>3.7765181626645668E-2</v>
      </c>
    </row>
    <row r="291" spans="1:20" hidden="1" x14ac:dyDescent="0.25">
      <c r="A291" t="str">
        <f t="shared" si="21"/>
        <v>BAR</v>
      </c>
      <c r="B291" t="s">
        <v>297</v>
      </c>
      <c r="C291">
        <v>2.2447337250000001</v>
      </c>
      <c r="D291">
        <v>5.4037011000000003E-2</v>
      </c>
      <c r="E291">
        <v>0.70646019900000001</v>
      </c>
      <c r="F291">
        <v>0.511182786</v>
      </c>
      <c r="G291">
        <v>0.790489051</v>
      </c>
      <c r="H291">
        <v>1.19</v>
      </c>
      <c r="I291">
        <v>1.12242690659569</v>
      </c>
      <c r="J291">
        <v>1.09560193371392</v>
      </c>
      <c r="K291">
        <v>1.1329978907791201</v>
      </c>
      <c r="L291">
        <v>1.4088618531908199</v>
      </c>
      <c r="M291">
        <v>1.10901442015481</v>
      </c>
      <c r="N291">
        <v>1.1089333114839599</v>
      </c>
      <c r="Q291">
        <f t="shared" si="20"/>
        <v>1.19</v>
      </c>
      <c r="R291">
        <f t="shared" si="22"/>
        <v>0.98668881242836681</v>
      </c>
      <c r="S291">
        <f t="shared" si="23"/>
        <v>0.20331118757163313</v>
      </c>
      <c r="T291">
        <f t="shared" si="24"/>
        <v>4.1335438991787793E-2</v>
      </c>
    </row>
    <row r="292" spans="1:20" hidden="1" x14ac:dyDescent="0.25">
      <c r="A292" t="str">
        <f t="shared" si="21"/>
        <v>BAR</v>
      </c>
      <c r="B292" t="s">
        <v>298</v>
      </c>
      <c r="C292">
        <v>2.0646396349999998</v>
      </c>
      <c r="D292">
        <v>6.0255858000000002E-2</v>
      </c>
      <c r="E292">
        <v>0.69958767399999999</v>
      </c>
      <c r="F292">
        <v>0.43410062100000002</v>
      </c>
      <c r="G292">
        <v>0.770987545</v>
      </c>
      <c r="H292">
        <v>1.01</v>
      </c>
      <c r="I292">
        <v>1.1142098626507999</v>
      </c>
      <c r="J292">
        <v>1.1234366543907</v>
      </c>
      <c r="K292">
        <v>1.10127232697532</v>
      </c>
      <c r="L292">
        <v>1.2551253736331001</v>
      </c>
      <c r="M292">
        <v>1.11882325852075</v>
      </c>
      <c r="N292">
        <v>1.1188137469594901</v>
      </c>
      <c r="Q292">
        <f t="shared" si="20"/>
        <v>1.01</v>
      </c>
      <c r="R292">
        <f t="shared" si="22"/>
        <v>1.0064037545517563</v>
      </c>
      <c r="S292">
        <f t="shared" si="23"/>
        <v>3.5962454482436623E-3</v>
      </c>
      <c r="T292">
        <f t="shared" si="24"/>
        <v>1.293298132401326E-5</v>
      </c>
    </row>
    <row r="293" spans="1:20" hidden="1" x14ac:dyDescent="0.25">
      <c r="A293" t="str">
        <f t="shared" si="21"/>
        <v>BAR</v>
      </c>
      <c r="B293" t="s">
        <v>299</v>
      </c>
      <c r="C293">
        <v>2.3940934469999999</v>
      </c>
      <c r="D293">
        <v>5.9990138999999998E-2</v>
      </c>
      <c r="E293">
        <v>0.71495999700000001</v>
      </c>
      <c r="F293">
        <v>0.47707849400000002</v>
      </c>
      <c r="G293">
        <v>0.792740157</v>
      </c>
      <c r="H293">
        <v>1.01</v>
      </c>
      <c r="I293">
        <v>0.89159713051665201</v>
      </c>
      <c r="J293">
        <v>0.96166442941506802</v>
      </c>
      <c r="K293">
        <v>0.72121188515366697</v>
      </c>
      <c r="L293">
        <v>1.1493713623389401</v>
      </c>
      <c r="M293">
        <v>0.92663077996585996</v>
      </c>
      <c r="N293">
        <v>0.92596827471917598</v>
      </c>
      <c r="Q293">
        <f t="shared" si="20"/>
        <v>1.01</v>
      </c>
      <c r="R293">
        <f t="shared" si="22"/>
        <v>0.80106903940774554</v>
      </c>
      <c r="S293">
        <f t="shared" si="23"/>
        <v>0.20893096059225447</v>
      </c>
      <c r="T293">
        <f t="shared" si="24"/>
        <v>4.3652146294002186E-2</v>
      </c>
    </row>
    <row r="294" spans="1:20" hidden="1" x14ac:dyDescent="0.25">
      <c r="A294" t="str">
        <f t="shared" si="21"/>
        <v>BAR</v>
      </c>
      <c r="B294" t="s">
        <v>300</v>
      </c>
      <c r="C294">
        <v>2.5878928659999998</v>
      </c>
      <c r="D294">
        <v>5.8317762000000002E-2</v>
      </c>
      <c r="E294">
        <v>0.70566815400000005</v>
      </c>
      <c r="F294">
        <v>0.52794132999999999</v>
      </c>
      <c r="G294">
        <v>0.78808255000000005</v>
      </c>
      <c r="H294">
        <v>1.03</v>
      </c>
      <c r="I294">
        <v>0.84784471721809396</v>
      </c>
      <c r="J294">
        <v>0.90716096247967504</v>
      </c>
      <c r="K294">
        <v>0.64119557034530095</v>
      </c>
      <c r="L294">
        <v>1.2286910079095701</v>
      </c>
      <c r="M294">
        <v>0.877502839848884</v>
      </c>
      <c r="N294">
        <v>0.87700149926033399</v>
      </c>
      <c r="Q294">
        <f t="shared" si="20"/>
        <v>1.03</v>
      </c>
      <c r="R294">
        <f t="shared" si="22"/>
        <v>0.73585452220949588</v>
      </c>
      <c r="S294">
        <f t="shared" si="23"/>
        <v>0.29414547779050415</v>
      </c>
      <c r="T294">
        <f t="shared" si="24"/>
        <v>8.6521562104603975E-2</v>
      </c>
    </row>
    <row r="295" spans="1:20" hidden="1" x14ac:dyDescent="0.25">
      <c r="A295" t="str">
        <f t="shared" si="21"/>
        <v>BAR</v>
      </c>
      <c r="B295" t="s">
        <v>301</v>
      </c>
      <c r="C295">
        <v>2.5746610830000001</v>
      </c>
      <c r="D295">
        <v>5.6599811E-2</v>
      </c>
      <c r="E295">
        <v>0.710249731</v>
      </c>
      <c r="F295">
        <v>0.504986979</v>
      </c>
      <c r="G295">
        <v>0.79196874799999994</v>
      </c>
      <c r="H295">
        <v>1.23</v>
      </c>
      <c r="I295">
        <v>0.74484775520345803</v>
      </c>
      <c r="J295">
        <v>0.80236234223271496</v>
      </c>
      <c r="K295">
        <v>0.53038338174111599</v>
      </c>
      <c r="L295">
        <v>1.0514394637939599</v>
      </c>
      <c r="M295">
        <v>0.773605048718087</v>
      </c>
      <c r="N295">
        <v>0.77307036514914096</v>
      </c>
      <c r="Q295">
        <f t="shared" si="20"/>
        <v>1.23</v>
      </c>
      <c r="R295">
        <f t="shared" si="22"/>
        <v>0.61970136238389406</v>
      </c>
      <c r="S295">
        <f t="shared" si="23"/>
        <v>0.61029863761610592</v>
      </c>
      <c r="T295">
        <f t="shared" si="24"/>
        <v>0.37246442707607497</v>
      </c>
    </row>
    <row r="296" spans="1:20" hidden="1" x14ac:dyDescent="0.25">
      <c r="A296" t="str">
        <f t="shared" si="21"/>
        <v>BAR</v>
      </c>
      <c r="B296" t="s">
        <v>302</v>
      </c>
      <c r="C296">
        <v>2.4477326750000001</v>
      </c>
      <c r="D296">
        <v>5.5932203E-2</v>
      </c>
      <c r="E296">
        <v>0.69429961900000003</v>
      </c>
      <c r="F296">
        <v>0.50105275400000004</v>
      </c>
      <c r="G296">
        <v>0.78252661000000001</v>
      </c>
      <c r="H296">
        <v>1.2</v>
      </c>
      <c r="I296">
        <v>0.883885106290904</v>
      </c>
      <c r="J296">
        <v>0.88475206005337004</v>
      </c>
      <c r="K296">
        <v>0.73182119763853004</v>
      </c>
      <c r="L296">
        <v>1.1093231005925599</v>
      </c>
      <c r="M296">
        <v>0.88431858317213696</v>
      </c>
      <c r="N296">
        <v>0.88431847693089005</v>
      </c>
      <c r="Q296">
        <f t="shared" si="20"/>
        <v>1.2</v>
      </c>
      <c r="R296">
        <f t="shared" si="22"/>
        <v>0.72619636743098503</v>
      </c>
      <c r="S296">
        <f t="shared" si="23"/>
        <v>0.47380363256901492</v>
      </c>
      <c r="T296">
        <f t="shared" si="24"/>
        <v>0.2244898822355941</v>
      </c>
    </row>
    <row r="297" spans="1:20" hidden="1" x14ac:dyDescent="0.25">
      <c r="A297" t="str">
        <f t="shared" si="21"/>
        <v>BAR</v>
      </c>
      <c r="B297" t="s">
        <v>303</v>
      </c>
      <c r="C297">
        <v>2.267767417</v>
      </c>
      <c r="D297">
        <v>6.3066248000000005E-2</v>
      </c>
      <c r="E297">
        <v>0.67952110799999998</v>
      </c>
      <c r="F297">
        <v>0.425779723</v>
      </c>
      <c r="G297">
        <v>0.76441743699999998</v>
      </c>
      <c r="H297">
        <v>0.84</v>
      </c>
      <c r="I297">
        <v>0.893876631214512</v>
      </c>
      <c r="J297">
        <v>0.93322013389907199</v>
      </c>
      <c r="K297">
        <v>0.70531761666013604</v>
      </c>
      <c r="L297">
        <v>0.88213434083533804</v>
      </c>
      <c r="M297">
        <v>0.91354838255679205</v>
      </c>
      <c r="N297">
        <v>0.91333655870728103</v>
      </c>
      <c r="Q297">
        <f t="shared" si="20"/>
        <v>0.84</v>
      </c>
      <c r="R297">
        <f t="shared" si="22"/>
        <v>0.76703192922079477</v>
      </c>
      <c r="S297">
        <f t="shared" si="23"/>
        <v>7.2968070779205196E-2</v>
      </c>
      <c r="T297">
        <f t="shared" si="24"/>
        <v>5.3243393532390994E-3</v>
      </c>
    </row>
    <row r="298" spans="1:20" hidden="1" x14ac:dyDescent="0.25">
      <c r="A298" t="str">
        <f t="shared" si="21"/>
        <v>BAR</v>
      </c>
      <c r="B298" t="s">
        <v>304</v>
      </c>
      <c r="C298">
        <v>2.2058165789999999</v>
      </c>
      <c r="D298">
        <v>5.8504955999999997E-2</v>
      </c>
      <c r="E298">
        <v>0.68668478399999999</v>
      </c>
      <c r="F298">
        <v>0.55599933499999998</v>
      </c>
      <c r="G298">
        <v>0.79316259899999997</v>
      </c>
      <c r="H298">
        <v>1.37</v>
      </c>
      <c r="I298">
        <v>1.4320120395285201</v>
      </c>
      <c r="J298">
        <v>1.3773404199327399</v>
      </c>
      <c r="K298">
        <v>1.3339180195868201</v>
      </c>
      <c r="L298">
        <v>1.4063323110527199</v>
      </c>
      <c r="M298">
        <v>1.4046762297306301</v>
      </c>
      <c r="N298">
        <v>1.4044102192283201</v>
      </c>
      <c r="Q298">
        <f t="shared" si="20"/>
        <v>1.37</v>
      </c>
      <c r="R298">
        <f t="shared" si="22"/>
        <v>1.3043377175942341</v>
      </c>
      <c r="S298">
        <f t="shared" si="23"/>
        <v>6.5662282405765993E-2</v>
      </c>
      <c r="T298">
        <f t="shared" si="24"/>
        <v>4.3115353307345665E-3</v>
      </c>
    </row>
    <row r="299" spans="1:20" hidden="1" x14ac:dyDescent="0.25">
      <c r="A299" t="str">
        <f t="shared" si="21"/>
        <v>BAR</v>
      </c>
      <c r="B299" t="s">
        <v>305</v>
      </c>
      <c r="C299">
        <v>2.3043308730000001</v>
      </c>
      <c r="D299">
        <v>5.9530574000000003E-2</v>
      </c>
      <c r="E299">
        <v>0.67559546699999995</v>
      </c>
      <c r="F299">
        <v>0.51740470299999997</v>
      </c>
      <c r="G299">
        <v>0.77978968900000001</v>
      </c>
      <c r="H299">
        <v>1.23</v>
      </c>
      <c r="I299">
        <v>1.1958980038552101</v>
      </c>
      <c r="J299">
        <v>1.1485668186899001</v>
      </c>
      <c r="K299">
        <v>1.0520751071958501</v>
      </c>
      <c r="L299">
        <v>1.2738242392925601</v>
      </c>
      <c r="M299">
        <v>1.1722324112725599</v>
      </c>
      <c r="N299">
        <v>1.17199350073521</v>
      </c>
      <c r="Q299">
        <f t="shared" si="20"/>
        <v>1.23</v>
      </c>
      <c r="R299">
        <f t="shared" si="22"/>
        <v>1.0305395973522602</v>
      </c>
      <c r="S299">
        <f t="shared" si="23"/>
        <v>0.19946040264773979</v>
      </c>
      <c r="T299">
        <f t="shared" si="24"/>
        <v>3.9784452224398484E-2</v>
      </c>
    </row>
    <row r="300" spans="1:20" hidden="1" x14ac:dyDescent="0.25">
      <c r="A300" t="str">
        <f t="shared" si="21"/>
        <v>BAR</v>
      </c>
      <c r="B300" t="s">
        <v>306</v>
      </c>
      <c r="C300">
        <v>2.5001397179999998</v>
      </c>
      <c r="D300">
        <v>5.9687955000000001E-2</v>
      </c>
      <c r="E300">
        <v>0.67209806000000005</v>
      </c>
      <c r="F300">
        <v>0.51172764199999998</v>
      </c>
      <c r="G300">
        <v>0.76905816100000002</v>
      </c>
      <c r="H300">
        <v>1.0900000000000001</v>
      </c>
      <c r="I300">
        <v>0.94322348119491695</v>
      </c>
      <c r="J300">
        <v>0.93181176263981902</v>
      </c>
      <c r="K300">
        <v>0.74872327465450506</v>
      </c>
      <c r="L300">
        <v>1.1814344365717899</v>
      </c>
      <c r="M300">
        <v>0.93751762191736798</v>
      </c>
      <c r="N300">
        <v>0.93750025844023199</v>
      </c>
      <c r="Q300">
        <f t="shared" si="20"/>
        <v>1.0900000000000001</v>
      </c>
      <c r="R300">
        <f t="shared" si="22"/>
        <v>0.76832825165050789</v>
      </c>
      <c r="S300">
        <f t="shared" si="23"/>
        <v>0.32167174834949219</v>
      </c>
      <c r="T300">
        <f t="shared" si="24"/>
        <v>0.10347271368621903</v>
      </c>
    </row>
    <row r="301" spans="1:20" hidden="1" x14ac:dyDescent="0.25">
      <c r="A301" t="str">
        <f t="shared" si="21"/>
        <v>BAR</v>
      </c>
      <c r="B301" t="s">
        <v>307</v>
      </c>
      <c r="C301">
        <v>2.4074674009999999</v>
      </c>
      <c r="D301">
        <v>5.9257209999999998E-2</v>
      </c>
      <c r="E301">
        <v>0.69497180599999997</v>
      </c>
      <c r="F301">
        <v>0.54306389600000005</v>
      </c>
      <c r="G301">
        <v>0.78952728800000005</v>
      </c>
      <c r="H301">
        <v>1.1399999999999999</v>
      </c>
      <c r="I301">
        <v>1.1516040065431901</v>
      </c>
      <c r="J301">
        <v>1.15339479008401</v>
      </c>
      <c r="K301">
        <v>0.97400518213141096</v>
      </c>
      <c r="L301">
        <v>1.1842406743099001</v>
      </c>
      <c r="M301">
        <v>1.1524993983136</v>
      </c>
      <c r="N301">
        <v>1.1524990504927899</v>
      </c>
      <c r="Q301">
        <f t="shared" si="20"/>
        <v>1.1399999999999999</v>
      </c>
      <c r="R301">
        <f t="shared" si="22"/>
        <v>1.0296918691165358</v>
      </c>
      <c r="S301">
        <f t="shared" si="23"/>
        <v>0.11030813088346414</v>
      </c>
      <c r="T301">
        <f t="shared" si="24"/>
        <v>1.2167883739003455E-2</v>
      </c>
    </row>
    <row r="302" spans="1:20" hidden="1" x14ac:dyDescent="0.25">
      <c r="A302" t="str">
        <f t="shared" si="21"/>
        <v>BAR</v>
      </c>
      <c r="B302" t="s">
        <v>308</v>
      </c>
      <c r="C302">
        <v>2.2418160559999998</v>
      </c>
      <c r="D302">
        <v>5.8571027999999997E-2</v>
      </c>
      <c r="E302">
        <v>0.67973821499999998</v>
      </c>
      <c r="F302">
        <v>0.582838305</v>
      </c>
      <c r="G302">
        <v>0.78776905200000003</v>
      </c>
      <c r="H302">
        <v>1.22</v>
      </c>
      <c r="I302">
        <v>1.5013948375064201</v>
      </c>
      <c r="J302">
        <v>1.43436013103694</v>
      </c>
      <c r="K302">
        <v>1.35522767019325</v>
      </c>
      <c r="L302">
        <v>1.37070735576699</v>
      </c>
      <c r="M302">
        <v>1.46787748427168</v>
      </c>
      <c r="N302">
        <v>1.46749476859848</v>
      </c>
      <c r="Q302">
        <f t="shared" si="20"/>
        <v>1.22</v>
      </c>
      <c r="R302">
        <f t="shared" si="22"/>
        <v>1.3699078025254727</v>
      </c>
      <c r="S302">
        <f t="shared" si="23"/>
        <v>-0.14990780252547276</v>
      </c>
      <c r="T302">
        <f t="shared" si="24"/>
        <v>2.2472349258016135E-2</v>
      </c>
    </row>
    <row r="303" spans="1:20" hidden="1" x14ac:dyDescent="0.25">
      <c r="A303" t="str">
        <f t="shared" si="21"/>
        <v>BAR</v>
      </c>
      <c r="B303" t="s">
        <v>309</v>
      </c>
      <c r="C303">
        <v>2.1671065899999999</v>
      </c>
      <c r="D303">
        <v>6.0501468000000003E-2</v>
      </c>
      <c r="E303">
        <v>0.684570919</v>
      </c>
      <c r="F303">
        <v>0.56354320300000005</v>
      </c>
      <c r="G303">
        <v>0.79126499900000002</v>
      </c>
      <c r="H303">
        <v>1.29</v>
      </c>
      <c r="I303">
        <v>1.5425277279606699</v>
      </c>
      <c r="J303">
        <v>1.48631644502715</v>
      </c>
      <c r="K303">
        <v>1.3836708160425799</v>
      </c>
      <c r="L303">
        <v>1.3927653493024099</v>
      </c>
      <c r="M303">
        <v>1.51442208649391</v>
      </c>
      <c r="N303">
        <v>1.5141612625405201</v>
      </c>
      <c r="Q303">
        <f t="shared" si="20"/>
        <v>1.29</v>
      </c>
      <c r="R303">
        <f t="shared" si="22"/>
        <v>1.4263158342558389</v>
      </c>
      <c r="S303">
        <f t="shared" si="23"/>
        <v>-0.13631583425583882</v>
      </c>
      <c r="T303">
        <f t="shared" si="24"/>
        <v>1.8582006668865319E-2</v>
      </c>
    </row>
    <row r="304" spans="1:20" hidden="1" x14ac:dyDescent="0.25">
      <c r="A304" t="str">
        <f t="shared" si="21"/>
        <v>BAR</v>
      </c>
      <c r="B304" t="s">
        <v>310</v>
      </c>
      <c r="C304">
        <v>2.4878598260000002</v>
      </c>
      <c r="D304">
        <v>6.1271735000000001E-2</v>
      </c>
      <c r="E304">
        <v>0.66916485800000003</v>
      </c>
      <c r="F304">
        <v>0.52901953499999999</v>
      </c>
      <c r="G304">
        <v>0.771125901</v>
      </c>
      <c r="H304">
        <v>1.21</v>
      </c>
      <c r="I304">
        <v>1.0601557024306101</v>
      </c>
      <c r="J304">
        <v>1.04002203746246</v>
      </c>
      <c r="K304">
        <v>0.80124341264722698</v>
      </c>
      <c r="L304">
        <v>0.98978484469355499</v>
      </c>
      <c r="M304">
        <v>1.0500888699465301</v>
      </c>
      <c r="N304">
        <v>1.0500406152474899</v>
      </c>
      <c r="Q304">
        <f t="shared" si="20"/>
        <v>1.21</v>
      </c>
      <c r="R304">
        <f t="shared" si="22"/>
        <v>0.88975612380216473</v>
      </c>
      <c r="S304">
        <f t="shared" si="23"/>
        <v>0.32024387619783523</v>
      </c>
      <c r="T304">
        <f t="shared" si="24"/>
        <v>0.10255614024221442</v>
      </c>
    </row>
    <row r="305" spans="1:20" hidden="1" x14ac:dyDescent="0.25">
      <c r="A305" t="str">
        <f t="shared" si="21"/>
        <v>BAR</v>
      </c>
      <c r="B305" t="s">
        <v>311</v>
      </c>
      <c r="C305">
        <v>2.266626477</v>
      </c>
      <c r="D305">
        <v>6.0148404000000003E-2</v>
      </c>
      <c r="E305">
        <v>0.68560364399999996</v>
      </c>
      <c r="F305">
        <v>0.53468763900000005</v>
      </c>
      <c r="G305">
        <v>0.78978289800000001</v>
      </c>
      <c r="H305">
        <v>1.3</v>
      </c>
      <c r="I305">
        <v>1.31038472177829</v>
      </c>
      <c r="J305">
        <v>1.2739123701350801</v>
      </c>
      <c r="K305">
        <v>1.1503084574690901</v>
      </c>
      <c r="L305">
        <v>1.2847541583416699</v>
      </c>
      <c r="M305">
        <v>1.2921485459566799</v>
      </c>
      <c r="N305">
        <v>1.2920198553851201</v>
      </c>
      <c r="Q305">
        <f t="shared" si="20"/>
        <v>1.3</v>
      </c>
      <c r="R305">
        <f t="shared" si="22"/>
        <v>1.1749378135736395</v>
      </c>
      <c r="S305">
        <f t="shared" si="23"/>
        <v>0.12506218642636058</v>
      </c>
      <c r="T305">
        <f t="shared" si="24"/>
        <v>1.5640550473741768E-2</v>
      </c>
    </row>
    <row r="306" spans="1:20" hidden="1" x14ac:dyDescent="0.25">
      <c r="A306" t="str">
        <f t="shared" si="21"/>
        <v>BAR</v>
      </c>
      <c r="B306" t="s">
        <v>312</v>
      </c>
      <c r="C306">
        <v>2.2841812180000001</v>
      </c>
      <c r="D306">
        <v>6.0045108E-2</v>
      </c>
      <c r="E306">
        <v>0.69317252799999995</v>
      </c>
      <c r="F306">
        <v>0.54427877300000005</v>
      </c>
      <c r="G306">
        <v>0.79025983700000002</v>
      </c>
      <c r="H306">
        <v>1.3</v>
      </c>
      <c r="I306">
        <v>1.31539421776365</v>
      </c>
      <c r="J306">
        <v>1.2970880445315001</v>
      </c>
      <c r="K306">
        <v>1.1598807793308801</v>
      </c>
      <c r="L306">
        <v>1.2597493558446</v>
      </c>
      <c r="M306">
        <v>1.3062411311475799</v>
      </c>
      <c r="N306">
        <v>1.3062090620214999</v>
      </c>
      <c r="Q306">
        <f t="shared" si="20"/>
        <v>1.3</v>
      </c>
      <c r="R306">
        <f t="shared" si="22"/>
        <v>1.200496706336494</v>
      </c>
      <c r="S306">
        <f t="shared" si="23"/>
        <v>9.9503293663506076E-2</v>
      </c>
      <c r="T306">
        <f t="shared" si="24"/>
        <v>9.9009054498859286E-3</v>
      </c>
    </row>
    <row r="307" spans="1:20" hidden="1" x14ac:dyDescent="0.25">
      <c r="A307" t="str">
        <f t="shared" si="21"/>
        <v>BAR</v>
      </c>
      <c r="B307" t="s">
        <v>313</v>
      </c>
      <c r="C307">
        <v>2.2095595459999999</v>
      </c>
      <c r="D307">
        <v>6.3577254E-2</v>
      </c>
      <c r="E307">
        <v>0.66102338100000002</v>
      </c>
      <c r="F307">
        <v>0.58390519100000005</v>
      </c>
      <c r="G307">
        <v>0.77399823300000004</v>
      </c>
      <c r="H307">
        <v>1.85</v>
      </c>
      <c r="I307">
        <v>1.6579232514042901</v>
      </c>
      <c r="J307">
        <v>1.56382639561001</v>
      </c>
      <c r="K307">
        <v>1.44538341890793</v>
      </c>
      <c r="L307">
        <v>1.48367144238188</v>
      </c>
      <c r="M307">
        <v>1.6108748235071499</v>
      </c>
      <c r="N307">
        <v>1.61018761094526</v>
      </c>
      <c r="Q307">
        <f t="shared" si="20"/>
        <v>1.85</v>
      </c>
      <c r="R307">
        <f t="shared" si="22"/>
        <v>1.5064458709716866</v>
      </c>
      <c r="S307">
        <f t="shared" si="23"/>
        <v>0.3435541290283135</v>
      </c>
      <c r="T307">
        <f t="shared" si="24"/>
        <v>0.11802943957240308</v>
      </c>
    </row>
    <row r="308" spans="1:20" hidden="1" x14ac:dyDescent="0.25">
      <c r="A308" t="str">
        <f t="shared" si="21"/>
        <v>BAR</v>
      </c>
      <c r="B308" t="s">
        <v>314</v>
      </c>
      <c r="C308">
        <v>2.2654919429999998</v>
      </c>
      <c r="D308">
        <v>6.0546830000000003E-2</v>
      </c>
      <c r="E308">
        <v>0.67596635800000004</v>
      </c>
      <c r="F308">
        <v>0.60705631000000004</v>
      </c>
      <c r="G308">
        <v>0.79403473300000005</v>
      </c>
      <c r="H308">
        <v>1.6</v>
      </c>
      <c r="I308">
        <v>1.60578679102039</v>
      </c>
      <c r="J308">
        <v>1.53978322569329</v>
      </c>
      <c r="K308">
        <v>1.3886429860923499</v>
      </c>
      <c r="L308">
        <v>1.3892633257184199</v>
      </c>
      <c r="M308">
        <v>1.57278500835684</v>
      </c>
      <c r="N308">
        <v>1.57243873166908</v>
      </c>
      <c r="Q308">
        <f t="shared" si="20"/>
        <v>1.6</v>
      </c>
      <c r="R308">
        <f t="shared" si="22"/>
        <v>1.4851579777439921</v>
      </c>
      <c r="S308">
        <f t="shared" si="23"/>
        <v>0.11484202225600804</v>
      </c>
      <c r="T308">
        <f t="shared" si="24"/>
        <v>1.3188690075849446E-2</v>
      </c>
    </row>
    <row r="309" spans="1:20" hidden="1" x14ac:dyDescent="0.25">
      <c r="A309" t="str">
        <f t="shared" si="21"/>
        <v>BAR</v>
      </c>
      <c r="B309" t="s">
        <v>315</v>
      </c>
      <c r="C309">
        <v>2.2878161380000002</v>
      </c>
      <c r="D309">
        <v>6.0796332000000002E-2</v>
      </c>
      <c r="E309">
        <v>0.67346008700000004</v>
      </c>
      <c r="F309">
        <v>0.57002904399999998</v>
      </c>
      <c r="G309">
        <v>0.78153786199999997</v>
      </c>
      <c r="H309">
        <v>1.52</v>
      </c>
      <c r="I309">
        <v>1.4464485709025401</v>
      </c>
      <c r="J309">
        <v>1.3844702163796401</v>
      </c>
      <c r="K309">
        <v>1.25004624061847</v>
      </c>
      <c r="L309">
        <v>1.2980325025894099</v>
      </c>
      <c r="M309">
        <v>1.41545939364109</v>
      </c>
      <c r="N309">
        <v>1.41512012420835</v>
      </c>
      <c r="Q309">
        <f t="shared" si="20"/>
        <v>1.52</v>
      </c>
      <c r="R309">
        <f t="shared" si="22"/>
        <v>1.3022741524960413</v>
      </c>
      <c r="S309">
        <f t="shared" si="23"/>
        <v>0.21772584750395874</v>
      </c>
      <c r="T309">
        <f t="shared" si="24"/>
        <v>4.7404544671317092E-2</v>
      </c>
    </row>
    <row r="310" spans="1:20" hidden="1" x14ac:dyDescent="0.25">
      <c r="A310" t="str">
        <f t="shared" si="21"/>
        <v>BAR</v>
      </c>
      <c r="B310" t="s">
        <v>316</v>
      </c>
      <c r="C310">
        <v>2.3125898359999999</v>
      </c>
      <c r="D310">
        <v>6.0069047E-2</v>
      </c>
      <c r="E310">
        <v>0.67052451499999999</v>
      </c>
      <c r="F310">
        <v>0.51840484799999997</v>
      </c>
      <c r="G310">
        <v>0.769407434</v>
      </c>
      <c r="H310">
        <v>1.18</v>
      </c>
      <c r="I310">
        <v>1.1996260762588</v>
      </c>
      <c r="J310">
        <v>1.1507406380029399</v>
      </c>
      <c r="K310">
        <v>1.0716252897259499</v>
      </c>
      <c r="L310">
        <v>1.3472475899480401</v>
      </c>
      <c r="M310">
        <v>1.1751833571308701</v>
      </c>
      <c r="N310">
        <v>1.17492913673932</v>
      </c>
      <c r="Q310">
        <f t="shared" si="20"/>
        <v>1.18</v>
      </c>
      <c r="R310">
        <f t="shared" si="22"/>
        <v>1.0314268915324121</v>
      </c>
      <c r="S310">
        <f t="shared" si="23"/>
        <v>0.14857310846758787</v>
      </c>
      <c r="T310">
        <f t="shared" si="24"/>
        <v>2.207396855972163E-2</v>
      </c>
    </row>
    <row r="311" spans="1:20" hidden="1" x14ac:dyDescent="0.25">
      <c r="A311" t="str">
        <f t="shared" si="21"/>
        <v>BAR</v>
      </c>
      <c r="B311" t="s">
        <v>317</v>
      </c>
      <c r="C311">
        <v>2.3963534019999999</v>
      </c>
      <c r="D311">
        <v>5.8577790999999997E-2</v>
      </c>
      <c r="E311">
        <v>0.67656120900000005</v>
      </c>
      <c r="F311">
        <v>0.54473318000000004</v>
      </c>
      <c r="G311">
        <v>0.78276133999999997</v>
      </c>
      <c r="H311">
        <v>1.22</v>
      </c>
      <c r="I311">
        <v>1.18154341814772</v>
      </c>
      <c r="J311">
        <v>1.13681762456991</v>
      </c>
      <c r="K311">
        <v>0.99178353973904698</v>
      </c>
      <c r="L311">
        <v>1.1154726270098501</v>
      </c>
      <c r="M311">
        <v>1.15918052135882</v>
      </c>
      <c r="N311">
        <v>1.1589647889150501</v>
      </c>
      <c r="Q311">
        <f t="shared" si="20"/>
        <v>1.22</v>
      </c>
      <c r="R311">
        <f t="shared" si="22"/>
        <v>1.0158338226614974</v>
      </c>
      <c r="S311">
        <f t="shared" si="23"/>
        <v>0.20416617733850262</v>
      </c>
      <c r="T311">
        <f t="shared" si="24"/>
        <v>4.1683827969016901E-2</v>
      </c>
    </row>
    <row r="312" spans="1:20" hidden="1" x14ac:dyDescent="0.25">
      <c r="A312" t="str">
        <f t="shared" si="21"/>
        <v>BAR</v>
      </c>
      <c r="B312" t="s">
        <v>318</v>
      </c>
      <c r="C312">
        <v>1.768113337</v>
      </c>
      <c r="D312">
        <v>4.4986699999999998E-2</v>
      </c>
      <c r="E312">
        <v>0.73516691199999995</v>
      </c>
      <c r="F312">
        <v>0.71500158700000005</v>
      </c>
      <c r="G312">
        <v>0.83959574299999995</v>
      </c>
      <c r="H312">
        <v>2.4</v>
      </c>
      <c r="I312">
        <v>2.1421569560927298</v>
      </c>
      <c r="J312">
        <v>2.1566921637438399</v>
      </c>
      <c r="K312">
        <v>2.5190524784903001</v>
      </c>
      <c r="L312">
        <v>2.2893419409448001</v>
      </c>
      <c r="M312">
        <v>2.1494245599182902</v>
      </c>
      <c r="N312">
        <v>2.1494122733237</v>
      </c>
      <c r="Q312">
        <f t="shared" si="20"/>
        <v>2.4</v>
      </c>
      <c r="R312">
        <f t="shared" si="22"/>
        <v>2.2730057593237047</v>
      </c>
      <c r="S312">
        <f t="shared" si="23"/>
        <v>0.12699424067629517</v>
      </c>
      <c r="T312">
        <f t="shared" si="24"/>
        <v>1.6127537164948781E-2</v>
      </c>
    </row>
    <row r="313" spans="1:20" hidden="1" x14ac:dyDescent="0.25">
      <c r="A313" t="str">
        <f t="shared" si="21"/>
        <v>BAR</v>
      </c>
      <c r="B313" t="s">
        <v>319</v>
      </c>
      <c r="C313">
        <v>2.0134559580000002</v>
      </c>
      <c r="D313">
        <v>4.5289902999999999E-2</v>
      </c>
      <c r="E313">
        <v>0.72973762200000003</v>
      </c>
      <c r="F313">
        <v>0.67041538300000003</v>
      </c>
      <c r="G313">
        <v>0.83607854400000003</v>
      </c>
      <c r="H313">
        <v>1.94</v>
      </c>
      <c r="I313">
        <v>1.75179482221745</v>
      </c>
      <c r="J313">
        <v>1.74952094520948</v>
      </c>
      <c r="K313">
        <v>1.94645534928505</v>
      </c>
      <c r="L313">
        <v>1.77793718636747</v>
      </c>
      <c r="M313">
        <v>1.7506578837134601</v>
      </c>
      <c r="N313">
        <v>1.75065751452959</v>
      </c>
      <c r="Q313">
        <f t="shared" si="20"/>
        <v>1.94</v>
      </c>
      <c r="R313">
        <f t="shared" si="22"/>
        <v>1.7859810854019846</v>
      </c>
      <c r="S313">
        <f t="shared" si="23"/>
        <v>0.15401891459801531</v>
      </c>
      <c r="T313">
        <f t="shared" si="24"/>
        <v>2.3721826053950734E-2</v>
      </c>
    </row>
    <row r="314" spans="1:20" hidden="1" x14ac:dyDescent="0.25">
      <c r="A314" t="str">
        <f t="shared" si="21"/>
        <v>BAR</v>
      </c>
      <c r="B314" t="s">
        <v>320</v>
      </c>
      <c r="C314">
        <v>2.0975063280000001</v>
      </c>
      <c r="D314">
        <v>4.1439182999999997E-2</v>
      </c>
      <c r="E314">
        <v>0.76145056499999997</v>
      </c>
      <c r="F314">
        <v>0.66940417699999999</v>
      </c>
      <c r="G314">
        <v>0.86892194199999995</v>
      </c>
      <c r="H314">
        <v>1.86</v>
      </c>
      <c r="I314">
        <v>1.54431994629075</v>
      </c>
      <c r="J314">
        <v>1.6076042634725201</v>
      </c>
      <c r="K314">
        <v>1.7376351011983899</v>
      </c>
      <c r="L314">
        <v>1.44319783999291</v>
      </c>
      <c r="M314">
        <v>1.5759621048816399</v>
      </c>
      <c r="N314">
        <v>1.57564441731714</v>
      </c>
      <c r="Q314">
        <f t="shared" si="20"/>
        <v>1.86</v>
      </c>
      <c r="R314">
        <f t="shared" si="22"/>
        <v>1.6248287452130024</v>
      </c>
      <c r="S314">
        <f t="shared" si="23"/>
        <v>0.23517125478699774</v>
      </c>
      <c r="T314">
        <f t="shared" si="24"/>
        <v>5.530551907809101E-2</v>
      </c>
    </row>
    <row r="315" spans="1:20" hidden="1" x14ac:dyDescent="0.25">
      <c r="A315" t="str">
        <f t="shared" si="21"/>
        <v>BAR</v>
      </c>
      <c r="B315" t="s">
        <v>321</v>
      </c>
      <c r="C315">
        <v>1.7376253129999999</v>
      </c>
      <c r="D315">
        <v>4.6908165000000002E-2</v>
      </c>
      <c r="E315">
        <v>0.74919282300000001</v>
      </c>
      <c r="F315">
        <v>0.69296506899999999</v>
      </c>
      <c r="G315">
        <v>0.85750709400000003</v>
      </c>
      <c r="H315">
        <v>2.52</v>
      </c>
      <c r="I315">
        <v>2.0994230108793102</v>
      </c>
      <c r="J315">
        <v>2.1568779576642401</v>
      </c>
      <c r="K315">
        <v>2.39377533634873</v>
      </c>
      <c r="L315">
        <v>2.1459913004839</v>
      </c>
      <c r="M315">
        <v>2.12815048427177</v>
      </c>
      <c r="N315">
        <v>2.1279565822588302</v>
      </c>
      <c r="Q315">
        <f t="shared" si="20"/>
        <v>2.52</v>
      </c>
      <c r="R315">
        <f t="shared" si="22"/>
        <v>2.267208583947709</v>
      </c>
      <c r="S315">
        <f t="shared" si="23"/>
        <v>0.25279141605229105</v>
      </c>
      <c r="T315">
        <f t="shared" si="24"/>
        <v>6.3903500029722518E-2</v>
      </c>
    </row>
    <row r="316" spans="1:20" hidden="1" x14ac:dyDescent="0.25">
      <c r="A316" t="str">
        <f t="shared" si="21"/>
        <v>BAR</v>
      </c>
      <c r="B316" t="s">
        <v>322</v>
      </c>
      <c r="C316">
        <v>2.0186921550000001</v>
      </c>
      <c r="D316">
        <v>4.5324490000000002E-2</v>
      </c>
      <c r="E316">
        <v>0.75483465699999996</v>
      </c>
      <c r="F316">
        <v>0.67735893400000002</v>
      </c>
      <c r="G316">
        <v>0.86020295300000005</v>
      </c>
      <c r="H316">
        <v>2.08</v>
      </c>
      <c r="I316">
        <v>1.7277901174146399</v>
      </c>
      <c r="J316">
        <v>1.79009886646072</v>
      </c>
      <c r="K316">
        <v>1.8693065509365701</v>
      </c>
      <c r="L316">
        <v>1.6634417709790199</v>
      </c>
      <c r="M316">
        <v>1.75894449193768</v>
      </c>
      <c r="N316">
        <v>1.7586685676004901</v>
      </c>
      <c r="Q316">
        <f t="shared" si="20"/>
        <v>2.08</v>
      </c>
      <c r="R316">
        <f t="shared" si="22"/>
        <v>1.8303574775467646</v>
      </c>
      <c r="S316">
        <f t="shared" si="23"/>
        <v>0.24964252245323548</v>
      </c>
      <c r="T316">
        <f t="shared" si="24"/>
        <v>6.232138901681418E-2</v>
      </c>
    </row>
    <row r="317" spans="1:20" hidden="1" x14ac:dyDescent="0.25">
      <c r="A317" t="str">
        <f t="shared" si="21"/>
        <v>BAR</v>
      </c>
      <c r="B317" t="s">
        <v>323</v>
      </c>
      <c r="C317">
        <v>1.751019917</v>
      </c>
      <c r="D317">
        <v>4.2939112000000002E-2</v>
      </c>
      <c r="E317">
        <v>0.74368906300000004</v>
      </c>
      <c r="F317">
        <v>0.69471548000000005</v>
      </c>
      <c r="G317">
        <v>0.84521850399999998</v>
      </c>
      <c r="H317">
        <v>2.12</v>
      </c>
      <c r="I317">
        <v>2.04744000953167</v>
      </c>
      <c r="J317">
        <v>2.0643735629088802</v>
      </c>
      <c r="K317">
        <v>2.4584156980016898</v>
      </c>
      <c r="L317">
        <v>2.24280945735191</v>
      </c>
      <c r="M317">
        <v>2.0559067862202798</v>
      </c>
      <c r="N317">
        <v>2.0558893519154</v>
      </c>
      <c r="Q317">
        <f t="shared" si="20"/>
        <v>2.12</v>
      </c>
      <c r="R317">
        <f t="shared" si="22"/>
        <v>2.1713660559530155</v>
      </c>
      <c r="S317">
        <f t="shared" si="23"/>
        <v>-5.1366055953015355E-2</v>
      </c>
      <c r="T317">
        <f t="shared" si="24"/>
        <v>2.6384717041683043E-3</v>
      </c>
    </row>
    <row r="318" spans="1:20" hidden="1" x14ac:dyDescent="0.25">
      <c r="A318" t="str">
        <f t="shared" si="21"/>
        <v>BAR</v>
      </c>
      <c r="B318" t="s">
        <v>324</v>
      </c>
      <c r="C318">
        <v>1.9098250699999999</v>
      </c>
      <c r="D318">
        <v>4.4675864000000003E-2</v>
      </c>
      <c r="E318">
        <v>0.74054562400000001</v>
      </c>
      <c r="F318">
        <v>0.61847997499999996</v>
      </c>
      <c r="G318">
        <v>0.84273510500000004</v>
      </c>
      <c r="H318">
        <v>1.83</v>
      </c>
      <c r="I318">
        <v>1.6731253517112299</v>
      </c>
      <c r="J318">
        <v>1.6583373674208</v>
      </c>
      <c r="K318">
        <v>1.8229678616976801</v>
      </c>
      <c r="L318">
        <v>1.6703341625165899</v>
      </c>
      <c r="M318">
        <v>1.6657313595660099</v>
      </c>
      <c r="N318">
        <v>1.6657149489398799</v>
      </c>
      <c r="Q318">
        <f t="shared" si="20"/>
        <v>1.83</v>
      </c>
      <c r="R318">
        <f t="shared" si="22"/>
        <v>1.6851440237010853</v>
      </c>
      <c r="S318">
        <f t="shared" si="23"/>
        <v>0.14485597629891478</v>
      </c>
      <c r="T318">
        <f t="shared" si="24"/>
        <v>2.0983253869511762E-2</v>
      </c>
    </row>
    <row r="319" spans="1:20" hidden="1" x14ac:dyDescent="0.25">
      <c r="A319" t="str">
        <f t="shared" si="21"/>
        <v>BAR</v>
      </c>
      <c r="B319" t="s">
        <v>325</v>
      </c>
      <c r="C319">
        <v>2.0158830640000001</v>
      </c>
      <c r="D319">
        <v>4.0553436999999998E-2</v>
      </c>
      <c r="E319">
        <v>0.75527979599999995</v>
      </c>
      <c r="F319">
        <v>0.70894710299999997</v>
      </c>
      <c r="G319">
        <v>0.859509576</v>
      </c>
      <c r="H319">
        <v>2.25</v>
      </c>
      <c r="I319">
        <v>1.74280833135636</v>
      </c>
      <c r="J319">
        <v>1.8122950524780199</v>
      </c>
      <c r="K319">
        <v>2.0580697845156299</v>
      </c>
      <c r="L319">
        <v>1.74820490019027</v>
      </c>
      <c r="M319">
        <v>1.7775516919171901</v>
      </c>
      <c r="N319">
        <v>1.77721211911651</v>
      </c>
      <c r="Q319">
        <f t="shared" si="20"/>
        <v>2.25</v>
      </c>
      <c r="R319">
        <f t="shared" si="22"/>
        <v>1.8707425536874247</v>
      </c>
      <c r="S319">
        <f t="shared" si="23"/>
        <v>0.3792574463125753</v>
      </c>
      <c r="T319">
        <f t="shared" si="24"/>
        <v>0.14383621058353593</v>
      </c>
    </row>
    <row r="320" spans="1:20" hidden="1" x14ac:dyDescent="0.25">
      <c r="A320" t="str">
        <f t="shared" si="21"/>
        <v>BAR</v>
      </c>
      <c r="B320" t="s">
        <v>326</v>
      </c>
      <c r="C320">
        <v>1.835349321</v>
      </c>
      <c r="D320">
        <v>4.2221939999999999E-2</v>
      </c>
      <c r="E320">
        <v>0.75303737199999998</v>
      </c>
      <c r="F320">
        <v>0.70652797199999995</v>
      </c>
      <c r="G320">
        <v>0.85619979000000002</v>
      </c>
      <c r="H320">
        <v>1.92</v>
      </c>
      <c r="I320">
        <v>1.95746594359939</v>
      </c>
      <c r="J320">
        <v>2.0158403313269502</v>
      </c>
      <c r="K320">
        <v>2.4322522622311702</v>
      </c>
      <c r="L320">
        <v>2.1051235387949601</v>
      </c>
      <c r="M320">
        <v>1.98665313746317</v>
      </c>
      <c r="N320">
        <v>1.9864387220114901</v>
      </c>
      <c r="Q320">
        <f t="shared" si="20"/>
        <v>1.92</v>
      </c>
      <c r="R320">
        <f t="shared" si="22"/>
        <v>2.1120056032851657</v>
      </c>
      <c r="S320">
        <f t="shared" si="23"/>
        <v>-0.1920056032851658</v>
      </c>
      <c r="T320">
        <f t="shared" si="24"/>
        <v>3.6866151692900473E-2</v>
      </c>
    </row>
    <row r="321" spans="1:20" hidden="1" x14ac:dyDescent="0.25">
      <c r="A321" t="str">
        <f t="shared" si="21"/>
        <v>BAR</v>
      </c>
      <c r="B321" t="s">
        <v>327</v>
      </c>
      <c r="C321">
        <v>1.867955399</v>
      </c>
      <c r="D321">
        <v>4.4003906000000002E-2</v>
      </c>
      <c r="E321">
        <v>0.75459643799999998</v>
      </c>
      <c r="F321">
        <v>0.73060740099999999</v>
      </c>
      <c r="G321">
        <v>0.86242599399999997</v>
      </c>
      <c r="H321">
        <v>1.94</v>
      </c>
      <c r="I321">
        <v>2.0137610914581701</v>
      </c>
      <c r="J321">
        <v>2.1090412080700101</v>
      </c>
      <c r="K321">
        <v>2.38844193763122</v>
      </c>
      <c r="L321">
        <v>2.0618970411706798</v>
      </c>
      <c r="M321">
        <v>2.0614011497640901</v>
      </c>
      <c r="N321">
        <v>2.0608505829131101</v>
      </c>
      <c r="Q321">
        <f t="shared" ref="Q321:Q384" si="25">H321</f>
        <v>1.94</v>
      </c>
      <c r="R321">
        <f t="shared" si="22"/>
        <v>2.2137225420892017</v>
      </c>
      <c r="S321">
        <f t="shared" si="23"/>
        <v>-0.27372254208920177</v>
      </c>
      <c r="T321">
        <f t="shared" si="24"/>
        <v>7.4924030047774828E-2</v>
      </c>
    </row>
    <row r="322" spans="1:20" hidden="1" x14ac:dyDescent="0.25">
      <c r="A322" t="str">
        <f t="shared" si="21"/>
        <v>BAR</v>
      </c>
      <c r="B322" t="s">
        <v>328</v>
      </c>
      <c r="C322">
        <v>1.8715447519999999</v>
      </c>
      <c r="D322">
        <v>4.6626867000000002E-2</v>
      </c>
      <c r="E322">
        <v>0.75715433600000004</v>
      </c>
      <c r="F322">
        <v>0.71881829100000005</v>
      </c>
      <c r="G322">
        <v>0.850774739</v>
      </c>
      <c r="H322">
        <v>2.52</v>
      </c>
      <c r="I322">
        <v>2.0524816091727698</v>
      </c>
      <c r="J322">
        <v>2.1184506450162401</v>
      </c>
      <c r="K322">
        <v>2.3609497041516998</v>
      </c>
      <c r="L322">
        <v>2.1747161711596101</v>
      </c>
      <c r="M322">
        <v>2.0854661270945001</v>
      </c>
      <c r="N322">
        <v>2.08520526299835</v>
      </c>
      <c r="Q322">
        <f t="shared" si="25"/>
        <v>2.52</v>
      </c>
      <c r="R322">
        <f t="shared" si="22"/>
        <v>2.2161298205380686</v>
      </c>
      <c r="S322">
        <f t="shared" si="23"/>
        <v>0.3038701794619314</v>
      </c>
      <c r="T322">
        <f t="shared" si="24"/>
        <v>9.233708596622639E-2</v>
      </c>
    </row>
    <row r="323" spans="1:20" hidden="1" x14ac:dyDescent="0.25">
      <c r="A323" t="str">
        <f t="shared" ref="A323:A386" si="26">LEFT(B323,3)</f>
        <v>BAR</v>
      </c>
      <c r="B323" t="s">
        <v>329</v>
      </c>
      <c r="C323">
        <v>1.843482208</v>
      </c>
      <c r="D323">
        <v>5.1262428999999998E-2</v>
      </c>
      <c r="E323">
        <v>0.75135057699999996</v>
      </c>
      <c r="F323">
        <v>0.65682446800000005</v>
      </c>
      <c r="G323">
        <v>0.84808238199999997</v>
      </c>
      <c r="H323">
        <v>2.09</v>
      </c>
      <c r="I323">
        <v>1.9744992913542001</v>
      </c>
      <c r="J323">
        <v>2.0126507084493701</v>
      </c>
      <c r="K323">
        <v>2.1153967593749101</v>
      </c>
      <c r="L323">
        <v>1.93364445682047</v>
      </c>
      <c r="M323">
        <v>1.99357499990178</v>
      </c>
      <c r="N323">
        <v>1.9934837339634399</v>
      </c>
      <c r="Q323">
        <f t="shared" si="25"/>
        <v>2.09</v>
      </c>
      <c r="R323">
        <f t="shared" ref="R323:R386" si="27">$X$2*F323+$X$3*D323*E323+($X$4/(D323-$X$5))-$X$6*C323</f>
        <v>2.0795708202609111</v>
      </c>
      <c r="S323">
        <f t="shared" ref="S323:S386" si="28">Q323-R323</f>
        <v>1.0429179739088745E-2</v>
      </c>
      <c r="T323">
        <f t="shared" ref="T323:T386" si="29">S323^2</f>
        <v>1.0876779003021919E-4</v>
      </c>
    </row>
    <row r="324" spans="1:20" hidden="1" x14ac:dyDescent="0.25">
      <c r="A324" t="str">
        <f t="shared" si="26"/>
        <v>BAR</v>
      </c>
      <c r="B324" t="s">
        <v>330</v>
      </c>
      <c r="C324">
        <v>2.1143282370000001</v>
      </c>
      <c r="D324">
        <v>3.9328649E-2</v>
      </c>
      <c r="E324">
        <v>0.74952877799999995</v>
      </c>
      <c r="F324">
        <v>0.68219906500000005</v>
      </c>
      <c r="G324">
        <v>0.85174601900000002</v>
      </c>
      <c r="H324">
        <v>2.14</v>
      </c>
      <c r="I324">
        <v>1.55492975898463</v>
      </c>
      <c r="J324">
        <v>1.58734992622883</v>
      </c>
      <c r="K324">
        <v>1.82903623097038</v>
      </c>
      <c r="L324">
        <v>1.55901307556581</v>
      </c>
      <c r="M324">
        <v>1.57113984260673</v>
      </c>
      <c r="N324">
        <v>1.5710562173949301</v>
      </c>
      <c r="Q324">
        <f t="shared" si="25"/>
        <v>2.14</v>
      </c>
      <c r="R324">
        <f t="shared" si="27"/>
        <v>1.6077093219019645</v>
      </c>
      <c r="S324">
        <f t="shared" si="28"/>
        <v>0.53229067809803565</v>
      </c>
      <c r="T324">
        <f t="shared" si="29"/>
        <v>0.28333336599006659</v>
      </c>
    </row>
    <row r="325" spans="1:20" hidden="1" x14ac:dyDescent="0.25">
      <c r="A325" t="str">
        <f t="shared" si="26"/>
        <v>BAR</v>
      </c>
      <c r="B325" t="s">
        <v>331</v>
      </c>
      <c r="C325">
        <v>1.8790216989999999</v>
      </c>
      <c r="D325">
        <v>4.3972283000000001E-2</v>
      </c>
      <c r="E325">
        <v>0.76196259</v>
      </c>
      <c r="F325">
        <v>0.68225407000000005</v>
      </c>
      <c r="G325">
        <v>0.86167945000000001</v>
      </c>
      <c r="H325">
        <v>2.09</v>
      </c>
      <c r="I325">
        <v>1.8596600773026899</v>
      </c>
      <c r="J325">
        <v>1.9253289972220999</v>
      </c>
      <c r="K325">
        <v>2.2080500803155099</v>
      </c>
      <c r="L325">
        <v>1.9256845132389899</v>
      </c>
      <c r="M325">
        <v>1.8924945372624</v>
      </c>
      <c r="N325">
        <v>1.8922096796621599</v>
      </c>
      <c r="Q325">
        <f t="shared" si="25"/>
        <v>2.09</v>
      </c>
      <c r="R325">
        <f t="shared" si="27"/>
        <v>1.9981418905676307</v>
      </c>
      <c r="S325">
        <f t="shared" si="28"/>
        <v>9.1858109432369162E-2</v>
      </c>
      <c r="T325">
        <f t="shared" si="29"/>
        <v>8.4379122684891082E-3</v>
      </c>
    </row>
    <row r="326" spans="1:20" hidden="1" x14ac:dyDescent="0.25">
      <c r="A326" t="str">
        <f t="shared" si="26"/>
        <v>BAR</v>
      </c>
      <c r="B326" t="s">
        <v>332</v>
      </c>
      <c r="C326">
        <v>1.8446663000000001</v>
      </c>
      <c r="D326">
        <v>4.1569074999999997E-2</v>
      </c>
      <c r="E326">
        <v>0.75146277100000003</v>
      </c>
      <c r="F326">
        <v>0.72051111400000001</v>
      </c>
      <c r="G326">
        <v>0.85426636499999997</v>
      </c>
      <c r="H326">
        <v>1.85</v>
      </c>
      <c r="I326">
        <v>1.9835046755844301</v>
      </c>
      <c r="J326">
        <v>2.0436081766024898</v>
      </c>
      <c r="K326">
        <v>2.4134502650378402</v>
      </c>
      <c r="L326">
        <v>2.1419747030015599</v>
      </c>
      <c r="M326">
        <v>2.01355642609346</v>
      </c>
      <c r="N326">
        <v>2.0133321567375901</v>
      </c>
      <c r="Q326">
        <f t="shared" si="25"/>
        <v>1.85</v>
      </c>
      <c r="R326">
        <f t="shared" si="27"/>
        <v>2.1460725839077415</v>
      </c>
      <c r="S326">
        <f t="shared" si="28"/>
        <v>-0.29607258390774138</v>
      </c>
      <c r="T326">
        <f t="shared" si="29"/>
        <v>8.7658974941806564E-2</v>
      </c>
    </row>
    <row r="327" spans="1:20" hidden="1" x14ac:dyDescent="0.25">
      <c r="A327" t="str">
        <f t="shared" si="26"/>
        <v>BAR</v>
      </c>
      <c r="B327" t="s">
        <v>333</v>
      </c>
      <c r="C327">
        <v>1.93119058</v>
      </c>
      <c r="D327">
        <v>4.1444808E-2</v>
      </c>
      <c r="E327">
        <v>0.73370071400000003</v>
      </c>
      <c r="F327">
        <v>0.66148342400000004</v>
      </c>
      <c r="G327">
        <v>0.83388321099999996</v>
      </c>
      <c r="H327">
        <v>2.0099999999999998</v>
      </c>
      <c r="I327">
        <v>1.75132697516559</v>
      </c>
      <c r="J327">
        <v>1.7251141252865101</v>
      </c>
      <c r="K327">
        <v>2.13138688373837</v>
      </c>
      <c r="L327">
        <v>1.9427541178265499</v>
      </c>
      <c r="M327">
        <v>1.7382205502260499</v>
      </c>
      <c r="N327">
        <v>1.73817113738937</v>
      </c>
      <c r="Q327">
        <f t="shared" si="25"/>
        <v>2.0099999999999998</v>
      </c>
      <c r="R327">
        <f t="shared" si="27"/>
        <v>1.7723877320205972</v>
      </c>
      <c r="S327">
        <f t="shared" si="28"/>
        <v>0.2376122679794026</v>
      </c>
      <c r="T327">
        <f t="shared" si="29"/>
        <v>5.6459589894315439E-2</v>
      </c>
    </row>
    <row r="328" spans="1:20" hidden="1" x14ac:dyDescent="0.25">
      <c r="A328" t="str">
        <f t="shared" si="26"/>
        <v>BAR</v>
      </c>
      <c r="B328" t="s">
        <v>334</v>
      </c>
      <c r="C328">
        <v>2.1425219109999998</v>
      </c>
      <c r="D328">
        <v>4.5195538E-2</v>
      </c>
      <c r="E328">
        <v>0.73308480300000001</v>
      </c>
      <c r="F328">
        <v>0.64983340599999995</v>
      </c>
      <c r="G328">
        <v>0.831672933</v>
      </c>
      <c r="H328">
        <v>1.97</v>
      </c>
      <c r="I328">
        <v>1.5523666232178699</v>
      </c>
      <c r="J328">
        <v>1.5455638788524799</v>
      </c>
      <c r="K328">
        <v>1.6922243742585401</v>
      </c>
      <c r="L328">
        <v>1.5813356978842299</v>
      </c>
      <c r="M328">
        <v>1.5489652510351699</v>
      </c>
      <c r="N328">
        <v>1.5489615164947499</v>
      </c>
      <c r="Q328">
        <f t="shared" si="25"/>
        <v>1.97</v>
      </c>
      <c r="R328">
        <f t="shared" si="27"/>
        <v>1.5418507868468843</v>
      </c>
      <c r="S328">
        <f t="shared" si="28"/>
        <v>0.42814921315311572</v>
      </c>
      <c r="T328">
        <f t="shared" si="29"/>
        <v>0.18331174872363212</v>
      </c>
    </row>
    <row r="329" spans="1:20" hidden="1" x14ac:dyDescent="0.25">
      <c r="A329" t="str">
        <f t="shared" si="26"/>
        <v>BAR</v>
      </c>
      <c r="B329" t="s">
        <v>335</v>
      </c>
      <c r="C329">
        <v>1.8148329459999999</v>
      </c>
      <c r="D329">
        <v>4.5098603000000001E-2</v>
      </c>
      <c r="E329">
        <v>0.72849872500000001</v>
      </c>
      <c r="F329">
        <v>0.67430251200000002</v>
      </c>
      <c r="G329">
        <v>0.83365902700000005</v>
      </c>
      <c r="H329">
        <v>1.91</v>
      </c>
      <c r="I329">
        <v>1.97692750730013</v>
      </c>
      <c r="J329">
        <v>1.95758673039901</v>
      </c>
      <c r="K329">
        <v>2.3166433924276002</v>
      </c>
      <c r="L329">
        <v>2.1418287703138001</v>
      </c>
      <c r="M329">
        <v>1.96725711884957</v>
      </c>
      <c r="N329">
        <v>1.96723335048274</v>
      </c>
      <c r="Q329">
        <f t="shared" si="25"/>
        <v>1.91</v>
      </c>
      <c r="R329">
        <f t="shared" si="27"/>
        <v>2.0388026554478484</v>
      </c>
      <c r="S329">
        <f t="shared" si="28"/>
        <v>-0.12880265544784852</v>
      </c>
      <c r="T329">
        <f t="shared" si="29"/>
        <v>1.6590124050417182E-2</v>
      </c>
    </row>
    <row r="330" spans="1:20" hidden="1" x14ac:dyDescent="0.25">
      <c r="A330" t="str">
        <f t="shared" si="26"/>
        <v>BAR</v>
      </c>
      <c r="B330" t="s">
        <v>336</v>
      </c>
      <c r="C330">
        <v>1.742873721</v>
      </c>
      <c r="D330">
        <v>4.3067156000000002E-2</v>
      </c>
      <c r="E330">
        <v>0.73579682000000002</v>
      </c>
      <c r="F330">
        <v>0.67799744100000003</v>
      </c>
      <c r="G330">
        <v>0.83892704399999996</v>
      </c>
      <c r="H330">
        <v>2.2400000000000002</v>
      </c>
      <c r="I330">
        <v>2.0188649679851398</v>
      </c>
      <c r="J330">
        <v>2.00783791134142</v>
      </c>
      <c r="K330">
        <v>2.4975550219039402</v>
      </c>
      <c r="L330">
        <v>2.3001300451650102</v>
      </c>
      <c r="M330">
        <v>2.0133514396632801</v>
      </c>
      <c r="N330">
        <v>2.0133438902978402</v>
      </c>
      <c r="Q330">
        <f t="shared" si="25"/>
        <v>2.2400000000000002</v>
      </c>
      <c r="R330">
        <f t="shared" si="27"/>
        <v>2.1061672734027996</v>
      </c>
      <c r="S330">
        <f t="shared" si="28"/>
        <v>0.13383272659720058</v>
      </c>
      <c r="T330">
        <f t="shared" si="29"/>
        <v>1.7911198708441038E-2</v>
      </c>
    </row>
    <row r="331" spans="1:20" hidden="1" x14ac:dyDescent="0.25">
      <c r="A331" t="str">
        <f t="shared" si="26"/>
        <v>BAR</v>
      </c>
      <c r="B331" t="s">
        <v>337</v>
      </c>
      <c r="C331">
        <v>2.116878459</v>
      </c>
      <c r="D331">
        <v>4.2884113000000001E-2</v>
      </c>
      <c r="E331">
        <v>0.74189818100000005</v>
      </c>
      <c r="F331">
        <v>0.67679201899999997</v>
      </c>
      <c r="G331">
        <v>0.83988110199999999</v>
      </c>
      <c r="H331">
        <v>2.12</v>
      </c>
      <c r="I331">
        <v>1.61521520966877</v>
      </c>
      <c r="J331">
        <v>1.6302583739223999</v>
      </c>
      <c r="K331">
        <v>1.8592342567953699</v>
      </c>
      <c r="L331">
        <v>1.6571844234073401</v>
      </c>
      <c r="M331">
        <v>1.6227367917955799</v>
      </c>
      <c r="N331">
        <v>1.6227193599785901</v>
      </c>
      <c r="Q331">
        <f t="shared" si="25"/>
        <v>2.12</v>
      </c>
      <c r="R331">
        <f t="shared" si="27"/>
        <v>1.6479630516291399</v>
      </c>
      <c r="S331">
        <f t="shared" si="28"/>
        <v>0.47203694837086019</v>
      </c>
      <c r="T331">
        <f t="shared" si="29"/>
        <v>0.22281888062727412</v>
      </c>
    </row>
    <row r="332" spans="1:20" hidden="1" x14ac:dyDescent="0.25">
      <c r="A332" t="str">
        <f t="shared" si="26"/>
        <v>BAR</v>
      </c>
      <c r="B332" t="s">
        <v>338</v>
      </c>
      <c r="C332">
        <v>1.934320797</v>
      </c>
      <c r="D332">
        <v>4.3853573E-2</v>
      </c>
      <c r="E332">
        <v>0.72438479200000006</v>
      </c>
      <c r="F332">
        <v>0.67714798899999995</v>
      </c>
      <c r="G332">
        <v>0.82984693099999995</v>
      </c>
      <c r="H332">
        <v>2.1</v>
      </c>
      <c r="I332">
        <v>1.84599260682455</v>
      </c>
      <c r="J332">
        <v>1.8204205096330901</v>
      </c>
      <c r="K332">
        <v>2.13659657244028</v>
      </c>
      <c r="L332">
        <v>1.99284636820665</v>
      </c>
      <c r="M332">
        <v>1.8332065582288199</v>
      </c>
      <c r="N332">
        <v>1.8331619683198901</v>
      </c>
      <c r="Q332">
        <f t="shared" si="25"/>
        <v>2.1</v>
      </c>
      <c r="R332">
        <f t="shared" si="27"/>
        <v>1.8772975295630787</v>
      </c>
      <c r="S332">
        <f t="shared" si="28"/>
        <v>0.22270247043692137</v>
      </c>
      <c r="T332">
        <f t="shared" si="29"/>
        <v>4.9596390338707837E-2</v>
      </c>
    </row>
    <row r="333" spans="1:20" hidden="1" x14ac:dyDescent="0.25">
      <c r="A333" t="str">
        <f t="shared" si="26"/>
        <v>BAR</v>
      </c>
      <c r="B333" t="s">
        <v>339</v>
      </c>
      <c r="C333">
        <v>1.939897239</v>
      </c>
      <c r="D333">
        <v>4.2333409000000002E-2</v>
      </c>
      <c r="E333">
        <v>0.73985637599999998</v>
      </c>
      <c r="F333">
        <v>0.64535725300000002</v>
      </c>
      <c r="G333">
        <v>0.84351305300000001</v>
      </c>
      <c r="H333">
        <v>2.11</v>
      </c>
      <c r="I333">
        <v>1.6860086321804399</v>
      </c>
      <c r="J333">
        <v>1.6792646807836999</v>
      </c>
      <c r="K333">
        <v>2.0207030254660898</v>
      </c>
      <c r="L333">
        <v>1.84430099000953</v>
      </c>
      <c r="M333">
        <v>1.6826366564820701</v>
      </c>
      <c r="N333">
        <v>1.6826332777872399</v>
      </c>
      <c r="Q333">
        <f t="shared" si="25"/>
        <v>2.11</v>
      </c>
      <c r="R333">
        <f t="shared" si="27"/>
        <v>1.7152626701334261</v>
      </c>
      <c r="S333">
        <f t="shared" si="28"/>
        <v>0.39473732986657373</v>
      </c>
      <c r="T333">
        <f t="shared" si="29"/>
        <v>0.15581755959019225</v>
      </c>
    </row>
    <row r="334" spans="1:20" hidden="1" x14ac:dyDescent="0.25">
      <c r="A334" t="str">
        <f t="shared" si="26"/>
        <v>BAR</v>
      </c>
      <c r="B334" t="s">
        <v>340</v>
      </c>
      <c r="C334">
        <v>2.0083416270000001</v>
      </c>
      <c r="D334">
        <v>4.6126217999999997E-2</v>
      </c>
      <c r="E334">
        <v>0.72761273500000001</v>
      </c>
      <c r="F334">
        <v>0.61482137699999995</v>
      </c>
      <c r="G334">
        <v>0.82561482100000005</v>
      </c>
      <c r="H334">
        <v>2.2000000000000002</v>
      </c>
      <c r="I334">
        <v>1.6056112581917601</v>
      </c>
      <c r="J334">
        <v>1.5657571830996899</v>
      </c>
      <c r="K334">
        <v>1.8365034973619401</v>
      </c>
      <c r="L334">
        <v>1.7086099423763399</v>
      </c>
      <c r="M334">
        <v>1.58568422064572</v>
      </c>
      <c r="N334">
        <v>1.5855590057703599</v>
      </c>
      <c r="Q334">
        <f t="shared" si="25"/>
        <v>2.2000000000000002</v>
      </c>
      <c r="R334">
        <f t="shared" si="27"/>
        <v>1.5694194950802509</v>
      </c>
      <c r="S334">
        <f t="shared" si="28"/>
        <v>0.63058050491974926</v>
      </c>
      <c r="T334">
        <f t="shared" si="29"/>
        <v>0.39763177318484594</v>
      </c>
    </row>
    <row r="335" spans="1:20" hidden="1" x14ac:dyDescent="0.25">
      <c r="A335" t="str">
        <f t="shared" si="26"/>
        <v>BAR</v>
      </c>
      <c r="B335" t="s">
        <v>341</v>
      </c>
      <c r="C335">
        <v>1.947068644</v>
      </c>
      <c r="D335">
        <v>4.4038517999999999E-2</v>
      </c>
      <c r="E335">
        <v>0.73794002299999994</v>
      </c>
      <c r="F335">
        <v>0.70824998699999997</v>
      </c>
      <c r="G335">
        <v>0.84559627000000004</v>
      </c>
      <c r="H335">
        <v>2.2799999999999998</v>
      </c>
      <c r="I335">
        <v>1.90053900848591</v>
      </c>
      <c r="J335">
        <v>1.9358789845945901</v>
      </c>
      <c r="K335">
        <v>2.2450557405964702</v>
      </c>
      <c r="L335">
        <v>1.9739902517627299</v>
      </c>
      <c r="M335">
        <v>1.91820899654025</v>
      </c>
      <c r="N335">
        <v>1.9181276093967501</v>
      </c>
      <c r="Q335">
        <f t="shared" si="25"/>
        <v>2.2799999999999998</v>
      </c>
      <c r="R335">
        <f t="shared" si="27"/>
        <v>2.009521297688297</v>
      </c>
      <c r="S335">
        <f t="shared" si="28"/>
        <v>0.27047870231170279</v>
      </c>
      <c r="T335">
        <f t="shared" si="29"/>
        <v>7.3158728404222731E-2</v>
      </c>
    </row>
    <row r="336" spans="1:20" hidden="1" x14ac:dyDescent="0.25">
      <c r="A336" t="str">
        <f t="shared" si="26"/>
        <v>BAR</v>
      </c>
      <c r="B336" t="s">
        <v>342</v>
      </c>
      <c r="C336">
        <v>2.101058578</v>
      </c>
      <c r="D336">
        <v>4.4831171000000003E-2</v>
      </c>
      <c r="E336">
        <v>0.73185540100000002</v>
      </c>
      <c r="F336">
        <v>0.64982273300000004</v>
      </c>
      <c r="G336">
        <v>0.83447717300000002</v>
      </c>
      <c r="H336">
        <v>2.2000000000000002</v>
      </c>
      <c r="I336">
        <v>1.5867316956399999</v>
      </c>
      <c r="J336">
        <v>1.57865636772039</v>
      </c>
      <c r="K336">
        <v>1.74524882535974</v>
      </c>
      <c r="L336">
        <v>1.60401603785294</v>
      </c>
      <c r="M336">
        <v>1.5826940316801901</v>
      </c>
      <c r="N336">
        <v>1.58268888136167</v>
      </c>
      <c r="Q336">
        <f t="shared" si="25"/>
        <v>2.2000000000000002</v>
      </c>
      <c r="R336">
        <f t="shared" si="27"/>
        <v>1.5836444221134052</v>
      </c>
      <c r="S336">
        <f t="shared" si="28"/>
        <v>0.61635557788659501</v>
      </c>
      <c r="T336">
        <f t="shared" si="29"/>
        <v>0.37989419839191846</v>
      </c>
    </row>
    <row r="337" spans="1:20" hidden="1" x14ac:dyDescent="0.25">
      <c r="A337" t="str">
        <f t="shared" si="26"/>
        <v>BAR</v>
      </c>
      <c r="B337" t="s">
        <v>343</v>
      </c>
      <c r="C337">
        <v>1.81300836</v>
      </c>
      <c r="D337">
        <v>4.5649549999999997E-2</v>
      </c>
      <c r="E337">
        <v>0.72407323000000001</v>
      </c>
      <c r="F337">
        <v>0.68488039999999994</v>
      </c>
      <c r="G337">
        <v>0.83808521899999999</v>
      </c>
      <c r="H337">
        <v>2.64</v>
      </c>
      <c r="I337">
        <v>2.0104781342782498</v>
      </c>
      <c r="J337">
        <v>2.0059260072021998</v>
      </c>
      <c r="K337">
        <v>2.2660706726075599</v>
      </c>
      <c r="L337">
        <v>2.0731322701267398</v>
      </c>
      <c r="M337">
        <v>2.0082020707402202</v>
      </c>
      <c r="N337">
        <v>2.0082007809131301</v>
      </c>
      <c r="Q337">
        <f t="shared" si="25"/>
        <v>2.64</v>
      </c>
      <c r="R337">
        <f t="shared" si="27"/>
        <v>2.0940966278499089</v>
      </c>
      <c r="S337">
        <f t="shared" si="28"/>
        <v>0.54590337215009122</v>
      </c>
      <c r="T337">
        <f t="shared" si="29"/>
        <v>0.29801049172484101</v>
      </c>
    </row>
    <row r="338" spans="1:20" hidden="1" x14ac:dyDescent="0.25">
      <c r="A338" t="str">
        <f t="shared" si="26"/>
        <v>BAR</v>
      </c>
      <c r="B338" t="s">
        <v>344</v>
      </c>
      <c r="C338">
        <v>1.8920436380000001</v>
      </c>
      <c r="D338">
        <v>4.8558737999999997E-2</v>
      </c>
      <c r="E338">
        <v>0.718011391</v>
      </c>
      <c r="F338">
        <v>0.60678300399999996</v>
      </c>
      <c r="G338">
        <v>0.81820237600000001</v>
      </c>
      <c r="H338">
        <v>1.74</v>
      </c>
      <c r="I338">
        <v>1.7577214495769999</v>
      </c>
      <c r="J338">
        <v>1.6944827280625701</v>
      </c>
      <c r="K338">
        <v>1.92326746483399</v>
      </c>
      <c r="L338">
        <v>1.8199168835234001</v>
      </c>
      <c r="M338">
        <v>1.72610208881979</v>
      </c>
      <c r="N338">
        <v>1.7258124570918301</v>
      </c>
      <c r="Q338">
        <f t="shared" si="25"/>
        <v>1.74</v>
      </c>
      <c r="R338">
        <f t="shared" si="27"/>
        <v>1.7185856656493321</v>
      </c>
      <c r="S338">
        <f t="shared" si="28"/>
        <v>2.1414334350667863E-2</v>
      </c>
      <c r="T338">
        <f t="shared" si="29"/>
        <v>4.5857371568219362E-4</v>
      </c>
    </row>
    <row r="339" spans="1:20" hidden="1" x14ac:dyDescent="0.25">
      <c r="A339" t="str">
        <f t="shared" si="26"/>
        <v>BAR</v>
      </c>
      <c r="B339" t="s">
        <v>345</v>
      </c>
      <c r="C339">
        <v>1.942243385</v>
      </c>
      <c r="D339">
        <v>4.5544948000000002E-2</v>
      </c>
      <c r="E339">
        <v>0.73293492699999996</v>
      </c>
      <c r="F339">
        <v>0.664295313</v>
      </c>
      <c r="G339">
        <v>0.83803615399999998</v>
      </c>
      <c r="H339">
        <v>2.2200000000000002</v>
      </c>
      <c r="I339">
        <v>1.80823013695835</v>
      </c>
      <c r="J339">
        <v>1.8059361160690499</v>
      </c>
      <c r="K339">
        <v>2.0533439647131</v>
      </c>
      <c r="L339">
        <v>1.86011726798024</v>
      </c>
      <c r="M339">
        <v>1.8070831265137</v>
      </c>
      <c r="N339">
        <v>1.8070827624925101</v>
      </c>
      <c r="Q339">
        <f t="shared" si="25"/>
        <v>2.2200000000000002</v>
      </c>
      <c r="R339">
        <f t="shared" si="27"/>
        <v>1.8540357432316412</v>
      </c>
      <c r="S339">
        <f t="shared" si="28"/>
        <v>0.36596425676835898</v>
      </c>
      <c r="T339">
        <f t="shared" si="29"/>
        <v>0.13392983723201737</v>
      </c>
    </row>
    <row r="340" spans="1:20" hidden="1" x14ac:dyDescent="0.25">
      <c r="A340" t="str">
        <f t="shared" si="26"/>
        <v>BAR</v>
      </c>
      <c r="B340" t="s">
        <v>346</v>
      </c>
      <c r="C340">
        <v>1.9298178239999999</v>
      </c>
      <c r="D340">
        <v>4.7704806000000002E-2</v>
      </c>
      <c r="E340">
        <v>0.73816059599999995</v>
      </c>
      <c r="F340">
        <v>0.67505240099999997</v>
      </c>
      <c r="G340">
        <v>0.84278940400000002</v>
      </c>
      <c r="H340">
        <v>2.2200000000000002</v>
      </c>
      <c r="I340">
        <v>1.88520110188209</v>
      </c>
      <c r="J340">
        <v>1.90648625736652</v>
      </c>
      <c r="K340">
        <v>2.0996496663444102</v>
      </c>
      <c r="L340">
        <v>1.90535328416176</v>
      </c>
      <c r="M340">
        <v>1.8958436796242999</v>
      </c>
      <c r="N340">
        <v>1.8958138076062201</v>
      </c>
      <c r="Q340">
        <f t="shared" si="25"/>
        <v>2.2200000000000002</v>
      </c>
      <c r="R340">
        <f t="shared" si="27"/>
        <v>1.9646960398479294</v>
      </c>
      <c r="S340">
        <f t="shared" si="28"/>
        <v>0.2553039601520708</v>
      </c>
      <c r="T340">
        <f t="shared" si="29"/>
        <v>6.5180112069330151E-2</v>
      </c>
    </row>
    <row r="341" spans="1:20" hidden="1" x14ac:dyDescent="0.25">
      <c r="A341" t="str">
        <f t="shared" si="26"/>
        <v>BAR</v>
      </c>
      <c r="B341" t="s">
        <v>347</v>
      </c>
      <c r="C341">
        <v>2.1916334989999999</v>
      </c>
      <c r="D341">
        <v>4.7556336999999997E-2</v>
      </c>
      <c r="E341">
        <v>0.72900832100000001</v>
      </c>
      <c r="F341">
        <v>0.65813387300000004</v>
      </c>
      <c r="G341">
        <v>0.83441738499999996</v>
      </c>
      <c r="H341">
        <v>1.76</v>
      </c>
      <c r="I341">
        <v>1.5639447553355299</v>
      </c>
      <c r="J341">
        <v>1.57194558018001</v>
      </c>
      <c r="K341">
        <v>1.63100685979842</v>
      </c>
      <c r="L341">
        <v>1.4599980929460401</v>
      </c>
      <c r="M341">
        <v>1.56794516775777</v>
      </c>
      <c r="N341">
        <v>1.5679400644780399</v>
      </c>
      <c r="Q341">
        <f t="shared" si="25"/>
        <v>1.76</v>
      </c>
      <c r="R341">
        <f t="shared" si="27"/>
        <v>1.5634993882660218</v>
      </c>
      <c r="S341">
        <f t="shared" si="28"/>
        <v>0.19650061173397826</v>
      </c>
      <c r="T341">
        <f t="shared" si="29"/>
        <v>3.8612490411827675E-2</v>
      </c>
    </row>
    <row r="342" spans="1:20" hidden="1" x14ac:dyDescent="0.25">
      <c r="A342" t="str">
        <f t="shared" si="26"/>
        <v>BAR</v>
      </c>
      <c r="B342" t="s">
        <v>348</v>
      </c>
      <c r="C342">
        <v>2.4592240379999999</v>
      </c>
      <c r="D342">
        <v>6.0124542000000003E-2</v>
      </c>
      <c r="E342">
        <v>0.73899589099999996</v>
      </c>
      <c r="F342">
        <v>0.63220785899999998</v>
      </c>
      <c r="G342">
        <v>0.83301316599999997</v>
      </c>
      <c r="H342">
        <v>1.47</v>
      </c>
      <c r="I342">
        <v>1.3974587653632</v>
      </c>
      <c r="J342">
        <v>1.49428046771932</v>
      </c>
      <c r="K342">
        <v>1.0458242171260499</v>
      </c>
      <c r="L342">
        <v>1.2705732774444201</v>
      </c>
      <c r="M342">
        <v>1.4458696165412599</v>
      </c>
      <c r="N342">
        <v>1.4450589391181901</v>
      </c>
      <c r="Q342">
        <f t="shared" si="25"/>
        <v>1.47</v>
      </c>
      <c r="R342">
        <f t="shared" si="27"/>
        <v>1.4157931986879508</v>
      </c>
      <c r="S342">
        <f t="shared" si="28"/>
        <v>5.4206801312049135E-2</v>
      </c>
      <c r="T342">
        <f t="shared" si="29"/>
        <v>2.9383773084839717E-3</v>
      </c>
    </row>
    <row r="343" spans="1:20" hidden="1" x14ac:dyDescent="0.25">
      <c r="A343" t="str">
        <f t="shared" si="26"/>
        <v>BAR</v>
      </c>
      <c r="B343" t="s">
        <v>349</v>
      </c>
      <c r="C343">
        <v>2.4717164949999999</v>
      </c>
      <c r="D343">
        <v>5.9786802E-2</v>
      </c>
      <c r="E343">
        <v>0.74026258300000003</v>
      </c>
      <c r="F343">
        <v>0.63828450299999995</v>
      </c>
      <c r="G343">
        <v>0.83678202199999996</v>
      </c>
      <c r="H343">
        <v>1.5</v>
      </c>
      <c r="I343">
        <v>1.3996539157129899</v>
      </c>
      <c r="J343">
        <v>1.49749398383479</v>
      </c>
      <c r="K343">
        <v>1.03264577681273</v>
      </c>
      <c r="L343">
        <v>1.2319891073485001</v>
      </c>
      <c r="M343">
        <v>1.4485739497738901</v>
      </c>
      <c r="N343">
        <v>1.4477476707738199</v>
      </c>
      <c r="Q343">
        <f t="shared" si="25"/>
        <v>1.5</v>
      </c>
      <c r="R343">
        <f t="shared" si="27"/>
        <v>1.4200730244241808</v>
      </c>
      <c r="S343">
        <f t="shared" si="28"/>
        <v>7.9926975575819181E-2</v>
      </c>
      <c r="T343">
        <f t="shared" si="29"/>
        <v>6.3883214246975963E-3</v>
      </c>
    </row>
    <row r="344" spans="1:20" hidden="1" x14ac:dyDescent="0.25">
      <c r="A344" t="str">
        <f t="shared" si="26"/>
        <v>BAR</v>
      </c>
      <c r="B344" t="s">
        <v>350</v>
      </c>
      <c r="C344">
        <v>2.3637432770000002</v>
      </c>
      <c r="D344">
        <v>6.5249353999999996E-2</v>
      </c>
      <c r="E344">
        <v>0.73008911300000001</v>
      </c>
      <c r="F344">
        <v>0.58019314</v>
      </c>
      <c r="G344">
        <v>0.82230177599999998</v>
      </c>
      <c r="H344">
        <v>1.18</v>
      </c>
      <c r="I344">
        <v>1.4233269851103401</v>
      </c>
      <c r="J344">
        <v>1.5128126068987899</v>
      </c>
      <c r="K344">
        <v>1.0174386134701601</v>
      </c>
      <c r="L344">
        <v>1.1982627529079899</v>
      </c>
      <c r="M344">
        <v>1.4680697960045599</v>
      </c>
      <c r="N344">
        <v>1.4673878174546</v>
      </c>
      <c r="Q344">
        <f t="shared" si="25"/>
        <v>1.18</v>
      </c>
      <c r="R344">
        <f t="shared" si="27"/>
        <v>1.4226274790471263</v>
      </c>
      <c r="S344">
        <f t="shared" si="28"/>
        <v>-0.24262747904712634</v>
      </c>
      <c r="T344">
        <f t="shared" si="29"/>
        <v>5.8868093588763729E-2</v>
      </c>
    </row>
    <row r="345" spans="1:20" hidden="1" x14ac:dyDescent="0.25">
      <c r="A345" t="str">
        <f t="shared" si="26"/>
        <v>BAR</v>
      </c>
      <c r="B345" t="s">
        <v>351</v>
      </c>
      <c r="C345">
        <v>2.301262345</v>
      </c>
      <c r="D345">
        <v>6.3549969999999997E-2</v>
      </c>
      <c r="E345">
        <v>0.73553823100000004</v>
      </c>
      <c r="F345">
        <v>0.53807157900000002</v>
      </c>
      <c r="G345">
        <v>0.82140391499999998</v>
      </c>
      <c r="H345">
        <v>1.1599999999999999</v>
      </c>
      <c r="I345">
        <v>1.29900726595197</v>
      </c>
      <c r="J345">
        <v>1.3848107119647299</v>
      </c>
      <c r="K345">
        <v>1.01850774449151</v>
      </c>
      <c r="L345">
        <v>1.36849993274502</v>
      </c>
      <c r="M345">
        <v>1.34190898895835</v>
      </c>
      <c r="N345">
        <v>1.3412230153148701</v>
      </c>
      <c r="Q345">
        <f t="shared" si="25"/>
        <v>1.1599999999999999</v>
      </c>
      <c r="R345">
        <f t="shared" si="27"/>
        <v>1.282381371297475</v>
      </c>
      <c r="S345">
        <f t="shared" si="28"/>
        <v>-0.12238137129747506</v>
      </c>
      <c r="T345">
        <f t="shared" si="29"/>
        <v>1.4977200040650453E-2</v>
      </c>
    </row>
    <row r="346" spans="1:20" hidden="1" x14ac:dyDescent="0.25">
      <c r="A346" t="str">
        <f t="shared" si="26"/>
        <v>BAR</v>
      </c>
      <c r="B346" t="s">
        <v>352</v>
      </c>
      <c r="C346">
        <v>2.2359815119999999</v>
      </c>
      <c r="D346">
        <v>6.7514794000000003E-2</v>
      </c>
      <c r="E346">
        <v>0.729344769</v>
      </c>
      <c r="F346">
        <v>0.44929677000000001</v>
      </c>
      <c r="G346">
        <v>0.79997057999999999</v>
      </c>
      <c r="H346">
        <v>1.19</v>
      </c>
      <c r="I346">
        <v>1.0778036762755201</v>
      </c>
      <c r="J346">
        <v>1.21611257181234</v>
      </c>
      <c r="K346">
        <v>0.75936246328017398</v>
      </c>
      <c r="L346">
        <v>0.91894010699059103</v>
      </c>
      <c r="M346">
        <v>1.1469581240439299</v>
      </c>
      <c r="N346">
        <v>1.1448714341201001</v>
      </c>
      <c r="Q346">
        <f t="shared" si="25"/>
        <v>1.19</v>
      </c>
      <c r="R346">
        <f t="shared" si="27"/>
        <v>1.0726600691225574</v>
      </c>
      <c r="S346">
        <f t="shared" si="28"/>
        <v>0.11733993087744254</v>
      </c>
      <c r="T346">
        <f t="shared" si="29"/>
        <v>1.3768659378322994E-2</v>
      </c>
    </row>
    <row r="347" spans="1:20" hidden="1" x14ac:dyDescent="0.25">
      <c r="A347" t="str">
        <f t="shared" si="26"/>
        <v>BAR</v>
      </c>
      <c r="B347" t="s">
        <v>353</v>
      </c>
      <c r="C347">
        <v>2.312608633</v>
      </c>
      <c r="D347">
        <v>6.2668190999999998E-2</v>
      </c>
      <c r="E347">
        <v>0.75992346499999996</v>
      </c>
      <c r="F347">
        <v>0.59585895700000002</v>
      </c>
      <c r="G347">
        <v>0.85150407500000003</v>
      </c>
      <c r="H347">
        <v>1.65</v>
      </c>
      <c r="I347">
        <v>1.4764744445071201</v>
      </c>
      <c r="J347">
        <v>1.59064388840421</v>
      </c>
      <c r="K347">
        <v>1.10375008460821</v>
      </c>
      <c r="L347">
        <v>1.3213072671373201</v>
      </c>
      <c r="M347">
        <v>1.53355916645567</v>
      </c>
      <c r="N347">
        <v>1.5324963463383099</v>
      </c>
      <c r="Q347">
        <f t="shared" si="25"/>
        <v>1.65</v>
      </c>
      <c r="R347">
        <f t="shared" si="27"/>
        <v>1.5221064401684901</v>
      </c>
      <c r="S347">
        <f t="shared" si="28"/>
        <v>0.12789355983150985</v>
      </c>
      <c r="T347">
        <f t="shared" si="29"/>
        <v>1.6356762646375991E-2</v>
      </c>
    </row>
    <row r="348" spans="1:20" hidden="1" x14ac:dyDescent="0.25">
      <c r="A348" t="str">
        <f t="shared" si="26"/>
        <v>BAR</v>
      </c>
      <c r="B348" t="s">
        <v>354</v>
      </c>
      <c r="C348">
        <v>2.2942955490000001</v>
      </c>
      <c r="D348">
        <v>6.2452911999999999E-2</v>
      </c>
      <c r="E348">
        <v>0.74331285899999999</v>
      </c>
      <c r="F348">
        <v>0.59766794000000001</v>
      </c>
      <c r="G348">
        <v>0.83748192399999999</v>
      </c>
      <c r="H348">
        <v>1.38</v>
      </c>
      <c r="I348">
        <v>1.50651048831472</v>
      </c>
      <c r="J348">
        <v>1.5924340934293499</v>
      </c>
      <c r="K348">
        <v>1.17410746152116</v>
      </c>
      <c r="L348">
        <v>1.40257964615469</v>
      </c>
      <c r="M348">
        <v>1.54947229087204</v>
      </c>
      <c r="N348">
        <v>1.54887658117142</v>
      </c>
      <c r="Q348">
        <f t="shared" si="25"/>
        <v>1.38</v>
      </c>
      <c r="R348">
        <f t="shared" si="27"/>
        <v>1.528324538916471</v>
      </c>
      <c r="S348">
        <f t="shared" si="28"/>
        <v>-0.14832453891647113</v>
      </c>
      <c r="T348">
        <f t="shared" si="29"/>
        <v>2.2000168844783757E-2</v>
      </c>
    </row>
    <row r="349" spans="1:20" hidden="1" x14ac:dyDescent="0.25">
      <c r="A349" t="str">
        <f t="shared" si="26"/>
        <v>BAR</v>
      </c>
      <c r="B349" t="s">
        <v>355</v>
      </c>
      <c r="C349">
        <v>2.311578796</v>
      </c>
      <c r="D349">
        <v>6.6290422000000002E-2</v>
      </c>
      <c r="E349">
        <v>0.73832686000000003</v>
      </c>
      <c r="F349">
        <v>0.56382654700000001</v>
      </c>
      <c r="G349">
        <v>0.82042496899999995</v>
      </c>
      <c r="H349">
        <v>1.17</v>
      </c>
      <c r="I349">
        <v>1.42516599472967</v>
      </c>
      <c r="J349">
        <v>1.54032489995352</v>
      </c>
      <c r="K349">
        <v>1.0929389401787999</v>
      </c>
      <c r="L349">
        <v>1.4248748048203601</v>
      </c>
      <c r="M349">
        <v>1.4827454473416</v>
      </c>
      <c r="N349">
        <v>1.4816270341247</v>
      </c>
      <c r="Q349">
        <f t="shared" si="25"/>
        <v>1.17</v>
      </c>
      <c r="R349">
        <f t="shared" si="27"/>
        <v>1.4514789444572647</v>
      </c>
      <c r="S349">
        <f t="shared" si="28"/>
        <v>-0.28147894445726473</v>
      </c>
      <c r="T349">
        <f t="shared" si="29"/>
        <v>7.9230396172775927E-2</v>
      </c>
    </row>
    <row r="350" spans="1:20" hidden="1" x14ac:dyDescent="0.25">
      <c r="A350" t="str">
        <f t="shared" si="26"/>
        <v>BAR</v>
      </c>
      <c r="B350" t="s">
        <v>356</v>
      </c>
      <c r="C350">
        <v>2.1695526979999999</v>
      </c>
      <c r="D350">
        <v>6.6008915000000001E-2</v>
      </c>
      <c r="E350">
        <v>0.73804126699999995</v>
      </c>
      <c r="F350">
        <v>0.54091590700000003</v>
      </c>
      <c r="G350">
        <v>0.81972869800000003</v>
      </c>
      <c r="H350">
        <v>1.1399999999999999</v>
      </c>
      <c r="I350">
        <v>1.50184933461292</v>
      </c>
      <c r="J350">
        <v>1.59076691746846</v>
      </c>
      <c r="K350">
        <v>1.24458058313922</v>
      </c>
      <c r="L350">
        <v>1.54874947582305</v>
      </c>
      <c r="M350">
        <v>1.5463081260406899</v>
      </c>
      <c r="N350">
        <v>1.54566886380112</v>
      </c>
      <c r="Q350">
        <f t="shared" si="25"/>
        <v>1.1399999999999999</v>
      </c>
      <c r="R350">
        <f t="shared" si="27"/>
        <v>1.5182406768471739</v>
      </c>
      <c r="S350">
        <f t="shared" si="28"/>
        <v>-0.378240676847174</v>
      </c>
      <c r="T350">
        <f t="shared" si="29"/>
        <v>0.14306600962180829</v>
      </c>
    </row>
    <row r="351" spans="1:20" hidden="1" x14ac:dyDescent="0.25">
      <c r="A351" t="str">
        <f t="shared" si="26"/>
        <v>BAR</v>
      </c>
      <c r="B351" t="s">
        <v>357</v>
      </c>
      <c r="C351">
        <v>2.0884227279999998</v>
      </c>
      <c r="D351">
        <v>6.5927711E-2</v>
      </c>
      <c r="E351">
        <v>0.73510122600000005</v>
      </c>
      <c r="F351">
        <v>0.49871753000000002</v>
      </c>
      <c r="G351">
        <v>0.81792442200000004</v>
      </c>
      <c r="H351">
        <v>1.35</v>
      </c>
      <c r="I351">
        <v>1.4418879998040699</v>
      </c>
      <c r="J351">
        <v>1.5115286705006801</v>
      </c>
      <c r="K351">
        <v>1.1731827341166301</v>
      </c>
      <c r="L351">
        <v>1.29453993929933</v>
      </c>
      <c r="M351">
        <v>1.47670833515238</v>
      </c>
      <c r="N351">
        <v>1.47629775159171</v>
      </c>
      <c r="Q351">
        <f t="shared" si="25"/>
        <v>1.35</v>
      </c>
      <c r="R351">
        <f t="shared" si="27"/>
        <v>1.4303482729637214</v>
      </c>
      <c r="S351">
        <f t="shared" si="28"/>
        <v>-8.0348272963721268E-2</v>
      </c>
      <c r="T351">
        <f t="shared" si="29"/>
        <v>6.4558449682526617E-3</v>
      </c>
    </row>
    <row r="352" spans="1:20" hidden="1" x14ac:dyDescent="0.25">
      <c r="A352" t="str">
        <f t="shared" si="26"/>
        <v>BAR</v>
      </c>
      <c r="B352" t="s">
        <v>358</v>
      </c>
      <c r="C352">
        <v>2.3229115610000002</v>
      </c>
      <c r="D352">
        <v>7.0141813999999997E-2</v>
      </c>
      <c r="E352">
        <v>0.72123333099999998</v>
      </c>
      <c r="F352">
        <v>0.52578270599999999</v>
      </c>
      <c r="G352">
        <v>0.80801108799999999</v>
      </c>
      <c r="H352">
        <v>1.35</v>
      </c>
      <c r="I352">
        <v>1.3565185045863699</v>
      </c>
      <c r="J352">
        <v>1.46880121865159</v>
      </c>
      <c r="K352">
        <v>0.92332555346289302</v>
      </c>
      <c r="L352">
        <v>1.18900175195091</v>
      </c>
      <c r="M352">
        <v>1.4126598616189801</v>
      </c>
      <c r="N352">
        <v>1.4115438472324899</v>
      </c>
      <c r="Q352">
        <f t="shared" si="25"/>
        <v>1.35</v>
      </c>
      <c r="R352">
        <f t="shared" si="27"/>
        <v>1.3528572620689316</v>
      </c>
      <c r="S352">
        <f t="shared" si="28"/>
        <v>-2.8572620689315542E-3</v>
      </c>
      <c r="T352">
        <f t="shared" si="29"/>
        <v>8.163946530555025E-6</v>
      </c>
    </row>
    <row r="353" spans="1:20" hidden="1" x14ac:dyDescent="0.25">
      <c r="A353" t="str">
        <f t="shared" si="26"/>
        <v>BAR</v>
      </c>
      <c r="B353" t="s">
        <v>359</v>
      </c>
      <c r="C353">
        <v>2.5564241480000001</v>
      </c>
      <c r="D353">
        <v>6.8216196000000007E-2</v>
      </c>
      <c r="E353">
        <v>0.74014676899999998</v>
      </c>
      <c r="F353">
        <v>0.58673771299999999</v>
      </c>
      <c r="G353">
        <v>0.82599019900000004</v>
      </c>
      <c r="H353">
        <v>1.45</v>
      </c>
      <c r="I353">
        <v>1.2657618503169299</v>
      </c>
      <c r="J353">
        <v>1.43118725880036</v>
      </c>
      <c r="K353">
        <v>0.74876619268724598</v>
      </c>
      <c r="L353">
        <v>1.0711852382586899</v>
      </c>
      <c r="M353">
        <v>1.3484745545586401</v>
      </c>
      <c r="N353">
        <v>1.34593544899046</v>
      </c>
      <c r="Q353">
        <f t="shared" si="25"/>
        <v>1.45</v>
      </c>
      <c r="R353">
        <f t="shared" si="27"/>
        <v>1.3038758169667903</v>
      </c>
      <c r="S353">
        <f t="shared" si="28"/>
        <v>0.14612418303320962</v>
      </c>
      <c r="T353">
        <f t="shared" si="29"/>
        <v>2.1352276867122946E-2</v>
      </c>
    </row>
    <row r="354" spans="1:20" hidden="1" x14ac:dyDescent="0.25">
      <c r="A354" t="str">
        <f t="shared" si="26"/>
        <v>BAR</v>
      </c>
      <c r="B354" t="s">
        <v>360</v>
      </c>
      <c r="C354">
        <v>2.436223059</v>
      </c>
      <c r="D354">
        <v>6.6742868999999996E-2</v>
      </c>
      <c r="E354">
        <v>0.74682748899999996</v>
      </c>
      <c r="F354">
        <v>0.62904177400000005</v>
      </c>
      <c r="G354">
        <v>0.83690668999999995</v>
      </c>
      <c r="H354">
        <v>1.71</v>
      </c>
      <c r="I354">
        <v>1.5322478926508101</v>
      </c>
      <c r="J354">
        <v>1.6764686595949401</v>
      </c>
      <c r="K354">
        <v>1.0610953667498699</v>
      </c>
      <c r="L354">
        <v>1.2575435444754599</v>
      </c>
      <c r="M354">
        <v>1.6043582761228801</v>
      </c>
      <c r="N354">
        <v>1.6027369000430101</v>
      </c>
      <c r="Q354">
        <f t="shared" si="25"/>
        <v>1.71</v>
      </c>
      <c r="R354">
        <f t="shared" si="27"/>
        <v>1.601271851541449</v>
      </c>
      <c r="S354">
        <f t="shared" si="28"/>
        <v>0.10872814845855094</v>
      </c>
      <c r="T354">
        <f t="shared" si="29"/>
        <v>1.1821810267224694E-2</v>
      </c>
    </row>
    <row r="355" spans="1:20" hidden="1" x14ac:dyDescent="0.25">
      <c r="A355" t="str">
        <f t="shared" si="26"/>
        <v>BAR</v>
      </c>
      <c r="B355" t="s">
        <v>361</v>
      </c>
      <c r="C355">
        <v>2.3918461799999999</v>
      </c>
      <c r="D355">
        <v>6.7883341E-2</v>
      </c>
      <c r="E355">
        <v>0.74199631600000004</v>
      </c>
      <c r="F355">
        <v>0.59628813800000002</v>
      </c>
      <c r="G355">
        <v>0.831657219</v>
      </c>
      <c r="H355">
        <v>1.45</v>
      </c>
      <c r="I355">
        <v>1.49258251379941</v>
      </c>
      <c r="J355">
        <v>1.62435802284118</v>
      </c>
      <c r="K355">
        <v>1.0414013645079101</v>
      </c>
      <c r="L355">
        <v>1.33309442347795</v>
      </c>
      <c r="M355">
        <v>1.55847026832029</v>
      </c>
      <c r="N355">
        <v>1.5570768706273099</v>
      </c>
      <c r="Q355">
        <f t="shared" si="25"/>
        <v>1.45</v>
      </c>
      <c r="R355">
        <f t="shared" si="27"/>
        <v>1.5382200074690568</v>
      </c>
      <c r="S355">
        <f t="shared" si="28"/>
        <v>-8.8220007469056894E-2</v>
      </c>
      <c r="T355">
        <f t="shared" si="29"/>
        <v>7.7827697178404539E-3</v>
      </c>
    </row>
    <row r="356" spans="1:20" hidden="1" x14ac:dyDescent="0.25">
      <c r="A356" t="str">
        <f t="shared" si="26"/>
        <v>BAR</v>
      </c>
      <c r="B356" t="s">
        <v>362</v>
      </c>
      <c r="C356">
        <v>2.3738783840000002</v>
      </c>
      <c r="D356">
        <v>7.0666454000000004E-2</v>
      </c>
      <c r="E356">
        <v>0.74467757800000001</v>
      </c>
      <c r="F356">
        <v>0.53677776499999996</v>
      </c>
      <c r="G356">
        <v>0.82254403399999998</v>
      </c>
      <c r="H356">
        <v>1.34</v>
      </c>
      <c r="I356">
        <v>1.3247926695396799</v>
      </c>
      <c r="J356">
        <v>1.5007107036322</v>
      </c>
      <c r="K356">
        <v>0.86466433295303302</v>
      </c>
      <c r="L356">
        <v>1.1491656796306799</v>
      </c>
      <c r="M356">
        <v>1.41275168658594</v>
      </c>
      <c r="N356">
        <v>1.4100108294873801</v>
      </c>
      <c r="Q356">
        <f t="shared" si="25"/>
        <v>1.34</v>
      </c>
      <c r="R356">
        <f t="shared" si="27"/>
        <v>1.3814123895161234</v>
      </c>
      <c r="S356">
        <f t="shared" si="28"/>
        <v>-4.141238951612336E-2</v>
      </c>
      <c r="T356">
        <f t="shared" si="29"/>
        <v>1.7149860054351241E-3</v>
      </c>
    </row>
    <row r="357" spans="1:20" hidden="1" x14ac:dyDescent="0.25">
      <c r="A357" t="str">
        <f t="shared" si="26"/>
        <v>BAR</v>
      </c>
      <c r="B357" t="s">
        <v>363</v>
      </c>
      <c r="C357">
        <v>2.0620063069999999</v>
      </c>
      <c r="D357">
        <v>6.4017954000000002E-2</v>
      </c>
      <c r="E357">
        <v>0.73542372199999995</v>
      </c>
      <c r="F357">
        <v>0.51380879199999996</v>
      </c>
      <c r="G357">
        <v>0.83313361100000005</v>
      </c>
      <c r="H357">
        <v>1.48</v>
      </c>
      <c r="I357">
        <v>1.51860688060961</v>
      </c>
      <c r="J357">
        <v>1.54628549979602</v>
      </c>
      <c r="K357">
        <v>1.2206566709217099</v>
      </c>
      <c r="L357">
        <v>1.2866882350283</v>
      </c>
      <c r="M357">
        <v>1.5324461902028199</v>
      </c>
      <c r="N357">
        <v>1.53238369848322</v>
      </c>
      <c r="Q357">
        <f t="shared" si="25"/>
        <v>1.48</v>
      </c>
      <c r="R357">
        <f t="shared" si="27"/>
        <v>1.4801142548211108</v>
      </c>
      <c r="S357">
        <f t="shared" si="28"/>
        <v>-1.142548211108263E-4</v>
      </c>
      <c r="T357">
        <f t="shared" si="29"/>
        <v>1.3054164147066919E-8</v>
      </c>
    </row>
    <row r="358" spans="1:20" hidden="1" x14ac:dyDescent="0.25">
      <c r="A358" t="str">
        <f t="shared" si="26"/>
        <v>BAR</v>
      </c>
      <c r="B358" t="s">
        <v>364</v>
      </c>
      <c r="C358">
        <v>1.99393826</v>
      </c>
      <c r="D358">
        <v>6.2074198999999997E-2</v>
      </c>
      <c r="E358">
        <v>0.73442114199999997</v>
      </c>
      <c r="F358">
        <v>0.61454914999999999</v>
      </c>
      <c r="G358">
        <v>0.840836747</v>
      </c>
      <c r="H358">
        <v>1.61</v>
      </c>
      <c r="I358">
        <v>1.90724947346671</v>
      </c>
      <c r="J358">
        <v>1.93612542776103</v>
      </c>
      <c r="K358">
        <v>1.57087665925562</v>
      </c>
      <c r="L358">
        <v>1.4827399924551701</v>
      </c>
      <c r="M358">
        <v>1.9216874506138699</v>
      </c>
      <c r="N358">
        <v>1.9216332123125699</v>
      </c>
      <c r="Q358">
        <f t="shared" si="25"/>
        <v>1.61</v>
      </c>
      <c r="R358">
        <f t="shared" si="27"/>
        <v>1.946265638515754</v>
      </c>
      <c r="S358">
        <f t="shared" si="28"/>
        <v>-0.33626563851575386</v>
      </c>
      <c r="T358">
        <f t="shared" si="29"/>
        <v>0.11307457964640764</v>
      </c>
    </row>
    <row r="359" spans="1:20" hidden="1" x14ac:dyDescent="0.25">
      <c r="A359" t="str">
        <f t="shared" si="26"/>
        <v>BAR</v>
      </c>
      <c r="B359" t="s">
        <v>365</v>
      </c>
      <c r="C359">
        <v>2.005774143</v>
      </c>
      <c r="D359">
        <v>5.7767290999999998E-2</v>
      </c>
      <c r="E359">
        <v>0.72683995999999995</v>
      </c>
      <c r="F359">
        <v>0.61118879100000001</v>
      </c>
      <c r="G359">
        <v>0.83666090900000001</v>
      </c>
      <c r="H359">
        <v>1.72</v>
      </c>
      <c r="I359">
        <v>1.8000229240585499</v>
      </c>
      <c r="J359">
        <v>1.8037855335797399</v>
      </c>
      <c r="K359">
        <v>1.56192194867</v>
      </c>
      <c r="L359">
        <v>1.4860158539227599</v>
      </c>
      <c r="M359">
        <v>1.80190422881915</v>
      </c>
      <c r="N359">
        <v>1.8019032467168501</v>
      </c>
      <c r="Q359">
        <f t="shared" si="25"/>
        <v>1.72</v>
      </c>
      <c r="R359">
        <f t="shared" si="27"/>
        <v>1.8086529485843927</v>
      </c>
      <c r="S359">
        <f t="shared" si="28"/>
        <v>-8.8652948584392766E-2</v>
      </c>
      <c r="T359">
        <f t="shared" si="29"/>
        <v>7.8593452927069873E-3</v>
      </c>
    </row>
    <row r="360" spans="1:20" hidden="1" x14ac:dyDescent="0.25">
      <c r="A360" t="str">
        <f t="shared" si="26"/>
        <v>BAR</v>
      </c>
      <c r="B360" t="s">
        <v>366</v>
      </c>
      <c r="C360">
        <v>2.0442625329999999</v>
      </c>
      <c r="D360">
        <v>5.8364340000000001E-2</v>
      </c>
      <c r="E360">
        <v>0.72643999800000003</v>
      </c>
      <c r="F360">
        <v>0.60965080100000002</v>
      </c>
      <c r="G360">
        <v>0.83561219600000003</v>
      </c>
      <c r="H360">
        <v>1.67</v>
      </c>
      <c r="I360">
        <v>1.7653506583798499</v>
      </c>
      <c r="J360">
        <v>1.77282770569907</v>
      </c>
      <c r="K360">
        <v>1.4669635256273199</v>
      </c>
      <c r="L360">
        <v>1.36132211708339</v>
      </c>
      <c r="M360">
        <v>1.7690891820394601</v>
      </c>
      <c r="N360">
        <v>1.76908523182177</v>
      </c>
      <c r="Q360">
        <f t="shared" si="25"/>
        <v>1.67</v>
      </c>
      <c r="R360">
        <f t="shared" si="27"/>
        <v>1.7685928408057632</v>
      </c>
      <c r="S360">
        <f t="shared" si="28"/>
        <v>-9.8592840805763249E-2</v>
      </c>
      <c r="T360">
        <f t="shared" si="29"/>
        <v>9.7205482581505746E-3</v>
      </c>
    </row>
    <row r="361" spans="1:20" hidden="1" x14ac:dyDescent="0.25">
      <c r="A361" t="str">
        <f t="shared" si="26"/>
        <v>BAR</v>
      </c>
      <c r="B361" t="s">
        <v>367</v>
      </c>
      <c r="C361">
        <v>1.9380519460000001</v>
      </c>
      <c r="D361">
        <v>5.8436662E-2</v>
      </c>
      <c r="E361">
        <v>0.71443591100000003</v>
      </c>
      <c r="F361">
        <v>0.58681261200000001</v>
      </c>
      <c r="G361">
        <v>0.82612759300000005</v>
      </c>
      <c r="H361">
        <v>1.65</v>
      </c>
      <c r="I361">
        <v>1.8160672333524901</v>
      </c>
      <c r="J361">
        <v>1.7847181921942099</v>
      </c>
      <c r="K361">
        <v>1.5621397049496799</v>
      </c>
      <c r="L361">
        <v>1.4316617008786501</v>
      </c>
      <c r="M361">
        <v>1.8003927127733499</v>
      </c>
      <c r="N361">
        <v>1.8003244789792701</v>
      </c>
      <c r="Q361">
        <f t="shared" si="25"/>
        <v>1.65</v>
      </c>
      <c r="R361">
        <f t="shared" si="27"/>
        <v>1.7887883195514633</v>
      </c>
      <c r="S361">
        <f t="shared" si="28"/>
        <v>-0.13878831955146342</v>
      </c>
      <c r="T361">
        <f t="shared" si="29"/>
        <v>1.9262197643919125E-2</v>
      </c>
    </row>
    <row r="362" spans="1:20" hidden="1" x14ac:dyDescent="0.25">
      <c r="A362" t="str">
        <f t="shared" si="26"/>
        <v>BAR</v>
      </c>
      <c r="B362" t="s">
        <v>368</v>
      </c>
      <c r="C362">
        <v>1.947972772</v>
      </c>
      <c r="D362">
        <v>6.4165285000000002E-2</v>
      </c>
      <c r="E362">
        <v>0.73076348300000005</v>
      </c>
      <c r="F362">
        <v>0.59990644000000004</v>
      </c>
      <c r="G362">
        <v>0.83983159200000002</v>
      </c>
      <c r="H362">
        <v>1.36</v>
      </c>
      <c r="I362">
        <v>1.9608832052440299</v>
      </c>
      <c r="J362">
        <v>1.9749865613441799</v>
      </c>
      <c r="K362">
        <v>1.66797947320276</v>
      </c>
      <c r="L362">
        <v>1.6744364467213599</v>
      </c>
      <c r="M362">
        <v>1.9679348832941099</v>
      </c>
      <c r="N362">
        <v>1.9679222491558099</v>
      </c>
      <c r="Q362">
        <f t="shared" si="25"/>
        <v>1.36</v>
      </c>
      <c r="R362">
        <f t="shared" si="27"/>
        <v>1.985862794515048</v>
      </c>
      <c r="S362">
        <f t="shared" si="28"/>
        <v>-0.62586279451504789</v>
      </c>
      <c r="T362">
        <f t="shared" si="29"/>
        <v>0.39170423755818506</v>
      </c>
    </row>
    <row r="363" spans="1:20" hidden="1" x14ac:dyDescent="0.25">
      <c r="A363" t="str">
        <f t="shared" si="26"/>
        <v>BAR</v>
      </c>
      <c r="B363" t="s">
        <v>369</v>
      </c>
      <c r="C363">
        <v>1.9272533540000001</v>
      </c>
      <c r="D363">
        <v>6.7999165E-2</v>
      </c>
      <c r="E363">
        <v>0.72643761299999998</v>
      </c>
      <c r="F363">
        <v>0.60432729100000004</v>
      </c>
      <c r="G363">
        <v>0.82170392800000003</v>
      </c>
      <c r="H363">
        <v>1.39</v>
      </c>
      <c r="I363">
        <v>2.0752608703436302</v>
      </c>
      <c r="J363">
        <v>2.1032421284896099</v>
      </c>
      <c r="K363">
        <v>1.72324946318579</v>
      </c>
      <c r="L363">
        <v>1.67410482566057</v>
      </c>
      <c r="M363">
        <v>2.08925149941662</v>
      </c>
      <c r="N363">
        <v>2.0892046549136198</v>
      </c>
      <c r="Q363">
        <f t="shared" si="25"/>
        <v>1.39</v>
      </c>
      <c r="R363">
        <f t="shared" si="27"/>
        <v>2.1207546422071295</v>
      </c>
      <c r="S363">
        <f t="shared" si="28"/>
        <v>-0.7307546422071296</v>
      </c>
      <c r="T363">
        <f t="shared" si="29"/>
        <v>0.53400234710727001</v>
      </c>
    </row>
    <row r="364" spans="1:20" hidden="1" x14ac:dyDescent="0.25">
      <c r="A364" t="str">
        <f t="shared" si="26"/>
        <v>BAR</v>
      </c>
      <c r="B364" t="s">
        <v>370</v>
      </c>
      <c r="C364">
        <v>1.937255554</v>
      </c>
      <c r="D364">
        <v>6.6894299000000004E-2</v>
      </c>
      <c r="E364">
        <v>0.70683236800000004</v>
      </c>
      <c r="F364">
        <v>0.50772728600000006</v>
      </c>
      <c r="G364">
        <v>0.804856189</v>
      </c>
      <c r="H364">
        <v>1.2</v>
      </c>
      <c r="I364">
        <v>1.69919226370067</v>
      </c>
      <c r="J364">
        <v>1.6876497396107699</v>
      </c>
      <c r="K364">
        <v>1.4246951321308901</v>
      </c>
      <c r="L364">
        <v>1.4001973097015199</v>
      </c>
      <c r="M364">
        <v>1.6934210016557201</v>
      </c>
      <c r="N364">
        <v>1.6934111672547401</v>
      </c>
      <c r="Q364">
        <f t="shared" si="25"/>
        <v>1.2</v>
      </c>
      <c r="R364">
        <f t="shared" si="27"/>
        <v>1.6431536382268606</v>
      </c>
      <c r="S364">
        <f t="shared" si="28"/>
        <v>-0.4431536382268606</v>
      </c>
      <c r="T364">
        <f t="shared" si="29"/>
        <v>0.19638514707370325</v>
      </c>
    </row>
    <row r="365" spans="1:20" hidden="1" x14ac:dyDescent="0.25">
      <c r="A365" t="str">
        <f t="shared" si="26"/>
        <v>BAR</v>
      </c>
      <c r="B365" t="s">
        <v>371</v>
      </c>
      <c r="C365">
        <v>2.0161376569999998</v>
      </c>
      <c r="D365">
        <v>6.4446734000000006E-2</v>
      </c>
      <c r="E365">
        <v>0.73348563099999997</v>
      </c>
      <c r="F365">
        <v>0.61435827200000004</v>
      </c>
      <c r="G365">
        <v>0.83730078600000002</v>
      </c>
      <c r="H365">
        <v>1.93</v>
      </c>
      <c r="I365">
        <v>1.9321683116043</v>
      </c>
      <c r="J365">
        <v>1.9698328783141199</v>
      </c>
      <c r="K365">
        <v>1.53992398075009</v>
      </c>
      <c r="L365">
        <v>1.4508585638796101</v>
      </c>
      <c r="M365">
        <v>1.95100059495921</v>
      </c>
      <c r="N365">
        <v>1.9509097023273101</v>
      </c>
      <c r="Q365">
        <f t="shared" si="25"/>
        <v>1.93</v>
      </c>
      <c r="R365">
        <f t="shared" si="27"/>
        <v>1.9750960363403252</v>
      </c>
      <c r="S365">
        <f t="shared" si="28"/>
        <v>-4.5096036340325218E-2</v>
      </c>
      <c r="T365">
        <f t="shared" si="29"/>
        <v>2.0336524936079327E-3</v>
      </c>
    </row>
    <row r="366" spans="1:20" hidden="1" x14ac:dyDescent="0.25">
      <c r="A366" t="str">
        <f t="shared" si="26"/>
        <v>BAR</v>
      </c>
      <c r="B366" t="s">
        <v>372</v>
      </c>
      <c r="C366">
        <v>1.9061899689999999</v>
      </c>
      <c r="D366">
        <v>6.5679835000000006E-2</v>
      </c>
      <c r="E366">
        <v>0.72265355600000003</v>
      </c>
      <c r="F366">
        <v>0.58415222899999997</v>
      </c>
      <c r="G366">
        <v>0.82797317299999995</v>
      </c>
      <c r="H366">
        <v>1.54</v>
      </c>
      <c r="I366">
        <v>1.98635365531154</v>
      </c>
      <c r="J366">
        <v>1.98721002467656</v>
      </c>
      <c r="K366">
        <v>1.6164767971401599</v>
      </c>
      <c r="L366">
        <v>1.4874403154849201</v>
      </c>
      <c r="M366">
        <v>1.98678183999405</v>
      </c>
      <c r="N366">
        <v>1.9867817938535699</v>
      </c>
      <c r="Q366">
        <f t="shared" si="25"/>
        <v>1.54</v>
      </c>
      <c r="R366">
        <f t="shared" si="27"/>
        <v>1.9969788591468216</v>
      </c>
      <c r="S366">
        <f t="shared" si="28"/>
        <v>-0.45697885914682157</v>
      </c>
      <c r="T366">
        <f t="shared" si="29"/>
        <v>0.2088296777071306</v>
      </c>
    </row>
    <row r="367" spans="1:20" hidden="1" x14ac:dyDescent="0.25">
      <c r="A367" t="str">
        <f t="shared" si="26"/>
        <v>BAR</v>
      </c>
      <c r="B367" t="s">
        <v>373</v>
      </c>
      <c r="C367">
        <v>1.982255638</v>
      </c>
      <c r="D367">
        <v>6.7239822000000005E-2</v>
      </c>
      <c r="E367">
        <v>0.72668453399999999</v>
      </c>
      <c r="F367">
        <v>0.54785612699999997</v>
      </c>
      <c r="G367">
        <v>0.81726496199999998</v>
      </c>
      <c r="H367">
        <v>1.37</v>
      </c>
      <c r="I367">
        <v>1.78642740113068</v>
      </c>
      <c r="J367">
        <v>1.8216995923598001</v>
      </c>
      <c r="K367">
        <v>1.49993882617023</v>
      </c>
      <c r="L367">
        <v>1.53992967074932</v>
      </c>
      <c r="M367">
        <v>1.80406349674524</v>
      </c>
      <c r="N367">
        <v>1.8039772915478001</v>
      </c>
      <c r="Q367">
        <f t="shared" si="25"/>
        <v>1.37</v>
      </c>
      <c r="R367">
        <f t="shared" si="27"/>
        <v>1.7929182185319865</v>
      </c>
      <c r="S367">
        <f t="shared" si="28"/>
        <v>-0.42291821853198641</v>
      </c>
      <c r="T367">
        <f t="shared" si="29"/>
        <v>0.17885981956626901</v>
      </c>
    </row>
    <row r="368" spans="1:20" hidden="1" x14ac:dyDescent="0.25">
      <c r="A368" t="str">
        <f t="shared" si="26"/>
        <v>BAR</v>
      </c>
      <c r="B368" t="s">
        <v>374</v>
      </c>
      <c r="C368">
        <v>2.036364684</v>
      </c>
      <c r="D368">
        <v>6.7658190000000007E-2</v>
      </c>
      <c r="E368">
        <v>0.727030803</v>
      </c>
      <c r="F368">
        <v>0.58474059899999997</v>
      </c>
      <c r="G368">
        <v>0.81253307799999996</v>
      </c>
      <c r="H368">
        <v>1.58</v>
      </c>
      <c r="I368">
        <v>1.8656787212068</v>
      </c>
      <c r="J368">
        <v>1.9141382288640301</v>
      </c>
      <c r="K368">
        <v>1.54348829796864</v>
      </c>
      <c r="L368">
        <v>1.5892604894105</v>
      </c>
      <c r="M368">
        <v>1.88990847503542</v>
      </c>
      <c r="N368">
        <v>1.8897531487049</v>
      </c>
      <c r="Q368">
        <f t="shared" si="25"/>
        <v>1.58</v>
      </c>
      <c r="R368">
        <f t="shared" si="27"/>
        <v>1.8963777122662351</v>
      </c>
      <c r="S368">
        <f t="shared" si="28"/>
        <v>-0.31637771226623501</v>
      </c>
      <c r="T368">
        <f t="shared" si="29"/>
        <v>0.10009485681881659</v>
      </c>
    </row>
    <row r="369" spans="1:20" hidden="1" x14ac:dyDescent="0.25">
      <c r="A369" t="str">
        <f t="shared" si="26"/>
        <v>BAR</v>
      </c>
      <c r="B369" t="s">
        <v>375</v>
      </c>
      <c r="C369">
        <v>1.8667765059999999</v>
      </c>
      <c r="D369">
        <v>6.7142906000000002E-2</v>
      </c>
      <c r="E369">
        <v>0.72775200200000001</v>
      </c>
      <c r="F369">
        <v>0.54228960800000003</v>
      </c>
      <c r="G369">
        <v>0.81308387500000001</v>
      </c>
      <c r="H369">
        <v>1.39</v>
      </c>
      <c r="I369">
        <v>1.89506944541658</v>
      </c>
      <c r="J369">
        <v>1.9155053204755399</v>
      </c>
      <c r="K369">
        <v>1.6342236598458799</v>
      </c>
      <c r="L369">
        <v>1.5626596643125601</v>
      </c>
      <c r="M369">
        <v>1.9052873829460599</v>
      </c>
      <c r="N369">
        <v>1.9052599836678701</v>
      </c>
      <c r="Q369">
        <f t="shared" si="25"/>
        <v>1.39</v>
      </c>
      <c r="R369">
        <f t="shared" si="27"/>
        <v>1.9080517418474137</v>
      </c>
      <c r="S369">
        <f t="shared" si="28"/>
        <v>-0.51805174184741376</v>
      </c>
      <c r="T369">
        <f t="shared" si="29"/>
        <v>0.2683776072311394</v>
      </c>
    </row>
    <row r="370" spans="1:20" hidden="1" x14ac:dyDescent="0.25">
      <c r="A370" t="str">
        <f t="shared" si="26"/>
        <v>BAR</v>
      </c>
      <c r="B370" t="s">
        <v>376</v>
      </c>
      <c r="C370">
        <v>1.9615205529999999</v>
      </c>
      <c r="D370">
        <v>6.6869818999999997E-2</v>
      </c>
      <c r="E370">
        <v>0.723211351</v>
      </c>
      <c r="F370">
        <v>0.54257358700000002</v>
      </c>
      <c r="G370">
        <v>0.80624052999999996</v>
      </c>
      <c r="H370">
        <v>1.34</v>
      </c>
      <c r="I370">
        <v>1.7816410821020301</v>
      </c>
      <c r="J370">
        <v>1.8096345175672901</v>
      </c>
      <c r="K370">
        <v>1.48489797468277</v>
      </c>
      <c r="L370">
        <v>1.44643292348585</v>
      </c>
      <c r="M370">
        <v>1.79563779983466</v>
      </c>
      <c r="N370">
        <v>1.7955832478856999</v>
      </c>
      <c r="Q370">
        <f t="shared" si="25"/>
        <v>1.34</v>
      </c>
      <c r="R370">
        <f t="shared" si="27"/>
        <v>1.7819596527124593</v>
      </c>
      <c r="S370">
        <f t="shared" si="28"/>
        <v>-0.44195965271245918</v>
      </c>
      <c r="T370">
        <f t="shared" si="29"/>
        <v>0.19532833462571753</v>
      </c>
    </row>
    <row r="371" spans="1:20" hidden="1" x14ac:dyDescent="0.25">
      <c r="A371" t="str">
        <f t="shared" si="26"/>
        <v>BAR</v>
      </c>
      <c r="B371" t="s">
        <v>377</v>
      </c>
      <c r="C371">
        <v>1.909153366</v>
      </c>
      <c r="D371">
        <v>6.4675353000000005E-2</v>
      </c>
      <c r="E371">
        <v>0.71129359800000003</v>
      </c>
      <c r="F371">
        <v>0.45471774399999998</v>
      </c>
      <c r="G371">
        <v>0.80348825300000004</v>
      </c>
      <c r="H371">
        <v>1.29</v>
      </c>
      <c r="I371">
        <v>1.4795994234104799</v>
      </c>
      <c r="J371">
        <v>1.47141368719099</v>
      </c>
      <c r="K371">
        <v>1.2348856785565701</v>
      </c>
      <c r="L371">
        <v>1.11657991577225</v>
      </c>
      <c r="M371">
        <v>1.47550655530073</v>
      </c>
      <c r="N371">
        <v>1.4755008787412101</v>
      </c>
      <c r="Q371">
        <f t="shared" si="25"/>
        <v>1.29</v>
      </c>
      <c r="R371">
        <f t="shared" si="27"/>
        <v>1.4007587532917523</v>
      </c>
      <c r="S371">
        <f t="shared" si="28"/>
        <v>-0.11075875329175222</v>
      </c>
      <c r="T371">
        <f t="shared" si="29"/>
        <v>1.2267501430743233E-2</v>
      </c>
    </row>
    <row r="372" spans="1:20" hidden="1" x14ac:dyDescent="0.25">
      <c r="A372" t="str">
        <f t="shared" si="26"/>
        <v>BAR</v>
      </c>
      <c r="B372" t="s">
        <v>378</v>
      </c>
      <c r="C372">
        <v>2.247524855</v>
      </c>
      <c r="D372">
        <v>6.4341565000000003E-2</v>
      </c>
      <c r="E372">
        <v>0.73639792299999995</v>
      </c>
      <c r="F372">
        <v>0.64787385799999997</v>
      </c>
      <c r="G372">
        <v>0.82730353199999995</v>
      </c>
      <c r="H372">
        <v>1.55</v>
      </c>
      <c r="I372">
        <v>1.7742119872727</v>
      </c>
      <c r="J372">
        <v>1.8621764727185299</v>
      </c>
      <c r="K372">
        <v>1.4227737786875001</v>
      </c>
      <c r="L372">
        <v>1.54843302680154</v>
      </c>
      <c r="M372">
        <v>1.81819422999561</v>
      </c>
      <c r="N372">
        <v>1.81766218542237</v>
      </c>
      <c r="Q372">
        <f t="shared" si="25"/>
        <v>1.55</v>
      </c>
      <c r="R372">
        <f t="shared" si="27"/>
        <v>1.8386443198831044</v>
      </c>
      <c r="S372">
        <f t="shared" si="28"/>
        <v>-0.28864431988310435</v>
      </c>
      <c r="T372">
        <f t="shared" si="29"/>
        <v>8.3315543400779873E-2</v>
      </c>
    </row>
    <row r="373" spans="1:20" hidden="1" x14ac:dyDescent="0.25">
      <c r="A373" t="str">
        <f t="shared" si="26"/>
        <v>BAR</v>
      </c>
      <c r="B373" t="s">
        <v>379</v>
      </c>
      <c r="C373">
        <v>2.1577309269999998</v>
      </c>
      <c r="D373">
        <v>6.2559777999999996E-2</v>
      </c>
      <c r="E373">
        <v>0.75386934500000002</v>
      </c>
      <c r="F373">
        <v>0.66080209700000003</v>
      </c>
      <c r="G373">
        <v>0.84834302900000003</v>
      </c>
      <c r="H373">
        <v>1.59</v>
      </c>
      <c r="I373">
        <v>1.86641630739993</v>
      </c>
      <c r="J373">
        <v>1.9748420082978699</v>
      </c>
      <c r="K373">
        <v>1.5020344261095</v>
      </c>
      <c r="L373">
        <v>1.4986757741182799</v>
      </c>
      <c r="M373">
        <v>1.9206291578489001</v>
      </c>
      <c r="N373">
        <v>1.9198638828900301</v>
      </c>
      <c r="Q373">
        <f t="shared" si="25"/>
        <v>1.59</v>
      </c>
      <c r="R373">
        <f t="shared" si="27"/>
        <v>1.9790550022414353</v>
      </c>
      <c r="S373">
        <f t="shared" si="28"/>
        <v>-0.38905500224143519</v>
      </c>
      <c r="T373">
        <f t="shared" si="29"/>
        <v>0.15136379476908313</v>
      </c>
    </row>
    <row r="374" spans="1:20" hidden="1" x14ac:dyDescent="0.25">
      <c r="A374" t="str">
        <f t="shared" si="26"/>
        <v>BAR</v>
      </c>
      <c r="B374" t="s">
        <v>380</v>
      </c>
      <c r="C374">
        <v>2.149663291</v>
      </c>
      <c r="D374">
        <v>6.8655463E-2</v>
      </c>
      <c r="E374">
        <v>0.73885747999999996</v>
      </c>
      <c r="F374">
        <v>0.57941759400000004</v>
      </c>
      <c r="G374">
        <v>0.82254718800000004</v>
      </c>
      <c r="H374">
        <v>1.34</v>
      </c>
      <c r="I374">
        <v>1.7212144852493501</v>
      </c>
      <c r="J374">
        <v>1.8210116106429699</v>
      </c>
      <c r="K374">
        <v>1.3430198160973801</v>
      </c>
      <c r="L374">
        <v>1.45103727645734</v>
      </c>
      <c r="M374">
        <v>1.7711130479461601</v>
      </c>
      <c r="N374">
        <v>1.77040999829021</v>
      </c>
      <c r="Q374">
        <f t="shared" si="25"/>
        <v>1.34</v>
      </c>
      <c r="R374">
        <f t="shared" si="27"/>
        <v>1.7760503530534977</v>
      </c>
      <c r="S374">
        <f t="shared" si="28"/>
        <v>-0.4360503530534976</v>
      </c>
      <c r="T374">
        <f t="shared" si="29"/>
        <v>0.1901399103980799</v>
      </c>
    </row>
    <row r="375" spans="1:20" hidden="1" x14ac:dyDescent="0.25">
      <c r="A375" t="str">
        <f t="shared" si="26"/>
        <v>BAR</v>
      </c>
      <c r="B375" t="s">
        <v>381</v>
      </c>
      <c r="C375">
        <v>2.1552992820000001</v>
      </c>
      <c r="D375">
        <v>6.8507504999999996E-2</v>
      </c>
      <c r="E375">
        <v>0.75473547799999996</v>
      </c>
      <c r="F375">
        <v>0.62176481900000002</v>
      </c>
      <c r="G375">
        <v>0.84350890199999995</v>
      </c>
      <c r="H375">
        <v>1.37</v>
      </c>
      <c r="I375">
        <v>1.8599146752784099</v>
      </c>
      <c r="J375">
        <v>1.98578653055248</v>
      </c>
      <c r="K375">
        <v>1.42162141934842</v>
      </c>
      <c r="L375">
        <v>1.48686621736611</v>
      </c>
      <c r="M375">
        <v>1.92285060291544</v>
      </c>
      <c r="N375">
        <v>1.9218203636512801</v>
      </c>
      <c r="Q375">
        <f t="shared" si="25"/>
        <v>1.37</v>
      </c>
      <c r="R375">
        <f t="shared" si="27"/>
        <v>1.9662523011337401</v>
      </c>
      <c r="S375">
        <f t="shared" si="28"/>
        <v>-0.59625230113373995</v>
      </c>
      <c r="T375">
        <f t="shared" si="29"/>
        <v>0.35551680660728008</v>
      </c>
    </row>
    <row r="376" spans="1:20" hidden="1" x14ac:dyDescent="0.25">
      <c r="A376" t="str">
        <f t="shared" si="26"/>
        <v>BAR</v>
      </c>
      <c r="B376" t="s">
        <v>382</v>
      </c>
      <c r="C376">
        <v>2.0483248469999999</v>
      </c>
      <c r="D376">
        <v>6.6263158000000003E-2</v>
      </c>
      <c r="E376">
        <v>0.75920348500000001</v>
      </c>
      <c r="F376">
        <v>0.61879196299999994</v>
      </c>
      <c r="G376">
        <v>0.84977296499999999</v>
      </c>
      <c r="H376">
        <v>1.44</v>
      </c>
      <c r="I376">
        <v>1.9218490508341799</v>
      </c>
      <c r="J376">
        <v>2.0286069914009</v>
      </c>
      <c r="K376">
        <v>1.53534347936952</v>
      </c>
      <c r="L376">
        <v>1.50534635950708</v>
      </c>
      <c r="M376">
        <v>1.9752280211175399</v>
      </c>
      <c r="N376">
        <v>1.97450662722093</v>
      </c>
      <c r="Q376">
        <f t="shared" si="25"/>
        <v>1.44</v>
      </c>
      <c r="R376">
        <f t="shared" si="27"/>
        <v>2.0305663184019336</v>
      </c>
      <c r="S376">
        <f t="shared" si="28"/>
        <v>-0.59056631840193363</v>
      </c>
      <c r="T376">
        <f t="shared" si="29"/>
        <v>0.34876857643081405</v>
      </c>
    </row>
    <row r="377" spans="1:20" hidden="1" x14ac:dyDescent="0.25">
      <c r="A377" t="str">
        <f t="shared" si="26"/>
        <v>BAR</v>
      </c>
      <c r="B377" t="s">
        <v>383</v>
      </c>
      <c r="C377">
        <v>2.2631910820000001</v>
      </c>
      <c r="D377">
        <v>6.2483381999999997E-2</v>
      </c>
      <c r="E377">
        <v>0.74346688900000002</v>
      </c>
      <c r="F377">
        <v>0.63742947999999999</v>
      </c>
      <c r="G377">
        <v>0.83395434199999996</v>
      </c>
      <c r="H377">
        <v>1.46</v>
      </c>
      <c r="I377">
        <v>1.67502897860209</v>
      </c>
      <c r="J377">
        <v>1.77047132091616</v>
      </c>
      <c r="K377">
        <v>1.36711753438272</v>
      </c>
      <c r="L377">
        <v>1.5535152792963001</v>
      </c>
      <c r="M377">
        <v>1.72275014975913</v>
      </c>
      <c r="N377">
        <v>1.7220890709596</v>
      </c>
      <c r="Q377">
        <f t="shared" si="25"/>
        <v>1.46</v>
      </c>
      <c r="R377">
        <f t="shared" si="27"/>
        <v>1.7374203834314281</v>
      </c>
      <c r="S377">
        <f t="shared" si="28"/>
        <v>-0.27742038343142816</v>
      </c>
      <c r="T377">
        <f t="shared" si="29"/>
        <v>7.6962069143240622E-2</v>
      </c>
    </row>
    <row r="378" spans="1:20" hidden="1" x14ac:dyDescent="0.25">
      <c r="A378" t="str">
        <f t="shared" si="26"/>
        <v>BAR</v>
      </c>
      <c r="B378" t="s">
        <v>384</v>
      </c>
      <c r="C378">
        <v>2.2690591790000001</v>
      </c>
      <c r="D378">
        <v>6.5036601999999999E-2</v>
      </c>
      <c r="E378">
        <v>0.74542306999999997</v>
      </c>
      <c r="F378">
        <v>0.57725823600000004</v>
      </c>
      <c r="G378">
        <v>0.83233581199999995</v>
      </c>
      <c r="H378">
        <v>1.77</v>
      </c>
      <c r="I378">
        <v>1.5030758020710799</v>
      </c>
      <c r="J378">
        <v>1.60863484571125</v>
      </c>
      <c r="K378">
        <v>1.1515332888612</v>
      </c>
      <c r="L378">
        <v>1.3841156938047701</v>
      </c>
      <c r="M378">
        <v>1.5558553238911601</v>
      </c>
      <c r="N378">
        <v>1.5549598422328901</v>
      </c>
      <c r="Q378">
        <f t="shared" si="25"/>
        <v>1.77</v>
      </c>
      <c r="R378">
        <f t="shared" si="27"/>
        <v>1.537469993925185</v>
      </c>
      <c r="S378">
        <f t="shared" si="28"/>
        <v>0.232530006074815</v>
      </c>
      <c r="T378">
        <f t="shared" si="29"/>
        <v>5.4070203725153497E-2</v>
      </c>
    </row>
    <row r="379" spans="1:20" hidden="1" x14ac:dyDescent="0.25">
      <c r="A379" t="str">
        <f t="shared" si="26"/>
        <v>BAR</v>
      </c>
      <c r="B379" t="s">
        <v>385</v>
      </c>
      <c r="C379">
        <v>2.015538571</v>
      </c>
      <c r="D379">
        <v>7.0167694000000003E-2</v>
      </c>
      <c r="E379">
        <v>0.74772379600000005</v>
      </c>
      <c r="F379">
        <v>0.58599328299999998</v>
      </c>
      <c r="G379">
        <v>0.82798760000000005</v>
      </c>
      <c r="H379">
        <v>1.57</v>
      </c>
      <c r="I379">
        <v>1.92554676233888</v>
      </c>
      <c r="J379">
        <v>2.0300380839456702</v>
      </c>
      <c r="K379">
        <v>1.6040200927328201</v>
      </c>
      <c r="L379">
        <v>1.7029357196317101</v>
      </c>
      <c r="M379">
        <v>1.9777924231422801</v>
      </c>
      <c r="N379">
        <v>1.97710223811674</v>
      </c>
      <c r="Q379">
        <f t="shared" si="25"/>
        <v>1.57</v>
      </c>
      <c r="R379">
        <f t="shared" si="27"/>
        <v>2.0178117388855998</v>
      </c>
      <c r="S379">
        <f t="shared" si="28"/>
        <v>-0.44781173888559977</v>
      </c>
      <c r="T379">
        <f t="shared" si="29"/>
        <v>0.2005353534837446</v>
      </c>
    </row>
    <row r="380" spans="1:20" hidden="1" x14ac:dyDescent="0.25">
      <c r="A380" t="str">
        <f t="shared" si="26"/>
        <v>BAR</v>
      </c>
      <c r="B380" t="s">
        <v>386</v>
      </c>
      <c r="C380">
        <v>2.0824483630000001</v>
      </c>
      <c r="D380">
        <v>6.5251343000000003E-2</v>
      </c>
      <c r="E380">
        <v>0.76177706700000003</v>
      </c>
      <c r="F380">
        <v>0.61968744099999995</v>
      </c>
      <c r="G380">
        <v>0.85131726399999996</v>
      </c>
      <c r="H380">
        <v>1.76</v>
      </c>
      <c r="I380">
        <v>1.86170887106261</v>
      </c>
      <c r="J380">
        <v>1.9748551434925501</v>
      </c>
      <c r="K380">
        <v>1.52998717259372</v>
      </c>
      <c r="L380">
        <v>1.59237709206419</v>
      </c>
      <c r="M380">
        <v>1.9182820072775799</v>
      </c>
      <c r="N380">
        <v>1.91744761068033</v>
      </c>
      <c r="Q380">
        <f t="shared" si="25"/>
        <v>1.76</v>
      </c>
      <c r="R380">
        <f t="shared" si="27"/>
        <v>1.9702234770534295</v>
      </c>
      <c r="S380">
        <f t="shared" si="28"/>
        <v>-0.21022347705342947</v>
      </c>
      <c r="T380">
        <f t="shared" si="29"/>
        <v>4.4193910304433787E-2</v>
      </c>
    </row>
    <row r="381" spans="1:20" hidden="1" x14ac:dyDescent="0.25">
      <c r="A381" t="str">
        <f t="shared" si="26"/>
        <v>BAR</v>
      </c>
      <c r="B381" t="s">
        <v>387</v>
      </c>
      <c r="C381">
        <v>2.008258476</v>
      </c>
      <c r="D381">
        <v>6.3511230000000002E-2</v>
      </c>
      <c r="E381">
        <v>0.76481682600000001</v>
      </c>
      <c r="F381">
        <v>0.63438350600000004</v>
      </c>
      <c r="G381">
        <v>0.85346235400000003</v>
      </c>
      <c r="H381">
        <v>1.82</v>
      </c>
      <c r="I381">
        <v>1.9528562241827301</v>
      </c>
      <c r="J381">
        <v>2.0626481104922001</v>
      </c>
      <c r="K381">
        <v>1.6662456270383199</v>
      </c>
      <c r="L381">
        <v>1.6549558673182301</v>
      </c>
      <c r="M381">
        <v>2.0077521673374701</v>
      </c>
      <c r="N381">
        <v>2.00700154481093</v>
      </c>
      <c r="Q381">
        <f t="shared" si="25"/>
        <v>1.82</v>
      </c>
      <c r="R381">
        <f t="shared" si="27"/>
        <v>2.0830266229626915</v>
      </c>
      <c r="S381">
        <f t="shared" si="28"/>
        <v>-0.26302662296269141</v>
      </c>
      <c r="T381">
        <f t="shared" si="29"/>
        <v>6.9183004387157826E-2</v>
      </c>
    </row>
    <row r="382" spans="1:20" hidden="1" x14ac:dyDescent="0.25">
      <c r="A382" t="str">
        <f t="shared" si="26"/>
        <v>BAR</v>
      </c>
      <c r="B382" t="s">
        <v>388</v>
      </c>
      <c r="C382">
        <v>1.991132908</v>
      </c>
      <c r="D382">
        <v>6.1538811999999998E-2</v>
      </c>
      <c r="E382">
        <v>0.75962314799999997</v>
      </c>
      <c r="F382">
        <v>0.66563136000000001</v>
      </c>
      <c r="G382">
        <v>0.85863040700000004</v>
      </c>
      <c r="H382">
        <v>2.04</v>
      </c>
      <c r="I382">
        <v>2.0411004834644602</v>
      </c>
      <c r="J382">
        <v>2.1404968551158201</v>
      </c>
      <c r="K382">
        <v>1.7296762894584601</v>
      </c>
      <c r="L382">
        <v>1.6253593970782101</v>
      </c>
      <c r="M382">
        <v>2.0907986692901401</v>
      </c>
      <c r="N382">
        <v>2.09020792406666</v>
      </c>
      <c r="Q382">
        <f t="shared" si="25"/>
        <v>2.04</v>
      </c>
      <c r="R382">
        <f t="shared" si="27"/>
        <v>2.1834376559363475</v>
      </c>
      <c r="S382">
        <f t="shared" si="28"/>
        <v>-0.1434376559363475</v>
      </c>
      <c r="T382">
        <f t="shared" si="29"/>
        <v>2.0574361140514003E-2</v>
      </c>
    </row>
    <row r="383" spans="1:20" hidden="1" x14ac:dyDescent="0.25">
      <c r="A383" t="str">
        <f t="shared" si="26"/>
        <v>BAR</v>
      </c>
      <c r="B383" t="s">
        <v>389</v>
      </c>
      <c r="C383">
        <v>2.0334930010000001</v>
      </c>
      <c r="D383">
        <v>6.4263378999999995E-2</v>
      </c>
      <c r="E383">
        <v>0.74746987600000003</v>
      </c>
      <c r="F383">
        <v>0.60763153800000003</v>
      </c>
      <c r="G383">
        <v>0.83695686700000005</v>
      </c>
      <c r="H383">
        <v>1.76</v>
      </c>
      <c r="I383">
        <v>1.86414304126187</v>
      </c>
      <c r="J383">
        <v>1.9387543357812</v>
      </c>
      <c r="K383">
        <v>1.56687222381573</v>
      </c>
      <c r="L383">
        <v>1.58599014678026</v>
      </c>
      <c r="M383">
        <v>1.90144868852154</v>
      </c>
      <c r="N383">
        <v>1.90108269251046</v>
      </c>
      <c r="Q383">
        <f t="shared" si="25"/>
        <v>1.76</v>
      </c>
      <c r="R383">
        <f t="shared" si="27"/>
        <v>1.9366928905891081</v>
      </c>
      <c r="S383">
        <f t="shared" si="28"/>
        <v>-0.17669289058910809</v>
      </c>
      <c r="T383">
        <f t="shared" si="29"/>
        <v>3.1220377584734522E-2</v>
      </c>
    </row>
    <row r="384" spans="1:20" hidden="1" x14ac:dyDescent="0.25">
      <c r="A384" t="str">
        <f t="shared" si="26"/>
        <v>BAR</v>
      </c>
      <c r="B384" t="s">
        <v>390</v>
      </c>
      <c r="C384">
        <v>2.0828425840000002</v>
      </c>
      <c r="D384">
        <v>6.5825397999999993E-2</v>
      </c>
      <c r="E384">
        <v>0.748953604</v>
      </c>
      <c r="F384">
        <v>0.65280319799999997</v>
      </c>
      <c r="G384">
        <v>0.84335465799999998</v>
      </c>
      <c r="H384">
        <v>1.74</v>
      </c>
      <c r="I384">
        <v>1.99821946230452</v>
      </c>
      <c r="J384">
        <v>2.0961570460813901</v>
      </c>
      <c r="K384">
        <v>1.6218235318237699</v>
      </c>
      <c r="L384">
        <v>1.61166368408281</v>
      </c>
      <c r="M384">
        <v>2.04718825419295</v>
      </c>
      <c r="N384">
        <v>2.0466025030588102</v>
      </c>
      <c r="Q384">
        <f t="shared" si="25"/>
        <v>1.74</v>
      </c>
      <c r="R384">
        <f t="shared" si="27"/>
        <v>2.1112567282447374</v>
      </c>
      <c r="S384">
        <f t="shared" si="28"/>
        <v>-0.37125672824473743</v>
      </c>
      <c r="T384">
        <f t="shared" si="29"/>
        <v>0.13783155826698681</v>
      </c>
    </row>
    <row r="385" spans="1:20" hidden="1" x14ac:dyDescent="0.25">
      <c r="A385" t="str">
        <f t="shared" si="26"/>
        <v>BAR</v>
      </c>
      <c r="B385" t="s">
        <v>391</v>
      </c>
      <c r="C385">
        <v>2.0643113089999998</v>
      </c>
      <c r="D385">
        <v>6.8234647999999995E-2</v>
      </c>
      <c r="E385">
        <v>0.75279673700000005</v>
      </c>
      <c r="F385">
        <v>0.63877129600000004</v>
      </c>
      <c r="G385">
        <v>0.84203407299999999</v>
      </c>
      <c r="H385">
        <v>1.45</v>
      </c>
      <c r="I385">
        <v>2.0176510422006002</v>
      </c>
      <c r="J385">
        <v>2.12976277021767</v>
      </c>
      <c r="K385">
        <v>1.6120472190831201</v>
      </c>
      <c r="L385">
        <v>1.6298645032239301</v>
      </c>
      <c r="M385">
        <v>2.0737069062091402</v>
      </c>
      <c r="N385">
        <v>2.0729491245493001</v>
      </c>
      <c r="Q385">
        <f t="shared" ref="Q385:Q448" si="30">H385</f>
        <v>1.45</v>
      </c>
      <c r="R385">
        <f t="shared" si="27"/>
        <v>2.1400891629355172</v>
      </c>
      <c r="S385">
        <f t="shared" si="28"/>
        <v>-0.69008916293551725</v>
      </c>
      <c r="T385">
        <f t="shared" si="29"/>
        <v>0.47622305280104288</v>
      </c>
    </row>
    <row r="386" spans="1:20" hidden="1" x14ac:dyDescent="0.25">
      <c r="A386" t="str">
        <f t="shared" si="26"/>
        <v>BAR</v>
      </c>
      <c r="B386" t="s">
        <v>392</v>
      </c>
      <c r="C386">
        <v>2.0586606029999999</v>
      </c>
      <c r="D386">
        <v>6.8475463E-2</v>
      </c>
      <c r="E386">
        <v>0.76449955300000005</v>
      </c>
      <c r="F386">
        <v>0.66853280100000001</v>
      </c>
      <c r="G386">
        <v>0.85715195200000005</v>
      </c>
      <c r="H386">
        <v>1.39</v>
      </c>
      <c r="I386">
        <v>2.1274542135966001</v>
      </c>
      <c r="J386">
        <v>2.2648684688348601</v>
      </c>
      <c r="K386">
        <v>1.6885917003419599</v>
      </c>
      <c r="L386">
        <v>1.67317215982809</v>
      </c>
      <c r="M386">
        <v>2.1961613412157299</v>
      </c>
      <c r="N386">
        <v>2.1950863234198401</v>
      </c>
      <c r="Q386">
        <f t="shared" si="30"/>
        <v>1.39</v>
      </c>
      <c r="R386">
        <f t="shared" si="27"/>
        <v>2.2950824519779545</v>
      </c>
      <c r="S386">
        <f t="shared" si="28"/>
        <v>-0.90508245197795456</v>
      </c>
      <c r="T386">
        <f t="shared" si="29"/>
        <v>0.81917424487842638</v>
      </c>
    </row>
    <row r="387" spans="1:20" hidden="1" x14ac:dyDescent="0.25">
      <c r="A387" t="str">
        <f t="shared" ref="A387:A450" si="31">LEFT(B387,3)</f>
        <v>BAR</v>
      </c>
      <c r="B387" t="s">
        <v>393</v>
      </c>
      <c r="C387">
        <v>1.8224895670000001</v>
      </c>
      <c r="D387">
        <v>7.2536201999999994E-2</v>
      </c>
      <c r="E387">
        <v>0.69946208600000004</v>
      </c>
      <c r="F387">
        <v>0.40911465800000002</v>
      </c>
      <c r="G387">
        <v>0.76555587400000003</v>
      </c>
      <c r="H387">
        <v>1.2</v>
      </c>
      <c r="I387">
        <v>1.5031404780522</v>
      </c>
      <c r="J387">
        <v>1.5780226151322501</v>
      </c>
      <c r="K387">
        <v>1.3018185854984099</v>
      </c>
      <c r="L387">
        <v>1.16171034645644</v>
      </c>
      <c r="M387">
        <v>1.5405815465922199</v>
      </c>
      <c r="N387">
        <v>1.54012651041629</v>
      </c>
      <c r="Q387">
        <f t="shared" si="30"/>
        <v>1.2</v>
      </c>
      <c r="R387">
        <f t="shared" ref="R387:R450" si="32">$X$2*F387+$X$3*D387*E387+($X$4/(D387-$X$5))-$X$6*C387</f>
        <v>1.4958079765585057</v>
      </c>
      <c r="S387">
        <f t="shared" ref="S387:S450" si="33">Q387-R387</f>
        <v>-0.29580797655850577</v>
      </c>
      <c r="T387">
        <f t="shared" ref="T387:T450" si="34">S387^2</f>
        <v>8.7502358995637505E-2</v>
      </c>
    </row>
    <row r="388" spans="1:20" hidden="1" x14ac:dyDescent="0.25">
      <c r="A388" t="str">
        <f t="shared" si="31"/>
        <v>BAR</v>
      </c>
      <c r="B388" t="s">
        <v>394</v>
      </c>
      <c r="C388">
        <v>1.6351721349999999</v>
      </c>
      <c r="D388">
        <v>7.5852266000000002E-2</v>
      </c>
      <c r="E388">
        <v>0.66278035199999996</v>
      </c>
      <c r="F388">
        <v>0.33255227900000001</v>
      </c>
      <c r="G388">
        <v>0.707611145</v>
      </c>
      <c r="H388">
        <v>1.1100000000000001</v>
      </c>
      <c r="I388">
        <v>1.3897732015475599</v>
      </c>
      <c r="J388">
        <v>1.52850900572711</v>
      </c>
      <c r="K388">
        <v>1.27284383261411</v>
      </c>
      <c r="L388">
        <v>0.86245853795411898</v>
      </c>
      <c r="M388">
        <v>1.4591411036373301</v>
      </c>
      <c r="N388">
        <v>1.4574912879614901</v>
      </c>
      <c r="Q388">
        <f t="shared" si="30"/>
        <v>1.1100000000000001</v>
      </c>
      <c r="R388">
        <f t="shared" si="32"/>
        <v>1.4361302285415891</v>
      </c>
      <c r="S388">
        <f t="shared" si="33"/>
        <v>-0.32613022854158902</v>
      </c>
      <c r="T388">
        <f t="shared" si="34"/>
        <v>0.10636092596858908</v>
      </c>
    </row>
    <row r="389" spans="1:20" hidden="1" x14ac:dyDescent="0.25">
      <c r="A389" t="str">
        <f t="shared" si="31"/>
        <v>BAR</v>
      </c>
      <c r="B389" t="s">
        <v>395</v>
      </c>
      <c r="C389">
        <v>1.785194516</v>
      </c>
      <c r="D389">
        <v>7.2878534999999994E-2</v>
      </c>
      <c r="E389">
        <v>0.71426426600000004</v>
      </c>
      <c r="F389">
        <v>0.34460300199999999</v>
      </c>
      <c r="G389">
        <v>0.77576535599999996</v>
      </c>
      <c r="H389">
        <v>1.1499999999999999</v>
      </c>
      <c r="I389">
        <v>1.26577508187246</v>
      </c>
      <c r="J389">
        <v>1.4062851587798799</v>
      </c>
      <c r="K389">
        <v>1.03264122147726</v>
      </c>
      <c r="L389">
        <v>0.74377827653334705</v>
      </c>
      <c r="M389">
        <v>1.33603012032617</v>
      </c>
      <c r="N389">
        <v>1.3341816637889501</v>
      </c>
      <c r="Q389">
        <f t="shared" si="30"/>
        <v>1.1499999999999999</v>
      </c>
      <c r="R389">
        <f t="shared" si="32"/>
        <v>1.2929260466502708</v>
      </c>
      <c r="S389">
        <f t="shared" si="33"/>
        <v>-0.14292604665027087</v>
      </c>
      <c r="T389">
        <f t="shared" si="34"/>
        <v>2.0427854811075404E-2</v>
      </c>
    </row>
    <row r="390" spans="1:20" hidden="1" x14ac:dyDescent="0.25">
      <c r="A390" t="str">
        <f t="shared" si="31"/>
        <v>BAR</v>
      </c>
      <c r="B390" t="s">
        <v>396</v>
      </c>
      <c r="C390">
        <v>1.77513623</v>
      </c>
      <c r="D390">
        <v>7.0334503000000007E-2</v>
      </c>
      <c r="E390">
        <v>0.7007738</v>
      </c>
      <c r="F390">
        <v>0.34414572199999999</v>
      </c>
      <c r="G390">
        <v>0.762326108</v>
      </c>
      <c r="H390">
        <v>1.54</v>
      </c>
      <c r="I390">
        <v>1.2244470451654199</v>
      </c>
      <c r="J390">
        <v>1.3297853783522899</v>
      </c>
      <c r="K390">
        <v>1.0509428339606199</v>
      </c>
      <c r="L390">
        <v>0.75294295479434403</v>
      </c>
      <c r="M390">
        <v>1.2771162117588499</v>
      </c>
      <c r="N390">
        <v>1.2760296929255299</v>
      </c>
      <c r="Q390">
        <f t="shared" si="30"/>
        <v>1.54</v>
      </c>
      <c r="R390">
        <f t="shared" si="32"/>
        <v>1.2186236040956175</v>
      </c>
      <c r="S390">
        <f t="shared" si="33"/>
        <v>0.32137639590438249</v>
      </c>
      <c r="T390">
        <f t="shared" si="34"/>
        <v>0.1032827878444904</v>
      </c>
    </row>
    <row r="391" spans="1:20" hidden="1" x14ac:dyDescent="0.25">
      <c r="A391" t="str">
        <f t="shared" si="31"/>
        <v>BAR</v>
      </c>
      <c r="B391" t="s">
        <v>397</v>
      </c>
      <c r="C391">
        <v>1.852610302</v>
      </c>
      <c r="D391">
        <v>6.9935510000000006E-2</v>
      </c>
      <c r="E391">
        <v>0.73006787500000003</v>
      </c>
      <c r="F391">
        <v>0.45832824799999999</v>
      </c>
      <c r="G391">
        <v>0.80385121900000001</v>
      </c>
      <c r="H391">
        <v>1.1599999999999999</v>
      </c>
      <c r="I391">
        <v>1.63250844334093</v>
      </c>
      <c r="J391">
        <v>1.69657291449412</v>
      </c>
      <c r="K391">
        <v>1.43365006712118</v>
      </c>
      <c r="L391">
        <v>1.3886949050751101</v>
      </c>
      <c r="M391">
        <v>1.6645406789175301</v>
      </c>
      <c r="N391">
        <v>1.66423243798911</v>
      </c>
      <c r="Q391">
        <f t="shared" si="30"/>
        <v>1.1599999999999999</v>
      </c>
      <c r="R391">
        <f t="shared" si="32"/>
        <v>1.6401907166947649</v>
      </c>
      <c r="S391">
        <f t="shared" si="33"/>
        <v>-0.48019071669476499</v>
      </c>
      <c r="T391">
        <f t="shared" si="34"/>
        <v>0.23058312439983206</v>
      </c>
    </row>
    <row r="392" spans="1:20" hidden="1" x14ac:dyDescent="0.25">
      <c r="A392" t="str">
        <f t="shared" si="31"/>
        <v>BAR</v>
      </c>
      <c r="B392" t="s">
        <v>398</v>
      </c>
      <c r="C392">
        <v>1.7377874609999999</v>
      </c>
      <c r="D392">
        <v>7.0184659999999996E-2</v>
      </c>
      <c r="E392">
        <v>0.69658478199999996</v>
      </c>
      <c r="F392">
        <v>0.40511726799999997</v>
      </c>
      <c r="G392">
        <v>0.75869353299999998</v>
      </c>
      <c r="H392">
        <v>1.1000000000000001</v>
      </c>
      <c r="I392">
        <v>1.5490609607086101</v>
      </c>
      <c r="J392">
        <v>1.58207307813429</v>
      </c>
      <c r="K392">
        <v>1.44428114422986</v>
      </c>
      <c r="L392">
        <v>1.2599610414137401</v>
      </c>
      <c r="M392">
        <v>1.5655670194214499</v>
      </c>
      <c r="N392">
        <v>1.56548000380904</v>
      </c>
      <c r="Q392">
        <f t="shared" si="30"/>
        <v>1.1000000000000001</v>
      </c>
      <c r="R392">
        <f t="shared" si="32"/>
        <v>1.5161900948283176</v>
      </c>
      <c r="S392">
        <f t="shared" si="33"/>
        <v>-0.41619009482831748</v>
      </c>
      <c r="T392">
        <f t="shared" si="34"/>
        <v>0.1732141950332039</v>
      </c>
    </row>
    <row r="393" spans="1:20" hidden="1" x14ac:dyDescent="0.25">
      <c r="A393" t="str">
        <f t="shared" si="31"/>
        <v>BAR</v>
      </c>
      <c r="B393" t="s">
        <v>399</v>
      </c>
      <c r="C393">
        <v>1.7641088549999999</v>
      </c>
      <c r="D393">
        <v>7.1678330999999998E-2</v>
      </c>
      <c r="E393">
        <v>0.682386241</v>
      </c>
      <c r="F393">
        <v>0.34917610799999999</v>
      </c>
      <c r="G393">
        <v>0.72917330800000002</v>
      </c>
      <c r="H393">
        <v>1.24</v>
      </c>
      <c r="I393">
        <v>1.24811934974567</v>
      </c>
      <c r="J393">
        <v>1.37210216607159</v>
      </c>
      <c r="K393">
        <v>1.15972328133191</v>
      </c>
      <c r="L393">
        <v>0.89706266153562997</v>
      </c>
      <c r="M393">
        <v>1.31011075790863</v>
      </c>
      <c r="N393">
        <v>1.3086432910850501</v>
      </c>
      <c r="Q393">
        <f t="shared" si="30"/>
        <v>1.24</v>
      </c>
      <c r="R393">
        <f t="shared" si="32"/>
        <v>1.2652129057774415</v>
      </c>
      <c r="S393">
        <f t="shared" si="33"/>
        <v>-2.5212905777441508E-2</v>
      </c>
      <c r="T393">
        <f t="shared" si="34"/>
        <v>6.3569061774214331E-4</v>
      </c>
    </row>
    <row r="394" spans="1:20" hidden="1" x14ac:dyDescent="0.25">
      <c r="A394" t="str">
        <f t="shared" si="31"/>
        <v>BAR</v>
      </c>
      <c r="B394" t="s">
        <v>400</v>
      </c>
      <c r="C394">
        <v>1.919445829</v>
      </c>
      <c r="D394">
        <v>6.8915667999999999E-2</v>
      </c>
      <c r="E394">
        <v>0.68971260899999998</v>
      </c>
      <c r="F394">
        <v>0.35788819700000002</v>
      </c>
      <c r="G394">
        <v>0.75676166099999997</v>
      </c>
      <c r="H394">
        <v>1.24</v>
      </c>
      <c r="I394">
        <v>1.08470323977009</v>
      </c>
      <c r="J394">
        <v>1.1860649403186401</v>
      </c>
      <c r="K394">
        <v>0.915162631470954</v>
      </c>
      <c r="L394">
        <v>0.76810189157420805</v>
      </c>
      <c r="M394">
        <v>1.1353840900443599</v>
      </c>
      <c r="N394">
        <v>1.13425238961236</v>
      </c>
      <c r="Q394">
        <f t="shared" si="30"/>
        <v>1.24</v>
      </c>
      <c r="R394">
        <f t="shared" si="32"/>
        <v>1.0524043667945158</v>
      </c>
      <c r="S394">
        <f t="shared" si="33"/>
        <v>0.18759563320548422</v>
      </c>
      <c r="T394">
        <f t="shared" si="34"/>
        <v>3.5192121597766572E-2</v>
      </c>
    </row>
    <row r="395" spans="1:20" hidden="1" x14ac:dyDescent="0.25">
      <c r="A395" t="str">
        <f t="shared" si="31"/>
        <v>BAR</v>
      </c>
      <c r="B395" t="s">
        <v>401</v>
      </c>
      <c r="C395">
        <v>1.9025436019999999</v>
      </c>
      <c r="D395">
        <v>7.0297404999999993E-2</v>
      </c>
      <c r="E395">
        <v>0.70444392899999997</v>
      </c>
      <c r="F395">
        <v>0.41853035100000002</v>
      </c>
      <c r="G395">
        <v>0.78079917099999996</v>
      </c>
      <c r="H395">
        <v>1.25</v>
      </c>
      <c r="I395">
        <v>1.4191004346690801</v>
      </c>
      <c r="J395">
        <v>1.4790422262063201</v>
      </c>
      <c r="K395">
        <v>1.2236715095375099</v>
      </c>
      <c r="L395">
        <v>1.1820147492827799</v>
      </c>
      <c r="M395">
        <v>1.4490713304377001</v>
      </c>
      <c r="N395">
        <v>1.44876135581514</v>
      </c>
      <c r="Q395">
        <f t="shared" si="30"/>
        <v>1.25</v>
      </c>
      <c r="R395">
        <f t="shared" si="32"/>
        <v>1.3864459346996143</v>
      </c>
      <c r="S395">
        <f t="shared" si="33"/>
        <v>-0.1364459346996143</v>
      </c>
      <c r="T395">
        <f t="shared" si="34"/>
        <v>1.8617493096051409E-2</v>
      </c>
    </row>
    <row r="396" spans="1:20" hidden="1" x14ac:dyDescent="0.25">
      <c r="A396" t="str">
        <f t="shared" si="31"/>
        <v>BAR</v>
      </c>
      <c r="B396" t="s">
        <v>402</v>
      </c>
      <c r="C396">
        <v>1.7686672830000001</v>
      </c>
      <c r="D396">
        <v>7.4020484999999997E-2</v>
      </c>
      <c r="E396">
        <v>0.693364749</v>
      </c>
      <c r="F396">
        <v>0.309393643</v>
      </c>
      <c r="G396">
        <v>0.75089484799999995</v>
      </c>
      <c r="H396">
        <v>0.98</v>
      </c>
      <c r="I396">
        <v>1.1137758572271299</v>
      </c>
      <c r="J396">
        <v>1.2985080993226401</v>
      </c>
      <c r="K396">
        <v>0.70977317242594096</v>
      </c>
      <c r="L396">
        <v>0.49077912898777898</v>
      </c>
      <c r="M396">
        <v>1.2061419782748799</v>
      </c>
      <c r="N396">
        <v>1.20260008790929</v>
      </c>
      <c r="Q396">
        <f t="shared" si="30"/>
        <v>0.98</v>
      </c>
      <c r="R396">
        <f t="shared" si="32"/>
        <v>1.1656925415056771</v>
      </c>
      <c r="S396">
        <f t="shared" si="33"/>
        <v>-0.18569254150567716</v>
      </c>
      <c r="T396">
        <f t="shared" si="34"/>
        <v>3.4481719970837633E-2</v>
      </c>
    </row>
    <row r="397" spans="1:20" hidden="1" x14ac:dyDescent="0.25">
      <c r="A397" t="str">
        <f t="shared" si="31"/>
        <v>BAR</v>
      </c>
      <c r="B397" t="s">
        <v>403</v>
      </c>
      <c r="C397">
        <v>1.857765551</v>
      </c>
      <c r="D397">
        <v>6.7975020999999997E-2</v>
      </c>
      <c r="E397">
        <v>0.67578413100000001</v>
      </c>
      <c r="F397">
        <v>0.38751302199999998</v>
      </c>
      <c r="G397">
        <v>0.74217105800000005</v>
      </c>
      <c r="H397">
        <v>1.03</v>
      </c>
      <c r="I397">
        <v>1.28145776561428</v>
      </c>
      <c r="J397">
        <v>1.3164659552807001</v>
      </c>
      <c r="K397">
        <v>1.15389303206289</v>
      </c>
      <c r="L397">
        <v>1.00328746192285</v>
      </c>
      <c r="M397">
        <v>1.29896186044749</v>
      </c>
      <c r="N397">
        <v>1.2988439173208099</v>
      </c>
      <c r="Q397">
        <f t="shared" si="30"/>
        <v>1.03</v>
      </c>
      <c r="R397">
        <f t="shared" si="32"/>
        <v>1.2138288360618352</v>
      </c>
      <c r="S397">
        <f t="shared" si="33"/>
        <v>-0.1838288360618352</v>
      </c>
      <c r="T397">
        <f t="shared" si="34"/>
        <v>3.3793040967849082E-2</v>
      </c>
    </row>
    <row r="398" spans="1:20" hidden="1" x14ac:dyDescent="0.25">
      <c r="A398" t="str">
        <f t="shared" si="31"/>
        <v>BAR</v>
      </c>
      <c r="B398" t="s">
        <v>404</v>
      </c>
      <c r="C398">
        <v>1.5415651969999999</v>
      </c>
      <c r="D398">
        <v>7.2661189000000001E-2</v>
      </c>
      <c r="E398">
        <v>0.65833325499999995</v>
      </c>
      <c r="F398">
        <v>0.333262108</v>
      </c>
      <c r="G398">
        <v>0.70763774999999995</v>
      </c>
      <c r="H398">
        <v>0.9</v>
      </c>
      <c r="I398">
        <v>1.4754696813499999</v>
      </c>
      <c r="J398">
        <v>1.53223007824833</v>
      </c>
      <c r="K398">
        <v>1.43556117240985</v>
      </c>
      <c r="L398">
        <v>0.97824237034292605</v>
      </c>
      <c r="M398">
        <v>1.50384987979916</v>
      </c>
      <c r="N398">
        <v>1.5035820647067899</v>
      </c>
      <c r="Q398">
        <f t="shared" si="30"/>
        <v>0.9</v>
      </c>
      <c r="R398">
        <f t="shared" si="32"/>
        <v>1.4617846076916956</v>
      </c>
      <c r="S398">
        <f t="shared" si="33"/>
        <v>-0.56178460769169558</v>
      </c>
      <c r="T398">
        <f t="shared" si="34"/>
        <v>0.3156019454393123</v>
      </c>
    </row>
    <row r="399" spans="1:20" hidden="1" x14ac:dyDescent="0.25">
      <c r="A399" t="str">
        <f t="shared" si="31"/>
        <v>BAR</v>
      </c>
      <c r="B399" t="s">
        <v>405</v>
      </c>
      <c r="C399">
        <v>1.6734210570000001</v>
      </c>
      <c r="D399">
        <v>7.2401750000000001E-2</v>
      </c>
      <c r="E399">
        <v>0.64041725699999996</v>
      </c>
      <c r="F399">
        <v>0.31436255000000002</v>
      </c>
      <c r="G399">
        <v>0.67603767199999998</v>
      </c>
      <c r="H399">
        <v>0.9</v>
      </c>
      <c r="I399">
        <v>1.1491059403242601</v>
      </c>
      <c r="J399">
        <v>1.30175840302973</v>
      </c>
      <c r="K399">
        <v>1.0323829244303999</v>
      </c>
      <c r="L399">
        <v>0.65944143003278999</v>
      </c>
      <c r="M399">
        <v>1.22543217167699</v>
      </c>
      <c r="N399">
        <v>1.22305286630974</v>
      </c>
      <c r="Q399">
        <f t="shared" si="30"/>
        <v>0.9</v>
      </c>
      <c r="R399">
        <f t="shared" si="32"/>
        <v>1.1908959650464164</v>
      </c>
      <c r="S399">
        <f t="shared" si="33"/>
        <v>-0.29089596504641635</v>
      </c>
      <c r="T399">
        <f t="shared" si="34"/>
        <v>8.4620462480285888E-2</v>
      </c>
    </row>
    <row r="400" spans="1:20" hidden="1" x14ac:dyDescent="0.25">
      <c r="A400" t="str">
        <f t="shared" si="31"/>
        <v>BAR</v>
      </c>
      <c r="B400" t="s">
        <v>406</v>
      </c>
      <c r="C400">
        <v>1.6137765879999999</v>
      </c>
      <c r="D400">
        <v>6.7963683999999996E-2</v>
      </c>
      <c r="E400">
        <v>0.67075281600000003</v>
      </c>
      <c r="F400">
        <v>0.31561387600000002</v>
      </c>
      <c r="G400">
        <v>0.72826632599999996</v>
      </c>
      <c r="H400">
        <v>1.05</v>
      </c>
      <c r="I400">
        <v>1.2326918340466999</v>
      </c>
      <c r="J400">
        <v>1.2902193259100401</v>
      </c>
      <c r="K400">
        <v>1.12415802780346</v>
      </c>
      <c r="L400">
        <v>0.68783936588011396</v>
      </c>
      <c r="M400">
        <v>1.26145557997837</v>
      </c>
      <c r="N400">
        <v>1.26112760146567</v>
      </c>
      <c r="Q400">
        <f t="shared" si="30"/>
        <v>1.05</v>
      </c>
      <c r="R400">
        <f t="shared" si="32"/>
        <v>1.1954333536488992</v>
      </c>
      <c r="S400">
        <f t="shared" si="33"/>
        <v>-0.1454333536488992</v>
      </c>
      <c r="T400">
        <f t="shared" si="34"/>
        <v>2.1150860353565781E-2</v>
      </c>
    </row>
    <row r="401" spans="1:20" hidden="1" x14ac:dyDescent="0.25">
      <c r="A401" t="str">
        <f t="shared" si="31"/>
        <v>BAR</v>
      </c>
      <c r="B401" t="s">
        <v>407</v>
      </c>
      <c r="C401">
        <v>1.8451341059999999</v>
      </c>
      <c r="D401">
        <v>6.9150495000000006E-2</v>
      </c>
      <c r="E401">
        <v>0.69700540099999997</v>
      </c>
      <c r="F401">
        <v>0.34252933299999999</v>
      </c>
      <c r="G401">
        <v>0.76220558500000002</v>
      </c>
      <c r="H401">
        <v>0.91</v>
      </c>
      <c r="I401">
        <v>1.11399940433759</v>
      </c>
      <c r="J401">
        <v>1.21864646314281</v>
      </c>
      <c r="K401">
        <v>0.91263496693686297</v>
      </c>
      <c r="L401">
        <v>0.65868726730507898</v>
      </c>
      <c r="M401">
        <v>1.1663229337401999</v>
      </c>
      <c r="N401">
        <v>1.16514867465024</v>
      </c>
      <c r="Q401">
        <f t="shared" si="30"/>
        <v>0.91</v>
      </c>
      <c r="R401">
        <f t="shared" si="32"/>
        <v>1.0916808869737111</v>
      </c>
      <c r="S401">
        <f t="shared" si="33"/>
        <v>-0.1816808869737111</v>
      </c>
      <c r="T401">
        <f t="shared" si="34"/>
        <v>3.3007944691554388E-2</v>
      </c>
    </row>
    <row r="402" spans="1:20" hidden="1" x14ac:dyDescent="0.25">
      <c r="A402" t="str">
        <f t="shared" si="31"/>
        <v>BAR</v>
      </c>
      <c r="B402" t="s">
        <v>408</v>
      </c>
      <c r="C402">
        <v>1.8463495830000001</v>
      </c>
      <c r="D402">
        <v>6.0374703000000002E-2</v>
      </c>
      <c r="E402">
        <v>0.74600611800000005</v>
      </c>
      <c r="F402">
        <v>0.53102729100000001</v>
      </c>
      <c r="G402">
        <v>0.83875190099999997</v>
      </c>
      <c r="H402">
        <v>2.0699999999999998</v>
      </c>
      <c r="I402">
        <v>1.73775259945426</v>
      </c>
      <c r="J402">
        <v>1.7487382929612101</v>
      </c>
      <c r="K402">
        <v>1.6163012120253699</v>
      </c>
      <c r="L402">
        <v>1.5598011709122801</v>
      </c>
      <c r="M402">
        <v>1.74324544620774</v>
      </c>
      <c r="N402">
        <v>1.7432367923947001</v>
      </c>
      <c r="Q402">
        <f t="shared" si="30"/>
        <v>2.0699999999999998</v>
      </c>
      <c r="R402">
        <f t="shared" si="32"/>
        <v>1.7394592121004937</v>
      </c>
      <c r="S402">
        <f t="shared" si="33"/>
        <v>0.33054078789950614</v>
      </c>
      <c r="T402">
        <f t="shared" si="34"/>
        <v>0.10925721246522631</v>
      </c>
    </row>
    <row r="403" spans="1:20" hidden="1" x14ac:dyDescent="0.25">
      <c r="A403" t="str">
        <f t="shared" si="31"/>
        <v>BAR</v>
      </c>
      <c r="B403" t="s">
        <v>409</v>
      </c>
      <c r="C403">
        <v>1.8609719549999999</v>
      </c>
      <c r="D403">
        <v>5.5186328E-2</v>
      </c>
      <c r="E403">
        <v>0.741752407</v>
      </c>
      <c r="F403">
        <v>0.57450133599999997</v>
      </c>
      <c r="G403">
        <v>0.830579764</v>
      </c>
      <c r="H403">
        <v>1.74</v>
      </c>
      <c r="I403">
        <v>1.77617158196157</v>
      </c>
      <c r="J403">
        <v>1.77030709910596</v>
      </c>
      <c r="K403">
        <v>1.68946984040856</v>
      </c>
      <c r="L403">
        <v>1.5717880254030301</v>
      </c>
      <c r="M403">
        <v>1.7732393405337701</v>
      </c>
      <c r="N403">
        <v>1.77323691614427</v>
      </c>
      <c r="Q403">
        <f t="shared" si="30"/>
        <v>1.74</v>
      </c>
      <c r="R403">
        <f t="shared" si="32"/>
        <v>1.7836369351468995</v>
      </c>
      <c r="S403">
        <f t="shared" si="33"/>
        <v>-4.363693514689948E-2</v>
      </c>
      <c r="T403">
        <f t="shared" si="34"/>
        <v>1.9041821090147112E-3</v>
      </c>
    </row>
    <row r="404" spans="1:20" hidden="1" x14ac:dyDescent="0.25">
      <c r="A404" t="str">
        <f t="shared" si="31"/>
        <v>BAR</v>
      </c>
      <c r="B404" t="s">
        <v>410</v>
      </c>
      <c r="C404">
        <v>2.0319929000000001</v>
      </c>
      <c r="D404">
        <v>5.2807350000000003E-2</v>
      </c>
      <c r="E404">
        <v>0.75354591100000001</v>
      </c>
      <c r="F404">
        <v>0.64249048799999997</v>
      </c>
      <c r="G404">
        <v>0.84196296999999998</v>
      </c>
      <c r="H404">
        <v>2.29</v>
      </c>
      <c r="I404">
        <v>1.7583730412591601</v>
      </c>
      <c r="J404">
        <v>1.80721846034267</v>
      </c>
      <c r="K404">
        <v>1.66034811194045</v>
      </c>
      <c r="L404">
        <v>1.61295178983542</v>
      </c>
      <c r="M404">
        <v>1.78279575080091</v>
      </c>
      <c r="N404">
        <v>1.78262845829759</v>
      </c>
      <c r="Q404">
        <f t="shared" si="30"/>
        <v>2.29</v>
      </c>
      <c r="R404">
        <f t="shared" si="32"/>
        <v>1.8255148867466535</v>
      </c>
      <c r="S404">
        <f t="shared" si="33"/>
        <v>0.46448511325334652</v>
      </c>
      <c r="T404">
        <f t="shared" si="34"/>
        <v>0.21574642043397413</v>
      </c>
    </row>
    <row r="405" spans="1:20" hidden="1" x14ac:dyDescent="0.25">
      <c r="A405" t="str">
        <f t="shared" si="31"/>
        <v>BAR</v>
      </c>
      <c r="B405" t="s">
        <v>411</v>
      </c>
      <c r="C405">
        <v>2.052147079</v>
      </c>
      <c r="D405">
        <v>4.9324152000000003E-2</v>
      </c>
      <c r="E405">
        <v>0.75593077099999995</v>
      </c>
      <c r="F405">
        <v>0.61138965999999995</v>
      </c>
      <c r="G405">
        <v>0.84683062200000003</v>
      </c>
      <c r="H405">
        <v>1.78</v>
      </c>
      <c r="I405">
        <v>1.5681281799191</v>
      </c>
      <c r="J405">
        <v>1.5993629013219299</v>
      </c>
      <c r="K405">
        <v>1.5078625083274</v>
      </c>
      <c r="L405">
        <v>1.4434547067711101</v>
      </c>
      <c r="M405">
        <v>1.5837455406205101</v>
      </c>
      <c r="N405">
        <v>1.58366853712514</v>
      </c>
      <c r="Q405">
        <f t="shared" si="30"/>
        <v>1.78</v>
      </c>
      <c r="R405">
        <f t="shared" si="32"/>
        <v>1.5933455228455959</v>
      </c>
      <c r="S405">
        <f t="shared" si="33"/>
        <v>0.18665447715440409</v>
      </c>
      <c r="T405">
        <f t="shared" si="34"/>
        <v>3.4839893841783959E-2</v>
      </c>
    </row>
    <row r="406" spans="1:20" hidden="1" x14ac:dyDescent="0.25">
      <c r="A406" t="str">
        <f t="shared" si="31"/>
        <v>BAR</v>
      </c>
      <c r="B406" t="s">
        <v>412</v>
      </c>
      <c r="C406">
        <v>1.879047304</v>
      </c>
      <c r="D406">
        <v>5.6416433000000002E-2</v>
      </c>
      <c r="E406">
        <v>0.73347497800000006</v>
      </c>
      <c r="F406">
        <v>0.55010063499999995</v>
      </c>
      <c r="G406">
        <v>0.82194915199999996</v>
      </c>
      <c r="H406">
        <v>1.96</v>
      </c>
      <c r="I406">
        <v>1.7015142153646801</v>
      </c>
      <c r="J406">
        <v>1.6822029234442799</v>
      </c>
      <c r="K406">
        <v>1.66264342939097</v>
      </c>
      <c r="L406">
        <v>1.6336366026262801</v>
      </c>
      <c r="M406">
        <v>1.6918585694044801</v>
      </c>
      <c r="N406">
        <v>1.6918310161976799</v>
      </c>
      <c r="Q406">
        <f t="shared" si="30"/>
        <v>1.96</v>
      </c>
      <c r="R406">
        <f t="shared" si="32"/>
        <v>1.6766699497914166</v>
      </c>
      <c r="S406">
        <f t="shared" si="33"/>
        <v>0.28333005020858337</v>
      </c>
      <c r="T406">
        <f t="shared" si="34"/>
        <v>8.0275917351198378E-2</v>
      </c>
    </row>
    <row r="407" spans="1:20" hidden="1" x14ac:dyDescent="0.25">
      <c r="A407" t="str">
        <f t="shared" si="31"/>
        <v>BAR</v>
      </c>
      <c r="B407" t="s">
        <v>413</v>
      </c>
      <c r="C407">
        <v>1.83750441</v>
      </c>
      <c r="D407">
        <v>5.9582171000000003E-2</v>
      </c>
      <c r="E407">
        <v>0.72769240700000004</v>
      </c>
      <c r="F407">
        <v>0.46771670700000001</v>
      </c>
      <c r="G407">
        <v>0.82502621200000004</v>
      </c>
      <c r="H407">
        <v>1.85</v>
      </c>
      <c r="I407">
        <v>1.5226906536325999</v>
      </c>
      <c r="J407">
        <v>1.48757538655375</v>
      </c>
      <c r="K407">
        <v>1.4003570844970601</v>
      </c>
      <c r="L407">
        <v>1.27280124010329</v>
      </c>
      <c r="M407">
        <v>1.5051330200931701</v>
      </c>
      <c r="N407">
        <v>1.5050306102133899</v>
      </c>
      <c r="Q407">
        <f t="shared" si="30"/>
        <v>1.85</v>
      </c>
      <c r="R407">
        <f t="shared" si="32"/>
        <v>1.4406308301270796</v>
      </c>
      <c r="S407">
        <f t="shared" si="33"/>
        <v>0.40936916987292049</v>
      </c>
      <c r="T407">
        <f t="shared" si="34"/>
        <v>0.16758311724244404</v>
      </c>
    </row>
    <row r="408" spans="1:20" hidden="1" x14ac:dyDescent="0.25">
      <c r="A408" t="str">
        <f t="shared" si="31"/>
        <v>BAR</v>
      </c>
      <c r="B408" t="s">
        <v>414</v>
      </c>
      <c r="C408">
        <v>1.8570796009999999</v>
      </c>
      <c r="D408">
        <v>6.2300235000000002E-2</v>
      </c>
      <c r="E408">
        <v>0.72922101299999997</v>
      </c>
      <c r="F408">
        <v>0.59744630799999998</v>
      </c>
      <c r="G408">
        <v>0.833735432</v>
      </c>
      <c r="H408">
        <v>1.51</v>
      </c>
      <c r="I408">
        <v>2.0073839350171201</v>
      </c>
      <c r="J408">
        <v>2.0100061738678701</v>
      </c>
      <c r="K408">
        <v>1.7928619617392201</v>
      </c>
      <c r="L408">
        <v>1.70922358791805</v>
      </c>
      <c r="M408">
        <v>2.00869505444249</v>
      </c>
      <c r="N408">
        <v>2.00869462654421</v>
      </c>
      <c r="Q408">
        <f t="shared" si="30"/>
        <v>1.51</v>
      </c>
      <c r="R408">
        <f t="shared" si="32"/>
        <v>2.0387376953832503</v>
      </c>
      <c r="S408">
        <f t="shared" si="33"/>
        <v>-0.52873769538325033</v>
      </c>
      <c r="T408">
        <f t="shared" si="34"/>
        <v>0.2795635505191908</v>
      </c>
    </row>
    <row r="409" spans="1:20" hidden="1" x14ac:dyDescent="0.25">
      <c r="A409" t="str">
        <f t="shared" si="31"/>
        <v>BAR</v>
      </c>
      <c r="B409" t="s">
        <v>415</v>
      </c>
      <c r="C409">
        <v>1.8819191850000001</v>
      </c>
      <c r="D409">
        <v>5.701026E-2</v>
      </c>
      <c r="E409">
        <v>0.73827266199999997</v>
      </c>
      <c r="F409">
        <v>0.58658876900000001</v>
      </c>
      <c r="G409">
        <v>0.83595821699999995</v>
      </c>
      <c r="H409">
        <v>1.59</v>
      </c>
      <c r="I409">
        <v>1.82724053610551</v>
      </c>
      <c r="J409">
        <v>1.83143632253768</v>
      </c>
      <c r="K409">
        <v>1.70673076518037</v>
      </c>
      <c r="L409">
        <v>1.61577224508448</v>
      </c>
      <c r="M409">
        <v>1.82933842932159</v>
      </c>
      <c r="N409">
        <v>1.8293372263846901</v>
      </c>
      <c r="Q409">
        <f t="shared" si="30"/>
        <v>1.59</v>
      </c>
      <c r="R409">
        <f t="shared" si="32"/>
        <v>1.8479400340222387</v>
      </c>
      <c r="S409">
        <f t="shared" si="33"/>
        <v>-0.25794003402223864</v>
      </c>
      <c r="T409">
        <f t="shared" si="34"/>
        <v>6.6533061151393624E-2</v>
      </c>
    </row>
    <row r="410" spans="1:20" hidden="1" x14ac:dyDescent="0.25">
      <c r="A410" t="str">
        <f t="shared" si="31"/>
        <v>BAR</v>
      </c>
      <c r="B410" t="s">
        <v>416</v>
      </c>
      <c r="C410">
        <v>1.8925490840000001</v>
      </c>
      <c r="D410">
        <v>5.4356417999999997E-2</v>
      </c>
      <c r="E410">
        <v>0.743359565</v>
      </c>
      <c r="F410">
        <v>0.60401980499999997</v>
      </c>
      <c r="G410">
        <v>0.84047965400000002</v>
      </c>
      <c r="H410">
        <v>1.92</v>
      </c>
      <c r="I410">
        <v>1.8182002838661599</v>
      </c>
      <c r="J410">
        <v>1.83019203108833</v>
      </c>
      <c r="K410">
        <v>1.7481774339615599</v>
      </c>
      <c r="L410">
        <v>1.6597095346107</v>
      </c>
      <c r="M410">
        <v>1.8241961574772501</v>
      </c>
      <c r="N410">
        <v>1.82418630365826</v>
      </c>
      <c r="Q410">
        <f t="shared" si="30"/>
        <v>1.92</v>
      </c>
      <c r="R410">
        <f t="shared" si="32"/>
        <v>1.8547563710947843</v>
      </c>
      <c r="S410">
        <f t="shared" si="33"/>
        <v>6.5243628905215623E-2</v>
      </c>
      <c r="T410">
        <f t="shared" si="34"/>
        <v>4.2567311127214872E-3</v>
      </c>
    </row>
    <row r="411" spans="1:20" hidden="1" x14ac:dyDescent="0.25">
      <c r="A411" t="str">
        <f t="shared" si="31"/>
        <v>BAR</v>
      </c>
      <c r="B411" t="s">
        <v>417</v>
      </c>
      <c r="C411">
        <v>1.9982013169999999</v>
      </c>
      <c r="D411">
        <v>5.5681264000000001E-2</v>
      </c>
      <c r="E411">
        <v>0.74739249399999996</v>
      </c>
      <c r="F411">
        <v>0.59999500299999997</v>
      </c>
      <c r="G411">
        <v>0.84682633399999996</v>
      </c>
      <c r="H411">
        <v>1.61</v>
      </c>
      <c r="I411">
        <v>1.7111911063127601</v>
      </c>
      <c r="J411">
        <v>1.7431995530803699</v>
      </c>
      <c r="K411">
        <v>1.58279926661708</v>
      </c>
      <c r="L411">
        <v>1.5774355131443201</v>
      </c>
      <c r="M411">
        <v>1.7271953296965701</v>
      </c>
      <c r="N411">
        <v>1.7271211803922499</v>
      </c>
      <c r="Q411">
        <f t="shared" si="30"/>
        <v>1.61</v>
      </c>
      <c r="R411">
        <f t="shared" si="32"/>
        <v>1.7431125014992332</v>
      </c>
      <c r="S411">
        <f t="shared" si="33"/>
        <v>-0.13311250149923315</v>
      </c>
      <c r="T411">
        <f t="shared" si="34"/>
        <v>1.7718938055383347E-2</v>
      </c>
    </row>
    <row r="412" spans="1:20" hidden="1" x14ac:dyDescent="0.25">
      <c r="A412" t="str">
        <f t="shared" si="31"/>
        <v>BAR</v>
      </c>
      <c r="B412" t="s">
        <v>418</v>
      </c>
      <c r="C412">
        <v>1.8498976110000001</v>
      </c>
      <c r="D412">
        <v>5.5349981999999999E-2</v>
      </c>
      <c r="E412">
        <v>0.74327216799999996</v>
      </c>
      <c r="F412">
        <v>0.48797956799999997</v>
      </c>
      <c r="G412">
        <v>0.85242975200000004</v>
      </c>
      <c r="H412">
        <v>1.2</v>
      </c>
      <c r="I412">
        <v>1.51974199063815</v>
      </c>
      <c r="J412">
        <v>1.4687273735864601</v>
      </c>
      <c r="K412">
        <v>1.4020566925975799</v>
      </c>
      <c r="L412">
        <v>1.27361611227611</v>
      </c>
      <c r="M412">
        <v>1.49423468211231</v>
      </c>
      <c r="N412">
        <v>1.49401695520467</v>
      </c>
      <c r="Q412">
        <f t="shared" si="30"/>
        <v>1.2</v>
      </c>
      <c r="R412">
        <f t="shared" si="32"/>
        <v>1.431408246023461</v>
      </c>
      <c r="S412">
        <f t="shared" si="33"/>
        <v>-0.231408246023461</v>
      </c>
      <c r="T412">
        <f t="shared" si="34"/>
        <v>5.3549776327654654E-2</v>
      </c>
    </row>
    <row r="413" spans="1:20" hidden="1" x14ac:dyDescent="0.25">
      <c r="A413" t="str">
        <f t="shared" si="31"/>
        <v>BAR</v>
      </c>
      <c r="B413" t="s">
        <v>419</v>
      </c>
      <c r="C413">
        <v>1.8325814709999999</v>
      </c>
      <c r="D413">
        <v>5.5095817999999998E-2</v>
      </c>
      <c r="E413">
        <v>0.74799005699999999</v>
      </c>
      <c r="F413">
        <v>0.47770919099999998</v>
      </c>
      <c r="G413">
        <v>0.85630703100000005</v>
      </c>
      <c r="H413">
        <v>1.61</v>
      </c>
      <c r="I413">
        <v>1.50175903118168</v>
      </c>
      <c r="J413">
        <v>1.4471223295342199</v>
      </c>
      <c r="K413">
        <v>1.34868196322951</v>
      </c>
      <c r="L413">
        <v>1.17135184798917</v>
      </c>
      <c r="M413">
        <v>1.47444068035795</v>
      </c>
      <c r="N413">
        <v>1.4741875822305299</v>
      </c>
      <c r="Q413">
        <f t="shared" si="30"/>
        <v>1.61</v>
      </c>
      <c r="R413">
        <f t="shared" si="32"/>
        <v>1.407297142763793</v>
      </c>
      <c r="S413">
        <f t="shared" si="33"/>
        <v>0.20270285723620707</v>
      </c>
      <c r="T413">
        <f t="shared" si="34"/>
        <v>4.1088448331722142E-2</v>
      </c>
    </row>
    <row r="414" spans="1:20" hidden="1" x14ac:dyDescent="0.25">
      <c r="A414" t="str">
        <f t="shared" si="31"/>
        <v>BAR</v>
      </c>
      <c r="B414" t="s">
        <v>420</v>
      </c>
      <c r="C414">
        <v>2.1651268770000001</v>
      </c>
      <c r="D414">
        <v>5.4181318999999999E-2</v>
      </c>
      <c r="E414">
        <v>0.76102646100000004</v>
      </c>
      <c r="F414">
        <v>0.62552962700000003</v>
      </c>
      <c r="G414">
        <v>0.86992421099999995</v>
      </c>
      <c r="H414">
        <v>1.71</v>
      </c>
      <c r="I414">
        <v>1.5897224032930199</v>
      </c>
      <c r="J414">
        <v>1.6492365962259099</v>
      </c>
      <c r="K414">
        <v>1.2680184195964901</v>
      </c>
      <c r="L414">
        <v>1.1393921696570599</v>
      </c>
      <c r="M414">
        <v>1.6194794997594699</v>
      </c>
      <c r="N414">
        <v>1.6192060910677999</v>
      </c>
      <c r="Q414">
        <f t="shared" si="30"/>
        <v>1.71</v>
      </c>
      <c r="R414">
        <f t="shared" si="32"/>
        <v>1.6292248905238922</v>
      </c>
      <c r="S414">
        <f t="shared" si="33"/>
        <v>8.0775109476107776E-2</v>
      </c>
      <c r="T414">
        <f t="shared" si="34"/>
        <v>6.5246183108771966E-3</v>
      </c>
    </row>
    <row r="415" spans="1:20" hidden="1" x14ac:dyDescent="0.25">
      <c r="A415" t="str">
        <f t="shared" si="31"/>
        <v>BAR</v>
      </c>
      <c r="B415" t="s">
        <v>421</v>
      </c>
      <c r="C415">
        <v>1.903223927</v>
      </c>
      <c r="D415">
        <v>5.5241430000000001E-2</v>
      </c>
      <c r="E415">
        <v>0.758562811</v>
      </c>
      <c r="F415">
        <v>0.64233278299999996</v>
      </c>
      <c r="G415">
        <v>0.86825268899999997</v>
      </c>
      <c r="H415">
        <v>1.84</v>
      </c>
      <c r="I415">
        <v>1.9341262588380701</v>
      </c>
      <c r="J415">
        <v>1.9944162073771601</v>
      </c>
      <c r="K415">
        <v>1.6999998526592099</v>
      </c>
      <c r="L415">
        <v>1.5022597019282999</v>
      </c>
      <c r="M415">
        <v>1.96427123310761</v>
      </c>
      <c r="N415">
        <v>1.9640399073696</v>
      </c>
      <c r="Q415">
        <f t="shared" si="30"/>
        <v>1.84</v>
      </c>
      <c r="R415">
        <f t="shared" si="32"/>
        <v>2.0408781539175016</v>
      </c>
      <c r="S415">
        <f t="shared" si="33"/>
        <v>-0.20087815391750152</v>
      </c>
      <c r="T415">
        <f t="shared" si="34"/>
        <v>4.035203272130343E-2</v>
      </c>
    </row>
    <row r="416" spans="1:20" hidden="1" x14ac:dyDescent="0.25">
      <c r="A416" t="str">
        <f t="shared" si="31"/>
        <v>BAR</v>
      </c>
      <c r="B416" t="s">
        <v>422</v>
      </c>
      <c r="C416">
        <v>1.970289588</v>
      </c>
      <c r="D416">
        <v>5.5514503E-2</v>
      </c>
      <c r="E416">
        <v>0.753524945</v>
      </c>
      <c r="F416">
        <v>0.593926014</v>
      </c>
      <c r="G416">
        <v>0.84967981800000003</v>
      </c>
      <c r="H416">
        <v>1.21</v>
      </c>
      <c r="I416">
        <v>1.71316717444813</v>
      </c>
      <c r="J416">
        <v>1.7509368901008</v>
      </c>
      <c r="K416">
        <v>1.5342258915095901</v>
      </c>
      <c r="L416">
        <v>1.42984032955635</v>
      </c>
      <c r="M416">
        <v>1.7320520322744599</v>
      </c>
      <c r="N416">
        <v>1.73194907680653</v>
      </c>
      <c r="Q416">
        <f t="shared" si="30"/>
        <v>1.21</v>
      </c>
      <c r="R416">
        <f t="shared" si="32"/>
        <v>1.7532522343381238</v>
      </c>
      <c r="S416">
        <f t="shared" si="33"/>
        <v>-0.54325223433812386</v>
      </c>
      <c r="T416">
        <f t="shared" si="34"/>
        <v>0.29512299011336385</v>
      </c>
    </row>
    <row r="417" spans="1:20" hidden="1" x14ac:dyDescent="0.25">
      <c r="A417" t="str">
        <f t="shared" si="31"/>
        <v>BAR</v>
      </c>
      <c r="B417" t="s">
        <v>423</v>
      </c>
      <c r="C417">
        <v>1.7616900179999999</v>
      </c>
      <c r="D417">
        <v>6.3555661999999999E-2</v>
      </c>
      <c r="E417">
        <v>0.70838477</v>
      </c>
      <c r="F417">
        <v>0.335917576</v>
      </c>
      <c r="G417">
        <v>0.79258389299999998</v>
      </c>
      <c r="H417">
        <v>1.1000000000000001</v>
      </c>
      <c r="I417">
        <v>1.1554185465873299</v>
      </c>
      <c r="J417">
        <v>1.1523319386639099</v>
      </c>
      <c r="K417">
        <v>1.0141796046118601</v>
      </c>
      <c r="L417">
        <v>0.73845492803564095</v>
      </c>
      <c r="M417">
        <v>1.15387524262562</v>
      </c>
      <c r="N417">
        <v>1.1538742105434301</v>
      </c>
      <c r="Q417">
        <f t="shared" si="30"/>
        <v>1.1000000000000001</v>
      </c>
      <c r="R417">
        <f t="shared" si="32"/>
        <v>1.0402284663004848</v>
      </c>
      <c r="S417">
        <f t="shared" si="33"/>
        <v>5.9771533699515267E-2</v>
      </c>
      <c r="T417">
        <f t="shared" si="34"/>
        <v>3.572636240792289E-3</v>
      </c>
    </row>
    <row r="418" spans="1:20" hidden="1" x14ac:dyDescent="0.25">
      <c r="A418" t="str">
        <f t="shared" si="31"/>
        <v>BAR</v>
      </c>
      <c r="B418" t="s">
        <v>424</v>
      </c>
      <c r="C418">
        <v>1.366684904</v>
      </c>
      <c r="D418">
        <v>6.3166748999999994E-2</v>
      </c>
      <c r="E418">
        <v>0.69968706400000003</v>
      </c>
      <c r="F418">
        <v>0.31902997599999999</v>
      </c>
      <c r="G418">
        <v>0.79823936399999995</v>
      </c>
      <c r="H418">
        <v>1.24</v>
      </c>
      <c r="I418">
        <v>1.57375103653862</v>
      </c>
      <c r="J418">
        <v>1.46655664993527</v>
      </c>
      <c r="K418">
        <v>1.4969893454479699</v>
      </c>
      <c r="L418">
        <v>1.05989861205136</v>
      </c>
      <c r="M418">
        <v>1.5201538432369399</v>
      </c>
      <c r="N418">
        <v>1.51920869138451</v>
      </c>
      <c r="Q418">
        <f t="shared" si="30"/>
        <v>1.24</v>
      </c>
      <c r="R418">
        <f t="shared" si="32"/>
        <v>1.4282371209725861</v>
      </c>
      <c r="S418">
        <f t="shared" si="33"/>
        <v>-0.18823712097258616</v>
      </c>
      <c r="T418">
        <f t="shared" si="34"/>
        <v>3.5433213712048037E-2</v>
      </c>
    </row>
    <row r="419" spans="1:20" hidden="1" x14ac:dyDescent="0.25">
      <c r="A419" t="str">
        <f t="shared" si="31"/>
        <v>BAR</v>
      </c>
      <c r="B419" t="s">
        <v>425</v>
      </c>
      <c r="C419">
        <v>1.624048586</v>
      </c>
      <c r="D419">
        <v>6.0234453E-2</v>
      </c>
      <c r="E419">
        <v>0.70584227200000005</v>
      </c>
      <c r="F419">
        <v>0.32085191299999999</v>
      </c>
      <c r="G419">
        <v>0.78042808399999997</v>
      </c>
      <c r="H419">
        <v>1.1000000000000001</v>
      </c>
      <c r="I419">
        <v>1.1828397857388899</v>
      </c>
      <c r="J419">
        <v>1.1541151464103601</v>
      </c>
      <c r="K419">
        <v>1.1386842318775401</v>
      </c>
      <c r="L419">
        <v>0.80536184738708405</v>
      </c>
      <c r="M419">
        <v>1.16847746607463</v>
      </c>
      <c r="N419">
        <v>1.1683891956441801</v>
      </c>
      <c r="Q419">
        <f t="shared" si="30"/>
        <v>1.1000000000000001</v>
      </c>
      <c r="R419">
        <f t="shared" si="32"/>
        <v>1.0619964909040087</v>
      </c>
      <c r="S419">
        <f t="shared" si="33"/>
        <v>3.8003509095991372E-2</v>
      </c>
      <c r="T419">
        <f t="shared" si="34"/>
        <v>1.444266703609099E-3</v>
      </c>
    </row>
    <row r="420" spans="1:20" hidden="1" x14ac:dyDescent="0.25">
      <c r="A420" t="str">
        <f t="shared" si="31"/>
        <v>BAR</v>
      </c>
      <c r="B420" t="s">
        <v>426</v>
      </c>
      <c r="C420">
        <v>1.3900148189999999</v>
      </c>
      <c r="D420">
        <v>5.4087169999999997E-2</v>
      </c>
      <c r="E420">
        <v>0.69945880699999996</v>
      </c>
      <c r="F420">
        <v>0.33284554999999999</v>
      </c>
      <c r="G420">
        <v>0.79786938699999999</v>
      </c>
      <c r="H420">
        <v>1.34</v>
      </c>
      <c r="I420">
        <v>1.4391848948706201</v>
      </c>
      <c r="J420">
        <v>1.2899038801793401</v>
      </c>
      <c r="K420">
        <v>1.6096361829444501</v>
      </c>
      <c r="L420">
        <v>1.1516456573159199</v>
      </c>
      <c r="M420">
        <v>1.3645443875249801</v>
      </c>
      <c r="N420">
        <v>1.36250144227047</v>
      </c>
      <c r="Q420">
        <f t="shared" si="30"/>
        <v>1.34</v>
      </c>
      <c r="R420">
        <f t="shared" si="32"/>
        <v>1.2540885900706387</v>
      </c>
      <c r="S420">
        <f t="shared" si="33"/>
        <v>8.5911409929361415E-2</v>
      </c>
      <c r="T420">
        <f t="shared" si="34"/>
        <v>7.3807703560507792E-3</v>
      </c>
    </row>
    <row r="421" spans="1:20" hidden="1" x14ac:dyDescent="0.25">
      <c r="A421" t="str">
        <f t="shared" si="31"/>
        <v>BAR</v>
      </c>
      <c r="B421" t="s">
        <v>427</v>
      </c>
      <c r="C421">
        <v>1.615350369</v>
      </c>
      <c r="D421">
        <v>7.0094933999999998E-2</v>
      </c>
      <c r="E421">
        <v>0.72866216100000003</v>
      </c>
      <c r="F421">
        <v>0.35733641900000002</v>
      </c>
      <c r="G421">
        <v>0.81602777299999996</v>
      </c>
      <c r="H421">
        <v>1.01</v>
      </c>
      <c r="I421">
        <v>1.5626178663229899</v>
      </c>
      <c r="J421">
        <v>1.56546207752626</v>
      </c>
      <c r="K421">
        <v>1.3932228009893901</v>
      </c>
      <c r="L421">
        <v>1.09771264513294</v>
      </c>
      <c r="M421">
        <v>1.5640399719246201</v>
      </c>
      <c r="N421">
        <v>1.5640393253986999</v>
      </c>
      <c r="Q421">
        <f t="shared" si="30"/>
        <v>1.01</v>
      </c>
      <c r="R421">
        <f t="shared" si="32"/>
        <v>1.4977340058031463</v>
      </c>
      <c r="S421">
        <f t="shared" si="33"/>
        <v>-0.4877340058031463</v>
      </c>
      <c r="T421">
        <f t="shared" si="34"/>
        <v>0.23788446041678354</v>
      </c>
    </row>
    <row r="422" spans="1:20" hidden="1" x14ac:dyDescent="0.25">
      <c r="A422" t="str">
        <f t="shared" si="31"/>
        <v>BAR</v>
      </c>
      <c r="B422" t="s">
        <v>428</v>
      </c>
      <c r="C422">
        <v>1.6688062910000001</v>
      </c>
      <c r="D422">
        <v>6.4294405999999998E-2</v>
      </c>
      <c r="E422">
        <v>0.73324650199999997</v>
      </c>
      <c r="F422">
        <v>0.45181345499999997</v>
      </c>
      <c r="G422">
        <v>0.82677439799999997</v>
      </c>
      <c r="H422">
        <v>1.64</v>
      </c>
      <c r="I422">
        <v>1.74397404389078</v>
      </c>
      <c r="J422">
        <v>1.7161835836997099</v>
      </c>
      <c r="K422">
        <v>1.66452299362542</v>
      </c>
      <c r="L422">
        <v>1.5093996015925699</v>
      </c>
      <c r="M422">
        <v>1.7300788137952501</v>
      </c>
      <c r="N422">
        <v>1.73002301271508</v>
      </c>
      <c r="Q422">
        <f t="shared" si="30"/>
        <v>1.64</v>
      </c>
      <c r="R422">
        <f t="shared" si="32"/>
        <v>1.6959514984585504</v>
      </c>
      <c r="S422">
        <f t="shared" si="33"/>
        <v>-5.5951498458550519E-2</v>
      </c>
      <c r="T422">
        <f t="shared" si="34"/>
        <v>3.130570179757181E-3</v>
      </c>
    </row>
    <row r="423" spans="1:20" hidden="1" x14ac:dyDescent="0.25">
      <c r="A423" t="str">
        <f t="shared" si="31"/>
        <v>BAR</v>
      </c>
      <c r="B423" t="s">
        <v>429</v>
      </c>
      <c r="C423">
        <v>1.695296028</v>
      </c>
      <c r="D423">
        <v>6.0913096999999999E-2</v>
      </c>
      <c r="E423">
        <v>0.72946148700000002</v>
      </c>
      <c r="F423">
        <v>0.45093965800000002</v>
      </c>
      <c r="G423">
        <v>0.82060624599999998</v>
      </c>
      <c r="H423">
        <v>1.53</v>
      </c>
      <c r="I423">
        <v>1.64139974930738</v>
      </c>
      <c r="J423">
        <v>1.60106953367528</v>
      </c>
      <c r="K423">
        <v>1.56853994789081</v>
      </c>
      <c r="L423">
        <v>1.3872720682375199</v>
      </c>
      <c r="M423">
        <v>1.6212346414913299</v>
      </c>
      <c r="N423">
        <v>1.6211092286450901</v>
      </c>
      <c r="Q423">
        <f t="shared" si="30"/>
        <v>1.53</v>
      </c>
      <c r="R423">
        <f t="shared" si="32"/>
        <v>1.5744143476271089</v>
      </c>
      <c r="S423">
        <f t="shared" si="33"/>
        <v>-4.441434762710883E-2</v>
      </c>
      <c r="T423">
        <f t="shared" si="34"/>
        <v>1.9726342751416677E-3</v>
      </c>
    </row>
    <row r="424" spans="1:20" hidden="1" x14ac:dyDescent="0.25">
      <c r="A424" t="str">
        <f t="shared" si="31"/>
        <v>BAR</v>
      </c>
      <c r="B424" t="s">
        <v>430</v>
      </c>
      <c r="C424">
        <v>0.97819000300000003</v>
      </c>
      <c r="D424">
        <v>6.0184899E-2</v>
      </c>
      <c r="E424">
        <v>0.72857682400000001</v>
      </c>
      <c r="F424">
        <v>0.30353691700000002</v>
      </c>
      <c r="G424">
        <v>0.80931604599999996</v>
      </c>
      <c r="H424">
        <v>1.02</v>
      </c>
      <c r="I424">
        <v>1.90751077870179</v>
      </c>
      <c r="J424">
        <v>1.7588373447866099</v>
      </c>
      <c r="K424">
        <v>1.62385584307702</v>
      </c>
      <c r="L424">
        <v>1.4260841654127301</v>
      </c>
      <c r="M424">
        <v>1.8331740617442001</v>
      </c>
      <c r="N424">
        <v>1.8316662341059</v>
      </c>
      <c r="Q424">
        <f t="shared" si="30"/>
        <v>1.02</v>
      </c>
      <c r="R424">
        <f t="shared" si="32"/>
        <v>1.7949553823418802</v>
      </c>
      <c r="S424">
        <f t="shared" si="33"/>
        <v>-0.77495538234188022</v>
      </c>
      <c r="T424">
        <f t="shared" si="34"/>
        <v>0.6005558446206497</v>
      </c>
    </row>
    <row r="425" spans="1:20" hidden="1" x14ac:dyDescent="0.25">
      <c r="A425" t="str">
        <f t="shared" si="31"/>
        <v>BAR</v>
      </c>
      <c r="B425" t="s">
        <v>431</v>
      </c>
      <c r="C425">
        <v>1.391903415</v>
      </c>
      <c r="D425">
        <v>6.0340544000000003E-2</v>
      </c>
      <c r="E425">
        <v>0.753636796</v>
      </c>
      <c r="F425">
        <v>0.316134309</v>
      </c>
      <c r="G425">
        <v>0.84666834199999996</v>
      </c>
      <c r="H425">
        <v>1.24</v>
      </c>
      <c r="I425">
        <v>1.5274991929098201</v>
      </c>
      <c r="J425">
        <v>1.42109459894768</v>
      </c>
      <c r="K425">
        <v>1.4724158362812001</v>
      </c>
      <c r="L425">
        <v>1.24671693572426</v>
      </c>
      <c r="M425">
        <v>1.4742968959287499</v>
      </c>
      <c r="N425">
        <v>1.4733366393805201</v>
      </c>
      <c r="Q425">
        <f t="shared" si="30"/>
        <v>1.24</v>
      </c>
      <c r="R425">
        <f t="shared" si="32"/>
        <v>1.3773589446346699</v>
      </c>
      <c r="S425">
        <f t="shared" si="33"/>
        <v>-0.13735894463466991</v>
      </c>
      <c r="T425">
        <f t="shared" si="34"/>
        <v>1.8867479671150315E-2</v>
      </c>
    </row>
    <row r="426" spans="1:20" hidden="1" x14ac:dyDescent="0.25">
      <c r="A426" t="str">
        <f t="shared" si="31"/>
        <v>BAR</v>
      </c>
      <c r="B426" t="s">
        <v>432</v>
      </c>
      <c r="C426">
        <v>1.797182351</v>
      </c>
      <c r="D426">
        <v>5.3746752000000002E-2</v>
      </c>
      <c r="E426">
        <v>0.76631106699999996</v>
      </c>
      <c r="F426">
        <v>0.51536564100000004</v>
      </c>
      <c r="G426">
        <v>0.86386640599999998</v>
      </c>
      <c r="H426">
        <v>1.54</v>
      </c>
      <c r="I426">
        <v>1.6148831086473301</v>
      </c>
      <c r="J426">
        <v>1.6077563992278501</v>
      </c>
      <c r="K426">
        <v>1.6398430549159799</v>
      </c>
      <c r="L426">
        <v>1.5265443508759999</v>
      </c>
      <c r="M426">
        <v>1.6113197539375901</v>
      </c>
      <c r="N426">
        <v>1.6113158138405701</v>
      </c>
      <c r="Q426">
        <f t="shared" si="30"/>
        <v>1.54</v>
      </c>
      <c r="R426">
        <f t="shared" si="32"/>
        <v>1.5988637765823834</v>
      </c>
      <c r="S426">
        <f t="shared" si="33"/>
        <v>-5.8863776582383398E-2</v>
      </c>
      <c r="T426">
        <f t="shared" si="34"/>
        <v>3.4649441935407483E-3</v>
      </c>
    </row>
    <row r="427" spans="1:20" hidden="1" x14ac:dyDescent="0.25">
      <c r="A427" t="str">
        <f t="shared" si="31"/>
        <v>BAR</v>
      </c>
      <c r="B427" t="s">
        <v>433</v>
      </c>
      <c r="C427">
        <v>1.543542111</v>
      </c>
      <c r="D427">
        <v>5.9662534000000003E-2</v>
      </c>
      <c r="E427">
        <v>0.75541692400000005</v>
      </c>
      <c r="F427">
        <v>0.35963789499999999</v>
      </c>
      <c r="G427">
        <v>0.84526075000000001</v>
      </c>
      <c r="H427">
        <v>1.38</v>
      </c>
      <c r="I427">
        <v>1.4834752001406699</v>
      </c>
      <c r="J427">
        <v>1.4149864241519099</v>
      </c>
      <c r="K427">
        <v>1.5268326808238599</v>
      </c>
      <c r="L427">
        <v>1.3063747517422599</v>
      </c>
      <c r="M427">
        <v>1.44923081214629</v>
      </c>
      <c r="N427">
        <v>1.4488261692712101</v>
      </c>
      <c r="Q427">
        <f t="shared" si="30"/>
        <v>1.38</v>
      </c>
      <c r="R427">
        <f t="shared" si="32"/>
        <v>1.3655124602963584</v>
      </c>
      <c r="S427">
        <f t="shared" si="33"/>
        <v>1.4487539703641472E-2</v>
      </c>
      <c r="T427">
        <f t="shared" si="34"/>
        <v>2.0988880666458803E-4</v>
      </c>
    </row>
    <row r="428" spans="1:20" hidden="1" x14ac:dyDescent="0.25">
      <c r="A428" t="str">
        <f t="shared" si="31"/>
        <v>BAR</v>
      </c>
      <c r="B428" t="s">
        <v>434</v>
      </c>
      <c r="C428">
        <v>1.5191458010000001</v>
      </c>
      <c r="D428">
        <v>6.1273788000000003E-2</v>
      </c>
      <c r="E428">
        <v>0.74828674299999998</v>
      </c>
      <c r="F428">
        <v>0.37687422300000001</v>
      </c>
      <c r="G428">
        <v>0.83348858199999998</v>
      </c>
      <c r="H428">
        <v>1.29</v>
      </c>
      <c r="I428">
        <v>1.5835947500954499</v>
      </c>
      <c r="J428">
        <v>1.5336008107969601</v>
      </c>
      <c r="K428">
        <v>1.68506577295454</v>
      </c>
      <c r="L428">
        <v>1.4262472647784199</v>
      </c>
      <c r="M428">
        <v>1.5585977804462099</v>
      </c>
      <c r="N428">
        <v>1.55839731542383</v>
      </c>
      <c r="Q428">
        <f t="shared" si="30"/>
        <v>1.29</v>
      </c>
      <c r="R428">
        <f t="shared" si="32"/>
        <v>1.4998331542363246</v>
      </c>
      <c r="S428">
        <f t="shared" si="33"/>
        <v>-0.20983315423632454</v>
      </c>
      <c r="T428">
        <f t="shared" si="34"/>
        <v>4.4029952616765164E-2</v>
      </c>
    </row>
    <row r="429" spans="1:20" hidden="1" x14ac:dyDescent="0.25">
      <c r="A429" t="str">
        <f t="shared" si="31"/>
        <v>BAR</v>
      </c>
      <c r="B429" t="s">
        <v>435</v>
      </c>
      <c r="C429">
        <v>1.4624568819999999</v>
      </c>
      <c r="D429">
        <v>5.8498570999999999E-2</v>
      </c>
      <c r="E429">
        <v>0.74978052399999995</v>
      </c>
      <c r="F429">
        <v>0.34059698700000002</v>
      </c>
      <c r="G429">
        <v>0.843810799</v>
      </c>
      <c r="H429">
        <v>1.04</v>
      </c>
      <c r="I429">
        <v>1.4932910498118599</v>
      </c>
      <c r="J429">
        <v>1.3931076028540399</v>
      </c>
      <c r="K429">
        <v>1.56737610356729</v>
      </c>
      <c r="L429">
        <v>1.1901670599140799</v>
      </c>
      <c r="M429">
        <v>1.4431993263329499</v>
      </c>
      <c r="N429">
        <v>1.44232975243763</v>
      </c>
      <c r="Q429">
        <f t="shared" si="30"/>
        <v>1.04</v>
      </c>
      <c r="R429">
        <f t="shared" si="32"/>
        <v>1.348942648289813</v>
      </c>
      <c r="S429">
        <f t="shared" si="33"/>
        <v>-0.30894264828981299</v>
      </c>
      <c r="T429">
        <f t="shared" si="34"/>
        <v>9.5445559932323093E-2</v>
      </c>
    </row>
    <row r="430" spans="1:20" hidden="1" x14ac:dyDescent="0.25">
      <c r="A430" t="str">
        <f t="shared" si="31"/>
        <v>BAR</v>
      </c>
      <c r="B430" t="s">
        <v>436</v>
      </c>
      <c r="C430">
        <v>1.872167162</v>
      </c>
      <c r="D430">
        <v>5.1769876999999999E-2</v>
      </c>
      <c r="E430">
        <v>0.75042788299999996</v>
      </c>
      <c r="F430">
        <v>0.637777645</v>
      </c>
      <c r="G430">
        <v>0.85272705599999998</v>
      </c>
      <c r="H430">
        <v>1.41</v>
      </c>
      <c r="I430">
        <v>1.88795232114478</v>
      </c>
      <c r="J430">
        <v>1.9242145606238099</v>
      </c>
      <c r="K430">
        <v>1.8666995396141499</v>
      </c>
      <c r="L430">
        <v>1.72850700188916</v>
      </c>
      <c r="M430">
        <v>1.9060834408842999</v>
      </c>
      <c r="N430">
        <v>1.9059972051685501</v>
      </c>
      <c r="Q430">
        <f t="shared" si="30"/>
        <v>1.41</v>
      </c>
      <c r="R430">
        <f t="shared" si="32"/>
        <v>1.9734251084654124</v>
      </c>
      <c r="S430">
        <f t="shared" si="33"/>
        <v>-0.56342510846541249</v>
      </c>
      <c r="T430">
        <f t="shared" si="34"/>
        <v>0.31744785284926186</v>
      </c>
    </row>
    <row r="431" spans="1:20" hidden="1" x14ac:dyDescent="0.25">
      <c r="A431" t="str">
        <f t="shared" si="31"/>
        <v>BAR</v>
      </c>
      <c r="B431" t="s">
        <v>437</v>
      </c>
      <c r="C431">
        <v>2.0999897239999998</v>
      </c>
      <c r="D431">
        <v>4.6555165000000003E-2</v>
      </c>
      <c r="E431">
        <v>0.75706400500000004</v>
      </c>
      <c r="F431">
        <v>0.63386575700000003</v>
      </c>
      <c r="G431">
        <v>0.86727633100000001</v>
      </c>
      <c r="H431">
        <v>2.46</v>
      </c>
      <c r="I431">
        <v>1.53378600343322</v>
      </c>
      <c r="J431">
        <v>1.57643404598095</v>
      </c>
      <c r="K431">
        <v>1.51275295617523</v>
      </c>
      <c r="L431">
        <v>1.3958000588270101</v>
      </c>
      <c r="M431">
        <v>1.5551100247070799</v>
      </c>
      <c r="N431">
        <v>1.5549638179267</v>
      </c>
      <c r="Q431">
        <f t="shared" si="30"/>
        <v>2.46</v>
      </c>
      <c r="R431">
        <f t="shared" si="32"/>
        <v>1.5731072618575999</v>
      </c>
      <c r="S431">
        <f t="shared" si="33"/>
        <v>0.88689273814240011</v>
      </c>
      <c r="T431">
        <f t="shared" si="34"/>
        <v>0.78657872896972392</v>
      </c>
    </row>
    <row r="432" spans="1:20" hidden="1" x14ac:dyDescent="0.25">
      <c r="A432" t="str">
        <f t="shared" si="31"/>
        <v>BAR</v>
      </c>
      <c r="B432" t="s">
        <v>438</v>
      </c>
      <c r="C432">
        <v>1.8891879220000001</v>
      </c>
      <c r="D432">
        <v>5.2824932999999998E-2</v>
      </c>
      <c r="E432">
        <v>0.74248533900000002</v>
      </c>
      <c r="F432">
        <v>0.64767085099999999</v>
      </c>
      <c r="G432">
        <v>0.84865317900000004</v>
      </c>
      <c r="H432">
        <v>2.0699999999999998</v>
      </c>
      <c r="I432">
        <v>1.92868559011353</v>
      </c>
      <c r="J432">
        <v>1.9593622180533901</v>
      </c>
      <c r="K432">
        <v>1.88283041502852</v>
      </c>
      <c r="L432">
        <v>1.72185290715047</v>
      </c>
      <c r="M432">
        <v>1.9440239040834599</v>
      </c>
      <c r="N432">
        <v>1.94396339362974</v>
      </c>
      <c r="Q432">
        <f t="shared" si="30"/>
        <v>2.0699999999999998</v>
      </c>
      <c r="R432">
        <f t="shared" si="32"/>
        <v>2.011044148382485</v>
      </c>
      <c r="S432">
        <f t="shared" si="33"/>
        <v>5.8955851617514821E-2</v>
      </c>
      <c r="T432">
        <f t="shared" si="34"/>
        <v>3.4757924399464249E-3</v>
      </c>
    </row>
    <row r="433" spans="1:20" hidden="1" x14ac:dyDescent="0.25">
      <c r="A433" t="str">
        <f t="shared" si="31"/>
        <v>BAR</v>
      </c>
      <c r="B433" t="s">
        <v>439</v>
      </c>
      <c r="C433">
        <v>1.790980515</v>
      </c>
      <c r="D433">
        <v>5.2566344000000001E-2</v>
      </c>
      <c r="E433">
        <v>0.75396837100000003</v>
      </c>
      <c r="F433">
        <v>0.68621732800000002</v>
      </c>
      <c r="G433">
        <v>0.85894769000000004</v>
      </c>
      <c r="H433">
        <v>1.84</v>
      </c>
      <c r="I433">
        <v>2.1321675286042598</v>
      </c>
      <c r="J433">
        <v>2.2039042718932502</v>
      </c>
      <c r="K433">
        <v>2.1578619713621299</v>
      </c>
      <c r="L433">
        <v>1.9459537170902601</v>
      </c>
      <c r="M433">
        <v>2.1680359002487601</v>
      </c>
      <c r="N433">
        <v>2.1677391735822402</v>
      </c>
      <c r="Q433">
        <f t="shared" si="30"/>
        <v>1.84</v>
      </c>
      <c r="R433">
        <f t="shared" si="32"/>
        <v>2.3005169805741885</v>
      </c>
      <c r="S433">
        <f t="shared" si="33"/>
        <v>-0.46051698057418844</v>
      </c>
      <c r="T433">
        <f t="shared" si="34"/>
        <v>0.21207588939716746</v>
      </c>
    </row>
    <row r="434" spans="1:20" hidden="1" x14ac:dyDescent="0.25">
      <c r="A434" t="str">
        <f t="shared" si="31"/>
        <v>BAR</v>
      </c>
      <c r="B434" t="s">
        <v>440</v>
      </c>
      <c r="C434">
        <v>1.7885689199999999</v>
      </c>
      <c r="D434">
        <v>5.3729761000000001E-2</v>
      </c>
      <c r="E434">
        <v>0.75721841499999998</v>
      </c>
      <c r="F434">
        <v>0.70084586000000004</v>
      </c>
      <c r="G434">
        <v>0.86313954999999998</v>
      </c>
      <c r="H434">
        <v>2.69</v>
      </c>
      <c r="I434">
        <v>2.19759273487999</v>
      </c>
      <c r="J434">
        <v>2.28876345483667</v>
      </c>
      <c r="K434">
        <v>2.2042793438398798</v>
      </c>
      <c r="L434">
        <v>1.9738023154489399</v>
      </c>
      <c r="M434">
        <v>2.24317809485833</v>
      </c>
      <c r="N434">
        <v>2.2427148593184798</v>
      </c>
      <c r="Q434">
        <f t="shared" si="30"/>
        <v>2.69</v>
      </c>
      <c r="R434">
        <f t="shared" si="32"/>
        <v>2.395260085323387</v>
      </c>
      <c r="S434">
        <f t="shared" si="33"/>
        <v>0.29473991467661298</v>
      </c>
      <c r="T434">
        <f t="shared" si="34"/>
        <v>8.6871617303577106E-2</v>
      </c>
    </row>
    <row r="435" spans="1:20" hidden="1" x14ac:dyDescent="0.25">
      <c r="A435" t="str">
        <f t="shared" si="31"/>
        <v>BAR</v>
      </c>
      <c r="B435" t="s">
        <v>441</v>
      </c>
      <c r="C435">
        <v>1.8178093719999999</v>
      </c>
      <c r="D435">
        <v>5.3741408999999997E-2</v>
      </c>
      <c r="E435">
        <v>0.75583657199999998</v>
      </c>
      <c r="F435">
        <v>0.59472358400000003</v>
      </c>
      <c r="G435">
        <v>0.86212180199999999</v>
      </c>
      <c r="H435">
        <v>1.89</v>
      </c>
      <c r="I435">
        <v>1.8463729801478801</v>
      </c>
      <c r="J435">
        <v>1.86875535689074</v>
      </c>
      <c r="K435">
        <v>1.7980486351626801</v>
      </c>
      <c r="L435">
        <v>1.65173838159333</v>
      </c>
      <c r="M435">
        <v>1.8575641685193101</v>
      </c>
      <c r="N435">
        <v>1.8575304566735</v>
      </c>
      <c r="Q435">
        <f t="shared" si="30"/>
        <v>1.89</v>
      </c>
      <c r="R435">
        <f t="shared" si="32"/>
        <v>1.9038337723927601</v>
      </c>
      <c r="S435">
        <f t="shared" si="33"/>
        <v>-1.383377239276018E-2</v>
      </c>
      <c r="T435">
        <f t="shared" si="34"/>
        <v>1.9137325861469371E-4</v>
      </c>
    </row>
    <row r="436" spans="1:20" hidden="1" x14ac:dyDescent="0.25">
      <c r="A436" t="str">
        <f t="shared" si="31"/>
        <v>BAR</v>
      </c>
      <c r="B436" t="s">
        <v>442</v>
      </c>
      <c r="C436">
        <v>1.8796945570000001</v>
      </c>
      <c r="D436">
        <v>5.4448943E-2</v>
      </c>
      <c r="E436">
        <v>0.74667804500000001</v>
      </c>
      <c r="F436">
        <v>0.59597007700000004</v>
      </c>
      <c r="G436">
        <v>0.84816323000000005</v>
      </c>
      <c r="H436">
        <v>2.4700000000000002</v>
      </c>
      <c r="I436">
        <v>1.8031669789531199</v>
      </c>
      <c r="J436">
        <v>1.8186508815370099</v>
      </c>
      <c r="K436">
        <v>1.7251534173471199</v>
      </c>
      <c r="L436">
        <v>1.5796999855353899</v>
      </c>
      <c r="M436">
        <v>1.81090893024507</v>
      </c>
      <c r="N436">
        <v>1.8108923810739099</v>
      </c>
      <c r="Q436">
        <f t="shared" si="30"/>
        <v>2.4700000000000002</v>
      </c>
      <c r="R436">
        <f t="shared" si="32"/>
        <v>1.8411466497074809</v>
      </c>
      <c r="S436">
        <f t="shared" si="33"/>
        <v>0.62885335029251932</v>
      </c>
      <c r="T436">
        <f t="shared" si="34"/>
        <v>0.39545653617412602</v>
      </c>
    </row>
    <row r="437" spans="1:20" hidden="1" x14ac:dyDescent="0.25">
      <c r="A437" t="str">
        <f t="shared" si="31"/>
        <v>BAR</v>
      </c>
      <c r="B437" t="s">
        <v>443</v>
      </c>
      <c r="C437">
        <v>1.853594162</v>
      </c>
      <c r="D437">
        <v>5.3557632000000001E-2</v>
      </c>
      <c r="E437">
        <v>0.73407920500000001</v>
      </c>
      <c r="F437">
        <v>0.619791906</v>
      </c>
      <c r="G437">
        <v>0.83546551700000005</v>
      </c>
      <c r="H437">
        <v>1.69</v>
      </c>
      <c r="I437">
        <v>1.90621839043069</v>
      </c>
      <c r="J437">
        <v>1.9008588369714601</v>
      </c>
      <c r="K437">
        <v>1.89720520789073</v>
      </c>
      <c r="L437">
        <v>1.75642814700617</v>
      </c>
      <c r="M437">
        <v>1.9035386137010699</v>
      </c>
      <c r="N437">
        <v>1.9035367274228501</v>
      </c>
      <c r="Q437">
        <f t="shared" si="30"/>
        <v>1.69</v>
      </c>
      <c r="R437">
        <f t="shared" si="32"/>
        <v>1.9429650250219548</v>
      </c>
      <c r="S437">
        <f t="shared" si="33"/>
        <v>-0.25296502502195484</v>
      </c>
      <c r="T437">
        <f t="shared" si="34"/>
        <v>6.3991303884358239E-2</v>
      </c>
    </row>
    <row r="438" spans="1:20" hidden="1" x14ac:dyDescent="0.25">
      <c r="A438" t="str">
        <f t="shared" si="31"/>
        <v>BAR</v>
      </c>
      <c r="B438" t="s">
        <v>444</v>
      </c>
      <c r="C438">
        <v>1.8211995889999999</v>
      </c>
      <c r="D438">
        <v>5.1643630000000003E-2</v>
      </c>
      <c r="E438">
        <v>0.753867179</v>
      </c>
      <c r="F438">
        <v>0.65241666099999995</v>
      </c>
      <c r="G438">
        <v>0.85614245700000002</v>
      </c>
      <c r="H438">
        <v>2.12</v>
      </c>
      <c r="I438">
        <v>1.9806853010102199</v>
      </c>
      <c r="J438">
        <v>2.0292627182715699</v>
      </c>
      <c r="K438">
        <v>1.9853626816840999</v>
      </c>
      <c r="L438">
        <v>1.7899899259463601</v>
      </c>
      <c r="M438">
        <v>2.0049740096408901</v>
      </c>
      <c r="N438">
        <v>2.0048268847879398</v>
      </c>
      <c r="Q438">
        <f t="shared" si="30"/>
        <v>2.12</v>
      </c>
      <c r="R438">
        <f t="shared" si="32"/>
        <v>2.0984209718945119</v>
      </c>
      <c r="S438">
        <f t="shared" si="33"/>
        <v>2.1579028105488174E-2</v>
      </c>
      <c r="T438">
        <f t="shared" si="34"/>
        <v>4.6565445397744854E-4</v>
      </c>
    </row>
    <row r="439" spans="1:20" hidden="1" x14ac:dyDescent="0.25">
      <c r="A439" t="str">
        <f t="shared" si="31"/>
        <v>BAR</v>
      </c>
      <c r="B439" t="s">
        <v>445</v>
      </c>
      <c r="C439">
        <v>1.79895988</v>
      </c>
      <c r="D439">
        <v>5.3933152999999998E-2</v>
      </c>
      <c r="E439">
        <v>0.75766726299999998</v>
      </c>
      <c r="F439">
        <v>0.67755889199999997</v>
      </c>
      <c r="G439">
        <v>0.86049979899999995</v>
      </c>
      <c r="H439">
        <v>2.1800000000000002</v>
      </c>
      <c r="I439">
        <v>2.12201513476451</v>
      </c>
      <c r="J439">
        <v>2.1978012658674899</v>
      </c>
      <c r="K439">
        <v>2.1094545546158798</v>
      </c>
      <c r="L439">
        <v>1.9055449758634899</v>
      </c>
      <c r="M439">
        <v>2.1599082003159999</v>
      </c>
      <c r="N439">
        <v>2.1595757799566599</v>
      </c>
      <c r="Q439">
        <f t="shared" si="30"/>
        <v>2.1800000000000002</v>
      </c>
      <c r="R439">
        <f t="shared" si="32"/>
        <v>2.2878478084446532</v>
      </c>
      <c r="S439">
        <f t="shared" si="33"/>
        <v>-0.10784780844465303</v>
      </c>
      <c r="T439">
        <f t="shared" si="34"/>
        <v>1.1631149786314573E-2</v>
      </c>
    </row>
    <row r="440" spans="1:20" hidden="1" x14ac:dyDescent="0.25">
      <c r="A440" t="str">
        <f t="shared" si="31"/>
        <v>BAR</v>
      </c>
      <c r="B440" t="s">
        <v>446</v>
      </c>
      <c r="C440">
        <v>1.8883904949999999</v>
      </c>
      <c r="D440">
        <v>5.0360255999999999E-2</v>
      </c>
      <c r="E440">
        <v>0.76494296699999997</v>
      </c>
      <c r="F440">
        <v>0.69513598300000001</v>
      </c>
      <c r="G440">
        <v>0.868995815</v>
      </c>
      <c r="H440">
        <v>2.0099999999999998</v>
      </c>
      <c r="I440">
        <v>1.99807780600518</v>
      </c>
      <c r="J440">
        <v>2.1007724499024398</v>
      </c>
      <c r="K440">
        <v>2.0278098250126901</v>
      </c>
      <c r="L440">
        <v>1.7819410879543101</v>
      </c>
      <c r="M440">
        <v>2.04942512795381</v>
      </c>
      <c r="N440">
        <v>2.0487817862371802</v>
      </c>
      <c r="Q440">
        <f t="shared" si="30"/>
        <v>2.0099999999999998</v>
      </c>
      <c r="R440">
        <f t="shared" si="32"/>
        <v>2.1817328796645774</v>
      </c>
      <c r="S440">
        <f t="shared" si="33"/>
        <v>-0.17173287966457762</v>
      </c>
      <c r="T440">
        <f t="shared" si="34"/>
        <v>2.9492181957888299E-2</v>
      </c>
    </row>
    <row r="441" spans="1:20" hidden="1" x14ac:dyDescent="0.25">
      <c r="A441" t="str">
        <f t="shared" si="31"/>
        <v>BAR</v>
      </c>
      <c r="B441" t="s">
        <v>447</v>
      </c>
      <c r="C441">
        <v>1.9854860480000001</v>
      </c>
      <c r="D441">
        <v>4.7387028999999997E-2</v>
      </c>
      <c r="E441">
        <v>0.77023391200000002</v>
      </c>
      <c r="F441">
        <v>0.66374370599999999</v>
      </c>
      <c r="G441">
        <v>0.87244911199999997</v>
      </c>
      <c r="H441">
        <v>1.71</v>
      </c>
      <c r="I441">
        <v>1.7426204435302799</v>
      </c>
      <c r="J441">
        <v>1.8288919069815399</v>
      </c>
      <c r="K441">
        <v>1.75199506928023</v>
      </c>
      <c r="L441">
        <v>1.54239930554923</v>
      </c>
      <c r="M441">
        <v>1.7857561752559099</v>
      </c>
      <c r="N441">
        <v>1.7852351178803001</v>
      </c>
      <c r="Q441">
        <f t="shared" si="30"/>
        <v>1.71</v>
      </c>
      <c r="R441">
        <f t="shared" si="32"/>
        <v>1.8690188284066171</v>
      </c>
      <c r="S441">
        <f t="shared" si="33"/>
        <v>-0.15901882840661719</v>
      </c>
      <c r="T441">
        <f t="shared" si="34"/>
        <v>2.5286987787813162E-2</v>
      </c>
    </row>
    <row r="442" spans="1:20" hidden="1" x14ac:dyDescent="0.25">
      <c r="A442" t="str">
        <f t="shared" si="31"/>
        <v>BAR</v>
      </c>
      <c r="B442" t="s">
        <v>448</v>
      </c>
      <c r="C442">
        <v>1.7916058610000001</v>
      </c>
      <c r="D442">
        <v>5.5096959000000001E-2</v>
      </c>
      <c r="E442">
        <v>0.75291018700000001</v>
      </c>
      <c r="F442">
        <v>0.616966405</v>
      </c>
      <c r="G442">
        <v>0.85832614399999996</v>
      </c>
      <c r="H442">
        <v>2.0499999999999998</v>
      </c>
      <c r="I442">
        <v>1.9713660114934399</v>
      </c>
      <c r="J442">
        <v>2.00423628271782</v>
      </c>
      <c r="K442">
        <v>1.91253894829743</v>
      </c>
      <c r="L442">
        <v>1.73192297136214</v>
      </c>
      <c r="M442">
        <v>1.9878011471056301</v>
      </c>
      <c r="N442">
        <v>1.98773320311149</v>
      </c>
      <c r="Q442">
        <f t="shared" si="30"/>
        <v>2.0499999999999998</v>
      </c>
      <c r="R442">
        <f t="shared" si="32"/>
        <v>2.0587879040311838</v>
      </c>
      <c r="S442">
        <f t="shared" si="33"/>
        <v>-8.7879040311840129E-3</v>
      </c>
      <c r="T442">
        <f t="shared" si="34"/>
        <v>7.7227257261300219E-5</v>
      </c>
    </row>
    <row r="443" spans="1:20" hidden="1" x14ac:dyDescent="0.25">
      <c r="A443" t="str">
        <f t="shared" si="31"/>
        <v>BAR</v>
      </c>
      <c r="B443" t="s">
        <v>449</v>
      </c>
      <c r="C443">
        <v>1.806306529</v>
      </c>
      <c r="D443">
        <v>5.2146501999999997E-2</v>
      </c>
      <c r="E443">
        <v>0.74770527499999995</v>
      </c>
      <c r="F443">
        <v>0.64952540400000003</v>
      </c>
      <c r="G443">
        <v>0.85769150400000005</v>
      </c>
      <c r="H443">
        <v>1.76</v>
      </c>
      <c r="I443">
        <v>1.99952196269447</v>
      </c>
      <c r="J443">
        <v>2.0389813831486499</v>
      </c>
      <c r="K443">
        <v>2.0041173898697702</v>
      </c>
      <c r="L443">
        <v>1.7979173844049201</v>
      </c>
      <c r="M443">
        <v>2.0192516729215599</v>
      </c>
      <c r="N443">
        <v>2.0191552830653898</v>
      </c>
      <c r="Q443">
        <f t="shared" si="30"/>
        <v>1.76</v>
      </c>
      <c r="R443">
        <f t="shared" si="32"/>
        <v>2.1095035633113572</v>
      </c>
      <c r="S443">
        <f t="shared" si="33"/>
        <v>-0.34950356331135723</v>
      </c>
      <c r="T443">
        <f t="shared" si="34"/>
        <v>0.1221527407673359</v>
      </c>
    </row>
    <row r="444" spans="1:20" hidden="1" x14ac:dyDescent="0.25">
      <c r="A444" t="str">
        <f t="shared" si="31"/>
        <v>BAR</v>
      </c>
      <c r="B444" t="s">
        <v>450</v>
      </c>
      <c r="C444">
        <v>1.745201547</v>
      </c>
      <c r="D444">
        <v>5.7124041E-2</v>
      </c>
      <c r="E444">
        <v>0.75740755699999995</v>
      </c>
      <c r="F444">
        <v>0.63133704300000004</v>
      </c>
      <c r="G444">
        <v>0.86297975400000004</v>
      </c>
      <c r="H444">
        <v>2.1800000000000002</v>
      </c>
      <c r="I444">
        <v>2.10464328091907</v>
      </c>
      <c r="J444">
        <v>2.15392683683418</v>
      </c>
      <c r="K444">
        <v>2.0460431494368199</v>
      </c>
      <c r="L444">
        <v>1.82113739650185</v>
      </c>
      <c r="M444">
        <v>2.1292850588766301</v>
      </c>
      <c r="N444">
        <v>2.1291424669886099</v>
      </c>
      <c r="Q444">
        <f t="shared" si="30"/>
        <v>2.1800000000000002</v>
      </c>
      <c r="R444">
        <f t="shared" si="32"/>
        <v>2.2277630344721078</v>
      </c>
      <c r="S444">
        <f t="shared" si="33"/>
        <v>-4.7763034472107613E-2</v>
      </c>
      <c r="T444">
        <f t="shared" si="34"/>
        <v>2.2813074619837401E-3</v>
      </c>
    </row>
    <row r="445" spans="1:20" hidden="1" x14ac:dyDescent="0.25">
      <c r="A445" t="str">
        <f t="shared" si="31"/>
        <v>BAR</v>
      </c>
      <c r="B445" t="s">
        <v>451</v>
      </c>
      <c r="C445">
        <v>1.822382725</v>
      </c>
      <c r="D445">
        <v>5.0856437999999997E-2</v>
      </c>
      <c r="E445">
        <v>0.75702077400000001</v>
      </c>
      <c r="F445">
        <v>0.45503270400000001</v>
      </c>
      <c r="G445">
        <v>0.85811773499999999</v>
      </c>
      <c r="H445">
        <v>1.53</v>
      </c>
      <c r="I445">
        <v>1.3518857113199301</v>
      </c>
      <c r="J445">
        <v>1.2888339749040301</v>
      </c>
      <c r="K445">
        <v>1.4303138625153</v>
      </c>
      <c r="L445">
        <v>1.3599940465596601</v>
      </c>
      <c r="M445">
        <v>1.3203598431119801</v>
      </c>
      <c r="N445">
        <v>1.3199834222203</v>
      </c>
      <c r="Q445">
        <f t="shared" si="30"/>
        <v>1.53</v>
      </c>
      <c r="R445">
        <f t="shared" si="32"/>
        <v>1.2364751630402133</v>
      </c>
      <c r="S445">
        <f t="shared" si="33"/>
        <v>0.29352483695978671</v>
      </c>
      <c r="T445">
        <f t="shared" si="34"/>
        <v>8.6156829912269361E-2</v>
      </c>
    </row>
    <row r="446" spans="1:20" hidden="1" x14ac:dyDescent="0.25">
      <c r="A446" t="str">
        <f t="shared" si="31"/>
        <v>BAR</v>
      </c>
      <c r="B446" t="s">
        <v>452</v>
      </c>
      <c r="C446">
        <v>1.7610252479999999</v>
      </c>
      <c r="D446">
        <v>5.1109544999999999E-2</v>
      </c>
      <c r="E446">
        <v>0.75400882899999999</v>
      </c>
      <c r="F446">
        <v>0.61667527300000002</v>
      </c>
      <c r="G446">
        <v>0.85781332399999999</v>
      </c>
      <c r="H446">
        <v>0.99</v>
      </c>
      <c r="I446">
        <v>1.92190082469813</v>
      </c>
      <c r="J446">
        <v>1.9466860004147499</v>
      </c>
      <c r="K446">
        <v>1.9706917852005501</v>
      </c>
      <c r="L446">
        <v>1.8009853204438699</v>
      </c>
      <c r="M446">
        <v>1.9342934125564399</v>
      </c>
      <c r="N446">
        <v>1.93425371387143</v>
      </c>
      <c r="Q446">
        <f t="shared" si="30"/>
        <v>0.99</v>
      </c>
      <c r="R446">
        <f t="shared" si="32"/>
        <v>2.0066309382900398</v>
      </c>
      <c r="S446">
        <f t="shared" si="33"/>
        <v>-1.0166309382900398</v>
      </c>
      <c r="T446">
        <f t="shared" si="34"/>
        <v>1.0335384646884866</v>
      </c>
    </row>
    <row r="447" spans="1:20" hidden="1" x14ac:dyDescent="0.25">
      <c r="A447" t="str">
        <f t="shared" si="31"/>
        <v>BAR</v>
      </c>
      <c r="B447" t="s">
        <v>453</v>
      </c>
      <c r="C447">
        <v>1.812349625</v>
      </c>
      <c r="D447">
        <v>5.3579818000000001E-2</v>
      </c>
      <c r="E447">
        <v>0.75115197700000003</v>
      </c>
      <c r="F447">
        <v>0.63322632499999998</v>
      </c>
      <c r="G447">
        <v>0.85634308199999998</v>
      </c>
      <c r="H447">
        <v>1.73</v>
      </c>
      <c r="I447">
        <v>1.9702986603908199</v>
      </c>
      <c r="J447">
        <v>2.0076996090107699</v>
      </c>
      <c r="K447">
        <v>1.9378013438459201</v>
      </c>
      <c r="L447">
        <v>1.75242462103233</v>
      </c>
      <c r="M447">
        <v>1.9889991347008</v>
      </c>
      <c r="N447">
        <v>1.9889112222774299</v>
      </c>
      <c r="Q447">
        <f t="shared" si="30"/>
        <v>1.73</v>
      </c>
      <c r="R447">
        <f t="shared" si="32"/>
        <v>2.0673928087544153</v>
      </c>
      <c r="S447">
        <f t="shared" si="33"/>
        <v>-0.33739280875441535</v>
      </c>
      <c r="T447">
        <f t="shared" si="34"/>
        <v>0.1138339073991935</v>
      </c>
    </row>
    <row r="448" spans="1:20" hidden="1" x14ac:dyDescent="0.25">
      <c r="A448" t="str">
        <f t="shared" si="31"/>
        <v>BAR</v>
      </c>
      <c r="B448" t="s">
        <v>454</v>
      </c>
      <c r="C448">
        <v>1.830621099</v>
      </c>
      <c r="D448">
        <v>5.4112601000000003E-2</v>
      </c>
      <c r="E448">
        <v>0.75656170499999997</v>
      </c>
      <c r="F448">
        <v>0.63256399500000005</v>
      </c>
      <c r="G448">
        <v>0.86175032600000001</v>
      </c>
      <c r="H448">
        <v>1.71</v>
      </c>
      <c r="I448">
        <v>1.95494050800523</v>
      </c>
      <c r="J448">
        <v>2.0038697737961901</v>
      </c>
      <c r="K448">
        <v>1.9185649575941499</v>
      </c>
      <c r="L448">
        <v>1.7484839730505599</v>
      </c>
      <c r="M448">
        <v>1.9794051409007101</v>
      </c>
      <c r="N448">
        <v>1.97925394872953</v>
      </c>
      <c r="Q448">
        <f t="shared" si="30"/>
        <v>1.71</v>
      </c>
      <c r="R448">
        <f t="shared" si="32"/>
        <v>2.0595423415066549</v>
      </c>
      <c r="S448">
        <f t="shared" si="33"/>
        <v>-0.34954234150665497</v>
      </c>
      <c r="T448">
        <f t="shared" si="34"/>
        <v>0.12217984850595501</v>
      </c>
    </row>
    <row r="449" spans="1:20" hidden="1" x14ac:dyDescent="0.25">
      <c r="A449" t="str">
        <f t="shared" si="31"/>
        <v>BAR</v>
      </c>
      <c r="B449" t="s">
        <v>455</v>
      </c>
      <c r="C449">
        <v>1.879326684</v>
      </c>
      <c r="D449">
        <v>5.3785656000000001E-2</v>
      </c>
      <c r="E449">
        <v>0.75675236400000001</v>
      </c>
      <c r="F449">
        <v>0.65125143900000004</v>
      </c>
      <c r="G449">
        <v>0.86356776800000001</v>
      </c>
      <c r="H449">
        <v>2.19</v>
      </c>
      <c r="I449">
        <v>1.9540382133703</v>
      </c>
      <c r="J449">
        <v>2.01667761703815</v>
      </c>
      <c r="K449">
        <v>1.89221943014689</v>
      </c>
      <c r="L449">
        <v>1.69046709554893</v>
      </c>
      <c r="M449">
        <v>1.98535791520422</v>
      </c>
      <c r="N449">
        <v>1.9851108603151399</v>
      </c>
      <c r="Q449">
        <f t="shared" ref="Q449:Q512" si="35">H449</f>
        <v>2.19</v>
      </c>
      <c r="R449">
        <f t="shared" si="32"/>
        <v>2.073332675801665</v>
      </c>
      <c r="S449">
        <f t="shared" si="33"/>
        <v>0.11666732419833492</v>
      </c>
      <c r="T449">
        <f t="shared" si="34"/>
        <v>1.3611264535599386E-2</v>
      </c>
    </row>
    <row r="450" spans="1:20" hidden="1" x14ac:dyDescent="0.25">
      <c r="A450" t="str">
        <f t="shared" si="31"/>
        <v>BAR</v>
      </c>
      <c r="B450" t="s">
        <v>456</v>
      </c>
      <c r="C450">
        <v>1.8835954500000001</v>
      </c>
      <c r="D450">
        <v>5.2198488000000001E-2</v>
      </c>
      <c r="E450">
        <v>0.77636979699999997</v>
      </c>
      <c r="F450">
        <v>0.64388043699999997</v>
      </c>
      <c r="G450">
        <v>0.870821705</v>
      </c>
      <c r="H450">
        <v>1.71</v>
      </c>
      <c r="I450">
        <v>1.8780994631618599</v>
      </c>
      <c r="J450">
        <v>1.9678915622952899</v>
      </c>
      <c r="K450">
        <v>1.86240963761513</v>
      </c>
      <c r="L450">
        <v>1.68698910524463</v>
      </c>
      <c r="M450">
        <v>1.92299551272858</v>
      </c>
      <c r="N450">
        <v>1.9224713487351499</v>
      </c>
      <c r="Q450">
        <f t="shared" si="35"/>
        <v>1.71</v>
      </c>
      <c r="R450">
        <f t="shared" si="32"/>
        <v>2.0192863725196921</v>
      </c>
      <c r="S450">
        <f t="shared" si="33"/>
        <v>-0.30928637251969215</v>
      </c>
      <c r="T450">
        <f t="shared" si="34"/>
        <v>9.5658060226389785E-2</v>
      </c>
    </row>
    <row r="451" spans="1:20" hidden="1" x14ac:dyDescent="0.25">
      <c r="A451" t="str">
        <f t="shared" ref="A451:A514" si="36">LEFT(B451,3)</f>
        <v>BAR</v>
      </c>
      <c r="B451" t="s">
        <v>457</v>
      </c>
      <c r="C451">
        <v>1.822276902</v>
      </c>
      <c r="D451">
        <v>5.7291658000000002E-2</v>
      </c>
      <c r="E451">
        <v>0.76064744399999995</v>
      </c>
      <c r="F451">
        <v>0.53227236899999997</v>
      </c>
      <c r="G451">
        <v>0.855140601</v>
      </c>
      <c r="H451">
        <v>2.21</v>
      </c>
      <c r="I451">
        <v>1.7060687353909401</v>
      </c>
      <c r="J451">
        <v>1.7200912408776099</v>
      </c>
      <c r="K451">
        <v>1.57807125725749</v>
      </c>
      <c r="L451">
        <v>1.4261372583891301</v>
      </c>
      <c r="M451">
        <v>1.71307998813427</v>
      </c>
      <c r="N451">
        <v>1.71306564033054</v>
      </c>
      <c r="Q451">
        <f t="shared" si="35"/>
        <v>2.21</v>
      </c>
      <c r="R451">
        <f t="shared" ref="R451:R514" si="37">$X$2*F451+$X$3*D451*E451+($X$4/(D451-$X$5))-$X$6*C451</f>
        <v>1.7167870301415413</v>
      </c>
      <c r="S451">
        <f t="shared" ref="S451:S514" si="38">Q451-R451</f>
        <v>0.49321296985845864</v>
      </c>
      <c r="T451">
        <f t="shared" ref="T451:T514" si="39">S451^2</f>
        <v>0.24325903363660084</v>
      </c>
    </row>
    <row r="452" spans="1:20" hidden="1" x14ac:dyDescent="0.25">
      <c r="A452" t="str">
        <f t="shared" si="36"/>
        <v>BAR</v>
      </c>
      <c r="B452" t="s">
        <v>458</v>
      </c>
      <c r="C452">
        <v>1.9321407450000001</v>
      </c>
      <c r="D452">
        <v>5.6547385999999998E-2</v>
      </c>
      <c r="E452">
        <v>0.77347322799999996</v>
      </c>
      <c r="F452">
        <v>0.59489490899999997</v>
      </c>
      <c r="G452">
        <v>0.86619822499999999</v>
      </c>
      <c r="H452">
        <v>1.74</v>
      </c>
      <c r="I452">
        <v>1.7645598070431301</v>
      </c>
      <c r="J452">
        <v>1.8355633710971</v>
      </c>
      <c r="K452">
        <v>1.64335586799941</v>
      </c>
      <c r="L452">
        <v>1.5309638285931999</v>
      </c>
      <c r="M452">
        <v>1.8000615890701199</v>
      </c>
      <c r="N452">
        <v>1.79971146240684</v>
      </c>
      <c r="Q452">
        <f t="shared" si="35"/>
        <v>1.74</v>
      </c>
      <c r="R452">
        <f t="shared" si="37"/>
        <v>1.8474744235634626</v>
      </c>
      <c r="S452">
        <f t="shared" si="38"/>
        <v>-0.1074744235634626</v>
      </c>
      <c r="T452">
        <f t="shared" si="39"/>
        <v>1.1550751720298564E-2</v>
      </c>
    </row>
    <row r="453" spans="1:20" hidden="1" x14ac:dyDescent="0.25">
      <c r="A453" t="str">
        <f t="shared" si="36"/>
        <v>BAR</v>
      </c>
      <c r="B453" t="s">
        <v>459</v>
      </c>
      <c r="C453">
        <v>1.7317075129999999</v>
      </c>
      <c r="D453">
        <v>5.4950820999999997E-2</v>
      </c>
      <c r="E453">
        <v>0.76134325000000003</v>
      </c>
      <c r="F453">
        <v>0.57653803299999995</v>
      </c>
      <c r="G453">
        <v>0.86086586899999995</v>
      </c>
      <c r="H453">
        <v>1.88</v>
      </c>
      <c r="I453">
        <v>1.89959779351124</v>
      </c>
      <c r="J453">
        <v>1.9203607021906199</v>
      </c>
      <c r="K453">
        <v>1.8439707093365101</v>
      </c>
      <c r="L453">
        <v>1.65925839841523</v>
      </c>
      <c r="M453">
        <v>1.9099792478509301</v>
      </c>
      <c r="N453">
        <v>1.9099510340914501</v>
      </c>
      <c r="Q453">
        <f t="shared" si="35"/>
        <v>1.88</v>
      </c>
      <c r="R453">
        <f t="shared" si="37"/>
        <v>1.9631393675905118</v>
      </c>
      <c r="S453">
        <f t="shared" si="38"/>
        <v>-8.3139367590511881E-2</v>
      </c>
      <c r="T453">
        <f t="shared" si="39"/>
        <v>6.9121544433502578E-3</v>
      </c>
    </row>
    <row r="454" spans="1:20" hidden="1" x14ac:dyDescent="0.25">
      <c r="A454" t="str">
        <f t="shared" si="36"/>
        <v>BAR</v>
      </c>
      <c r="B454" t="s">
        <v>460</v>
      </c>
      <c r="C454">
        <v>1.726410413</v>
      </c>
      <c r="D454">
        <v>5.426897E-2</v>
      </c>
      <c r="E454">
        <v>0.769837989</v>
      </c>
      <c r="F454">
        <v>0.66581791599999995</v>
      </c>
      <c r="G454">
        <v>0.86795449999999996</v>
      </c>
      <c r="H454">
        <v>1.63</v>
      </c>
      <c r="I454">
        <v>2.1573016481120599</v>
      </c>
      <c r="J454">
        <v>2.2461292641809498</v>
      </c>
      <c r="K454">
        <v>2.1579324704110001</v>
      </c>
      <c r="L454">
        <v>1.9381344214299101</v>
      </c>
      <c r="M454">
        <v>2.20171545614651</v>
      </c>
      <c r="N454">
        <v>2.2012674447895502</v>
      </c>
      <c r="Q454">
        <f t="shared" si="35"/>
        <v>1.63</v>
      </c>
      <c r="R454">
        <f t="shared" si="37"/>
        <v>2.3449361652679825</v>
      </c>
      <c r="S454">
        <f t="shared" si="38"/>
        <v>-0.71493616526798265</v>
      </c>
      <c r="T454">
        <f t="shared" si="39"/>
        <v>0.51113372040808824</v>
      </c>
    </row>
    <row r="455" spans="1:20" hidden="1" x14ac:dyDescent="0.25">
      <c r="A455" t="str">
        <f t="shared" si="36"/>
        <v>BAR</v>
      </c>
      <c r="B455" t="s">
        <v>461</v>
      </c>
      <c r="C455">
        <v>1.8199318550000001</v>
      </c>
      <c r="D455">
        <v>6.7459319000000004E-2</v>
      </c>
      <c r="E455">
        <v>0.71971090900000001</v>
      </c>
      <c r="F455">
        <v>0.45051785999999999</v>
      </c>
      <c r="G455">
        <v>0.80114616900000002</v>
      </c>
      <c r="H455">
        <v>1.26</v>
      </c>
      <c r="I455">
        <v>1.60556146360501</v>
      </c>
      <c r="J455">
        <v>1.6240218567797899</v>
      </c>
      <c r="K455">
        <v>1.5649971501272599</v>
      </c>
      <c r="L455">
        <v>1.5591482188975001</v>
      </c>
      <c r="M455">
        <v>1.6147916601923999</v>
      </c>
      <c r="N455">
        <v>1.6147652799394301</v>
      </c>
      <c r="Q455">
        <f t="shared" si="35"/>
        <v>1.26</v>
      </c>
      <c r="R455">
        <f t="shared" si="37"/>
        <v>1.5699136233615336</v>
      </c>
      <c r="S455">
        <f t="shared" si="38"/>
        <v>-0.30991362336153361</v>
      </c>
      <c r="T455">
        <f t="shared" si="39"/>
        <v>9.6046453945074509E-2</v>
      </c>
    </row>
    <row r="456" spans="1:20" hidden="1" x14ac:dyDescent="0.25">
      <c r="A456" t="str">
        <f t="shared" si="36"/>
        <v>BAR</v>
      </c>
      <c r="B456" t="s">
        <v>462</v>
      </c>
      <c r="C456">
        <v>1.784798763</v>
      </c>
      <c r="D456">
        <v>7.2204513999999997E-2</v>
      </c>
      <c r="E456">
        <v>0.71389924400000004</v>
      </c>
      <c r="F456">
        <v>0.38773739899999998</v>
      </c>
      <c r="G456">
        <v>0.78593020800000002</v>
      </c>
      <c r="H456">
        <v>1.45</v>
      </c>
      <c r="I456">
        <v>1.4653317749705701</v>
      </c>
      <c r="J456">
        <v>1.54622014061758</v>
      </c>
      <c r="K456">
        <v>1.3417424548958301</v>
      </c>
      <c r="L456">
        <v>1.24176794435474</v>
      </c>
      <c r="M456">
        <v>1.5057759577940799</v>
      </c>
      <c r="N456">
        <v>1.5052327073068801</v>
      </c>
      <c r="Q456">
        <f t="shared" si="35"/>
        <v>1.45</v>
      </c>
      <c r="R456">
        <f t="shared" si="37"/>
        <v>1.4596649758646287</v>
      </c>
      <c r="S456">
        <f t="shared" si="38"/>
        <v>-9.6649758646287776E-3</v>
      </c>
      <c r="T456">
        <f t="shared" si="39"/>
        <v>9.3411758463856788E-5</v>
      </c>
    </row>
    <row r="457" spans="1:20" hidden="1" x14ac:dyDescent="0.25">
      <c r="A457" t="str">
        <f t="shared" si="36"/>
        <v>BAR</v>
      </c>
      <c r="B457" t="s">
        <v>463</v>
      </c>
      <c r="C457">
        <v>1.7066913079999999</v>
      </c>
      <c r="D457">
        <v>7.0846360999999997E-2</v>
      </c>
      <c r="E457">
        <v>0.70858789200000005</v>
      </c>
      <c r="F457">
        <v>0.42131658399999999</v>
      </c>
      <c r="G457">
        <v>0.78191966999999996</v>
      </c>
      <c r="H457">
        <v>1.35</v>
      </c>
      <c r="I457">
        <v>1.68034869330251</v>
      </c>
      <c r="J457">
        <v>1.7046437813189499</v>
      </c>
      <c r="K457">
        <v>1.6170570189339699</v>
      </c>
      <c r="L457">
        <v>1.5204106294152799</v>
      </c>
      <c r="M457">
        <v>1.69249623731073</v>
      </c>
      <c r="N457">
        <v>1.69245264349865</v>
      </c>
      <c r="Q457">
        <f t="shared" si="35"/>
        <v>1.35</v>
      </c>
      <c r="R457">
        <f t="shared" si="37"/>
        <v>1.6556384769155064</v>
      </c>
      <c r="S457">
        <f t="shared" si="38"/>
        <v>-0.30563847691550627</v>
      </c>
      <c r="T457">
        <f t="shared" si="39"/>
        <v>9.3414878571230459E-2</v>
      </c>
    </row>
    <row r="458" spans="1:20" hidden="1" x14ac:dyDescent="0.25">
      <c r="A458" t="str">
        <f t="shared" si="36"/>
        <v>BAR</v>
      </c>
      <c r="B458" t="s">
        <v>464</v>
      </c>
      <c r="C458">
        <v>1.786143708</v>
      </c>
      <c r="D458">
        <v>6.8985045999999994E-2</v>
      </c>
      <c r="E458">
        <v>0.72547392499999996</v>
      </c>
      <c r="F458">
        <v>0.41842132900000001</v>
      </c>
      <c r="G458">
        <v>0.80154915999999998</v>
      </c>
      <c r="H458">
        <v>1.5</v>
      </c>
      <c r="I458">
        <v>1.5407650709241201</v>
      </c>
      <c r="J458">
        <v>1.5859829927498399</v>
      </c>
      <c r="K458">
        <v>1.4783729231365801</v>
      </c>
      <c r="L458">
        <v>1.42998444590913</v>
      </c>
      <c r="M458">
        <v>1.56337403183698</v>
      </c>
      <c r="N458">
        <v>1.5632105419004401</v>
      </c>
      <c r="Q458">
        <f t="shared" si="35"/>
        <v>1.5</v>
      </c>
      <c r="R458">
        <f t="shared" si="37"/>
        <v>1.5193559260084655</v>
      </c>
      <c r="S458">
        <f t="shared" si="38"/>
        <v>-1.9355926008465474E-2</v>
      </c>
      <c r="T458">
        <f t="shared" si="39"/>
        <v>3.7465187164519015E-4</v>
      </c>
    </row>
    <row r="459" spans="1:20" hidden="1" x14ac:dyDescent="0.25">
      <c r="A459" t="str">
        <f t="shared" si="36"/>
        <v>BAR</v>
      </c>
      <c r="B459" t="s">
        <v>465</v>
      </c>
      <c r="C459">
        <v>1.681568792</v>
      </c>
      <c r="D459">
        <v>6.5639217E-2</v>
      </c>
      <c r="E459">
        <v>0.71164542500000005</v>
      </c>
      <c r="F459">
        <v>0.37516295100000002</v>
      </c>
      <c r="G459">
        <v>0.79763057100000001</v>
      </c>
      <c r="H459">
        <v>1.21</v>
      </c>
      <c r="I459">
        <v>1.4482039985377499</v>
      </c>
      <c r="J459">
        <v>1.4308254403054499</v>
      </c>
      <c r="K459">
        <v>1.4017181635825899</v>
      </c>
      <c r="L459">
        <v>1.20935683084609</v>
      </c>
      <c r="M459">
        <v>1.4395147194216</v>
      </c>
      <c r="N459">
        <v>1.43948849382685</v>
      </c>
      <c r="Q459">
        <f t="shared" si="35"/>
        <v>1.21</v>
      </c>
      <c r="R459">
        <f t="shared" si="37"/>
        <v>1.3599576140948062</v>
      </c>
      <c r="S459">
        <f t="shared" si="38"/>
        <v>-0.14995761409480624</v>
      </c>
      <c r="T459">
        <f t="shared" si="39"/>
        <v>2.2487286025006829E-2</v>
      </c>
    </row>
    <row r="460" spans="1:20" hidden="1" x14ac:dyDescent="0.25">
      <c r="A460" t="str">
        <f t="shared" si="36"/>
        <v>BAR</v>
      </c>
      <c r="B460" t="s">
        <v>466</v>
      </c>
      <c r="C460">
        <v>1.835120364</v>
      </c>
      <c r="D460">
        <v>7.0997488999999997E-2</v>
      </c>
      <c r="E460">
        <v>0.73625134400000003</v>
      </c>
      <c r="F460">
        <v>0.37271191599999998</v>
      </c>
      <c r="G460">
        <v>0.79859599199999998</v>
      </c>
      <c r="H460">
        <v>1.48</v>
      </c>
      <c r="I460">
        <v>1.30697350271916</v>
      </c>
      <c r="J460">
        <v>1.43558357866083</v>
      </c>
      <c r="K460">
        <v>1.1684305977032099</v>
      </c>
      <c r="L460">
        <v>1.06234889298701</v>
      </c>
      <c r="M460">
        <v>1.3712785406900001</v>
      </c>
      <c r="N460">
        <v>1.3697699435483499</v>
      </c>
      <c r="Q460">
        <f t="shared" si="35"/>
        <v>1.48</v>
      </c>
      <c r="R460">
        <f t="shared" si="37"/>
        <v>1.3303574517149221</v>
      </c>
      <c r="S460">
        <f t="shared" si="38"/>
        <v>0.14964254828507784</v>
      </c>
      <c r="T460">
        <f t="shared" si="39"/>
        <v>2.2392892257251853E-2</v>
      </c>
    </row>
    <row r="461" spans="1:20" hidden="1" x14ac:dyDescent="0.25">
      <c r="A461" t="str">
        <f t="shared" si="36"/>
        <v>BAR</v>
      </c>
      <c r="B461" t="s">
        <v>467</v>
      </c>
      <c r="C461">
        <v>1.742468541</v>
      </c>
      <c r="D461">
        <v>7.5295264000000001E-2</v>
      </c>
      <c r="E461">
        <v>0.72543489800000005</v>
      </c>
      <c r="F461">
        <v>0.32309950399999998</v>
      </c>
      <c r="G461">
        <v>0.79278941199999997</v>
      </c>
      <c r="H461">
        <v>1.39</v>
      </c>
      <c r="I461">
        <v>1.30102400802299</v>
      </c>
      <c r="J461">
        <v>1.4523092753776301</v>
      </c>
      <c r="K461">
        <v>1.0409575157470099</v>
      </c>
      <c r="L461">
        <v>0.86273821812965801</v>
      </c>
      <c r="M461">
        <v>1.3766666417003099</v>
      </c>
      <c r="N461">
        <v>1.3745869322602999</v>
      </c>
      <c r="Q461">
        <f t="shared" si="35"/>
        <v>1.39</v>
      </c>
      <c r="R461">
        <f t="shared" si="37"/>
        <v>1.3342013633631677</v>
      </c>
      <c r="S461">
        <f t="shared" si="38"/>
        <v>5.5798636636832155E-2</v>
      </c>
      <c r="T461">
        <f t="shared" si="39"/>
        <v>3.1134878505292276E-3</v>
      </c>
    </row>
    <row r="462" spans="1:20" hidden="1" x14ac:dyDescent="0.25">
      <c r="A462" t="str">
        <f t="shared" si="36"/>
        <v>BAR</v>
      </c>
      <c r="B462" t="s">
        <v>468</v>
      </c>
      <c r="C462">
        <v>1.799021523</v>
      </c>
      <c r="D462">
        <v>7.3757167999999998E-2</v>
      </c>
      <c r="E462">
        <v>0.70996912199999995</v>
      </c>
      <c r="F462">
        <v>0.31548810999999999</v>
      </c>
      <c r="G462">
        <v>0.76953427100000005</v>
      </c>
      <c r="H462">
        <v>1.28</v>
      </c>
      <c r="I462">
        <v>1.1228313223469499</v>
      </c>
      <c r="J462">
        <v>1.3043892361912699</v>
      </c>
      <c r="K462">
        <v>0.83501430584717895</v>
      </c>
      <c r="L462">
        <v>0.70631784026067201</v>
      </c>
      <c r="M462">
        <v>1.2136102792691099</v>
      </c>
      <c r="N462">
        <v>1.2102103498680601</v>
      </c>
      <c r="Q462">
        <f t="shared" si="35"/>
        <v>1.28</v>
      </c>
      <c r="R462">
        <f t="shared" si="37"/>
        <v>1.1696447183099705</v>
      </c>
      <c r="S462">
        <f t="shared" si="38"/>
        <v>0.11035528169002951</v>
      </c>
      <c r="T462">
        <f t="shared" si="39"/>
        <v>1.2178288196885762E-2</v>
      </c>
    </row>
    <row r="463" spans="1:20" hidden="1" x14ac:dyDescent="0.25">
      <c r="A463" t="str">
        <f t="shared" si="36"/>
        <v>BAR</v>
      </c>
      <c r="B463" t="s">
        <v>469</v>
      </c>
      <c r="C463">
        <v>1.2212022300000001</v>
      </c>
      <c r="D463">
        <v>7.3412078000000006E-2</v>
      </c>
      <c r="E463">
        <v>0.70466918099999998</v>
      </c>
      <c r="F463">
        <v>0.32202686200000002</v>
      </c>
      <c r="G463">
        <v>0.75312402499999997</v>
      </c>
      <c r="H463">
        <v>1.19</v>
      </c>
      <c r="I463">
        <v>1.88426088664655</v>
      </c>
      <c r="J463">
        <v>1.88994558717998</v>
      </c>
      <c r="K463">
        <v>1.89277588359326</v>
      </c>
      <c r="L463">
        <v>1.49084123080126</v>
      </c>
      <c r="M463">
        <v>1.8871032369132701</v>
      </c>
      <c r="N463">
        <v>1.88710109634155</v>
      </c>
      <c r="Q463">
        <f t="shared" si="35"/>
        <v>1.19</v>
      </c>
      <c r="R463">
        <f t="shared" si="37"/>
        <v>1.8826929003277406</v>
      </c>
      <c r="S463">
        <f t="shared" si="38"/>
        <v>-0.69269290032774067</v>
      </c>
      <c r="T463">
        <f t="shared" si="39"/>
        <v>0.47982345416445726</v>
      </c>
    </row>
    <row r="464" spans="1:20" hidden="1" x14ac:dyDescent="0.25">
      <c r="A464" t="str">
        <f t="shared" si="36"/>
        <v>BAR</v>
      </c>
      <c r="B464" t="s">
        <v>470</v>
      </c>
      <c r="C464">
        <v>1.6365714739999999</v>
      </c>
      <c r="D464">
        <v>7.3135202999999996E-2</v>
      </c>
      <c r="E464">
        <v>0.71211388799999997</v>
      </c>
      <c r="F464">
        <v>0.37944415199999998</v>
      </c>
      <c r="G464">
        <v>0.77175084199999999</v>
      </c>
      <c r="H464">
        <v>1.21</v>
      </c>
      <c r="I464">
        <v>1.61279098154428</v>
      </c>
      <c r="J464">
        <v>1.6872233440909401</v>
      </c>
      <c r="K464">
        <v>1.5682246908505599</v>
      </c>
      <c r="L464">
        <v>1.3843281700277299</v>
      </c>
      <c r="M464">
        <v>1.6500071628176101</v>
      </c>
      <c r="N464">
        <v>1.64958740089783</v>
      </c>
      <c r="Q464">
        <f t="shared" si="35"/>
        <v>1.21</v>
      </c>
      <c r="R464">
        <f t="shared" si="37"/>
        <v>1.6268272391013094</v>
      </c>
      <c r="S464">
        <f t="shared" si="38"/>
        <v>-0.41682723910130948</v>
      </c>
      <c r="T464">
        <f t="shared" si="39"/>
        <v>0.17374494725682021</v>
      </c>
    </row>
    <row r="465" spans="1:20" hidden="1" x14ac:dyDescent="0.25">
      <c r="A465" t="str">
        <f t="shared" si="36"/>
        <v>BAR</v>
      </c>
      <c r="B465" t="s">
        <v>471</v>
      </c>
      <c r="C465">
        <v>1.514840341</v>
      </c>
      <c r="D465">
        <v>7.2947330000000005E-2</v>
      </c>
      <c r="E465">
        <v>0.68959145399999999</v>
      </c>
      <c r="F465">
        <v>0.317860268</v>
      </c>
      <c r="G465">
        <v>0.74728324000000002</v>
      </c>
      <c r="H465">
        <v>1.24</v>
      </c>
      <c r="I465">
        <v>1.4685374899886701</v>
      </c>
      <c r="J465">
        <v>1.5492829554943599</v>
      </c>
      <c r="K465">
        <v>1.41848123253164</v>
      </c>
      <c r="L465">
        <v>1.1287790470858901</v>
      </c>
      <c r="M465">
        <v>1.5089102227415101</v>
      </c>
      <c r="N465">
        <v>1.50837001519651</v>
      </c>
      <c r="Q465">
        <f t="shared" si="35"/>
        <v>1.24</v>
      </c>
      <c r="R465">
        <f t="shared" si="37"/>
        <v>1.476267480734593</v>
      </c>
      <c r="S465">
        <f t="shared" si="38"/>
        <v>-0.23626748073459303</v>
      </c>
      <c r="T465">
        <f t="shared" si="39"/>
        <v>5.582232245267129E-2</v>
      </c>
    </row>
    <row r="466" spans="1:20" hidden="1" x14ac:dyDescent="0.25">
      <c r="A466" t="str">
        <f t="shared" si="36"/>
        <v>BAR</v>
      </c>
      <c r="B466" t="s">
        <v>472</v>
      </c>
      <c r="C466">
        <v>1.448284745</v>
      </c>
      <c r="D466">
        <v>7.3347918999999998E-2</v>
      </c>
      <c r="E466">
        <v>0.69738730299999996</v>
      </c>
      <c r="F466">
        <v>0.308693579</v>
      </c>
      <c r="G466">
        <v>0.75522742499999995</v>
      </c>
      <c r="H466">
        <v>1.1399999999999999</v>
      </c>
      <c r="I466">
        <v>1.52605518046191</v>
      </c>
      <c r="J466">
        <v>1.6029188243290899</v>
      </c>
      <c r="K466">
        <v>1.3660697667703701</v>
      </c>
      <c r="L466">
        <v>1.1549326332616401</v>
      </c>
      <c r="M466">
        <v>1.5644870023955</v>
      </c>
      <c r="N466">
        <v>1.5640148898675299</v>
      </c>
      <c r="Q466">
        <f t="shared" si="35"/>
        <v>1.1399999999999999</v>
      </c>
      <c r="R466">
        <f t="shared" si="37"/>
        <v>1.5386566385110083</v>
      </c>
      <c r="S466">
        <f t="shared" si="38"/>
        <v>-0.39865663851100841</v>
      </c>
      <c r="T466">
        <f t="shared" si="39"/>
        <v>0.15892711542889684</v>
      </c>
    </row>
    <row r="467" spans="1:20" hidden="1" x14ac:dyDescent="0.25">
      <c r="A467" t="str">
        <f t="shared" si="36"/>
        <v>BAR</v>
      </c>
      <c r="B467" t="s">
        <v>473</v>
      </c>
      <c r="C467">
        <v>1.5037169749999999</v>
      </c>
      <c r="D467">
        <v>7.0872813000000007E-2</v>
      </c>
      <c r="E467">
        <v>0.726526004</v>
      </c>
      <c r="F467">
        <v>0.31670991399999998</v>
      </c>
      <c r="G467">
        <v>0.78124551600000003</v>
      </c>
      <c r="H467">
        <v>1.21</v>
      </c>
      <c r="I467">
        <v>1.46556913401567</v>
      </c>
      <c r="J467">
        <v>1.54605909597749</v>
      </c>
      <c r="K467">
        <v>1.37474571164078</v>
      </c>
      <c r="L467">
        <v>1.09992430013423</v>
      </c>
      <c r="M467">
        <v>1.50581411499658</v>
      </c>
      <c r="N467">
        <v>1.5052762173198599</v>
      </c>
      <c r="Q467">
        <f t="shared" si="35"/>
        <v>1.21</v>
      </c>
      <c r="R467">
        <f t="shared" si="37"/>
        <v>1.4769675934716844</v>
      </c>
      <c r="S467">
        <f t="shared" si="38"/>
        <v>-0.26696759347168442</v>
      </c>
      <c r="T467">
        <f t="shared" si="39"/>
        <v>7.1271695964062562E-2</v>
      </c>
    </row>
    <row r="468" spans="1:20" hidden="1" x14ac:dyDescent="0.25">
      <c r="A468" t="str">
        <f t="shared" si="36"/>
        <v>BAR</v>
      </c>
      <c r="B468" t="s">
        <v>474</v>
      </c>
      <c r="C468">
        <v>1.4084154440000001</v>
      </c>
      <c r="D468">
        <v>7.0821190000000006E-2</v>
      </c>
      <c r="E468">
        <v>0.723271624</v>
      </c>
      <c r="F468">
        <v>0.316714789</v>
      </c>
      <c r="G468">
        <v>0.78138591599999996</v>
      </c>
      <c r="H468">
        <v>0.92</v>
      </c>
      <c r="I468">
        <v>1.5914084718303301</v>
      </c>
      <c r="J468">
        <v>1.63601994647646</v>
      </c>
      <c r="K468">
        <v>1.5674519914352201</v>
      </c>
      <c r="L468">
        <v>1.2368501880296601</v>
      </c>
      <c r="M468">
        <v>1.6137142091534</v>
      </c>
      <c r="N468">
        <v>1.6135600400685599</v>
      </c>
      <c r="Q468">
        <f t="shared" si="35"/>
        <v>0.92</v>
      </c>
      <c r="R468">
        <f t="shared" si="37"/>
        <v>1.5871922956852074</v>
      </c>
      <c r="S468">
        <f t="shared" si="38"/>
        <v>-0.66719229568520733</v>
      </c>
      <c r="T468">
        <f t="shared" si="39"/>
        <v>0.44514555942169715</v>
      </c>
    </row>
    <row r="469" spans="1:20" hidden="1" x14ac:dyDescent="0.25">
      <c r="A469" t="str">
        <f t="shared" si="36"/>
        <v>BAR</v>
      </c>
      <c r="B469" t="s">
        <v>475</v>
      </c>
      <c r="C469">
        <v>1.8014265570000001</v>
      </c>
      <c r="D469">
        <v>6.7591834000000003E-2</v>
      </c>
      <c r="E469">
        <v>0.74195185799999996</v>
      </c>
      <c r="F469">
        <v>0.36686222000000002</v>
      </c>
      <c r="G469">
        <v>0.82044106100000003</v>
      </c>
      <c r="H469">
        <v>1.1100000000000001</v>
      </c>
      <c r="I469">
        <v>1.3142099815591399</v>
      </c>
      <c r="J469">
        <v>1.36458243366009</v>
      </c>
      <c r="K469">
        <v>1.1575708273810601</v>
      </c>
      <c r="L469">
        <v>1.00939600706236</v>
      </c>
      <c r="M469">
        <v>1.33939620760961</v>
      </c>
      <c r="N469">
        <v>1.33915938370918</v>
      </c>
      <c r="Q469">
        <f t="shared" si="35"/>
        <v>1.1100000000000001</v>
      </c>
      <c r="R469">
        <f t="shared" si="37"/>
        <v>1.2639241865872748</v>
      </c>
      <c r="S469">
        <f t="shared" si="38"/>
        <v>-0.15392418658727469</v>
      </c>
      <c r="T469">
        <f t="shared" si="39"/>
        <v>2.3692655216554153E-2</v>
      </c>
    </row>
    <row r="470" spans="1:20" hidden="1" x14ac:dyDescent="0.25">
      <c r="A470" t="str">
        <f t="shared" si="36"/>
        <v>BAR</v>
      </c>
      <c r="B470" t="s">
        <v>476</v>
      </c>
      <c r="C470">
        <v>1.945260215</v>
      </c>
      <c r="D470">
        <v>5.5441892999999999E-2</v>
      </c>
      <c r="E470">
        <v>0.737005456</v>
      </c>
      <c r="F470">
        <v>0.539684842</v>
      </c>
      <c r="G470">
        <v>0.84140576199999995</v>
      </c>
      <c r="H470">
        <v>1.51</v>
      </c>
      <c r="I470">
        <v>1.5765034131103799</v>
      </c>
      <c r="J470">
        <v>1.5593270017330301</v>
      </c>
      <c r="K470">
        <v>1.4918929191836401</v>
      </c>
      <c r="L470">
        <v>1.4268070731876299</v>
      </c>
      <c r="M470">
        <v>1.56791520742171</v>
      </c>
      <c r="N470">
        <v>1.5678916864335</v>
      </c>
      <c r="Q470">
        <f t="shared" si="35"/>
        <v>1.51</v>
      </c>
      <c r="R470">
        <f t="shared" si="37"/>
        <v>1.5331716843144707</v>
      </c>
      <c r="S470">
        <f t="shared" si="38"/>
        <v>-2.3171684314470697E-2</v>
      </c>
      <c r="T470">
        <f t="shared" si="39"/>
        <v>5.3692695396948735E-4</v>
      </c>
    </row>
    <row r="471" spans="1:20" hidden="1" x14ac:dyDescent="0.25">
      <c r="A471" t="str">
        <f t="shared" si="36"/>
        <v>BAR</v>
      </c>
      <c r="B471" t="s">
        <v>477</v>
      </c>
      <c r="C471">
        <v>1.963047953</v>
      </c>
      <c r="D471">
        <v>5.1814745000000002E-2</v>
      </c>
      <c r="E471">
        <v>0.75485475499999999</v>
      </c>
      <c r="F471">
        <v>0.678031316</v>
      </c>
      <c r="G471">
        <v>0.85975845200000001</v>
      </c>
      <c r="H471">
        <v>2.5499999999999998</v>
      </c>
      <c r="I471">
        <v>1.91042357769168</v>
      </c>
      <c r="J471">
        <v>1.98610154651168</v>
      </c>
      <c r="K471">
        <v>1.8992560110358001</v>
      </c>
      <c r="L471">
        <v>1.7011925107149599</v>
      </c>
      <c r="M471">
        <v>1.94826256210168</v>
      </c>
      <c r="N471">
        <v>1.9478950747270301</v>
      </c>
      <c r="Q471">
        <f t="shared" si="35"/>
        <v>2.5499999999999998</v>
      </c>
      <c r="R471">
        <f t="shared" si="37"/>
        <v>2.0407266853845329</v>
      </c>
      <c r="S471">
        <f t="shared" si="38"/>
        <v>0.50927331461546688</v>
      </c>
      <c r="T471">
        <f t="shared" si="39"/>
        <v>0.25935930897942433</v>
      </c>
    </row>
    <row r="472" spans="1:20" hidden="1" x14ac:dyDescent="0.25">
      <c r="A472" t="str">
        <f t="shared" si="36"/>
        <v>BAR</v>
      </c>
      <c r="B472" t="s">
        <v>478</v>
      </c>
      <c r="C472">
        <v>1.920766263</v>
      </c>
      <c r="D472">
        <v>5.1391773000000002E-2</v>
      </c>
      <c r="E472">
        <v>0.74005668599999996</v>
      </c>
      <c r="F472">
        <v>0.62039011499999996</v>
      </c>
      <c r="G472">
        <v>0.84437966499999995</v>
      </c>
      <c r="H472">
        <v>1.82</v>
      </c>
      <c r="I472">
        <v>1.78515769271768</v>
      </c>
      <c r="J472">
        <v>1.7943548980472499</v>
      </c>
      <c r="K472">
        <v>1.8276868581064001</v>
      </c>
      <c r="L472">
        <v>1.7139139794405001</v>
      </c>
      <c r="M472">
        <v>1.7897562953824599</v>
      </c>
      <c r="N472">
        <v>1.78975038754422</v>
      </c>
      <c r="Q472">
        <f t="shared" si="35"/>
        <v>1.82</v>
      </c>
      <c r="R472">
        <f t="shared" si="37"/>
        <v>1.8220980868441981</v>
      </c>
      <c r="S472">
        <f t="shared" si="38"/>
        <v>-2.0980868441979883E-3</v>
      </c>
      <c r="T472">
        <f t="shared" si="39"/>
        <v>4.4019684057966735E-6</v>
      </c>
    </row>
    <row r="473" spans="1:20" hidden="1" x14ac:dyDescent="0.25">
      <c r="A473" t="str">
        <f t="shared" si="36"/>
        <v>BAR</v>
      </c>
      <c r="B473" t="s">
        <v>479</v>
      </c>
      <c r="C473">
        <v>2.0389586500000001</v>
      </c>
      <c r="D473">
        <v>4.5573120000000002E-2</v>
      </c>
      <c r="E473">
        <v>0.76895374900000002</v>
      </c>
      <c r="F473">
        <v>0.63861490499999995</v>
      </c>
      <c r="G473">
        <v>0.86863610800000002</v>
      </c>
      <c r="H473">
        <v>1.95</v>
      </c>
      <c r="I473">
        <v>1.5825475210345199</v>
      </c>
      <c r="J473">
        <v>1.64378191673179</v>
      </c>
      <c r="K473">
        <v>1.6107895404590999</v>
      </c>
      <c r="L473">
        <v>1.43017010664016</v>
      </c>
      <c r="M473">
        <v>1.6131647188831499</v>
      </c>
      <c r="N473">
        <v>1.61287414184904</v>
      </c>
      <c r="Q473">
        <f t="shared" si="35"/>
        <v>1.95</v>
      </c>
      <c r="R473">
        <f t="shared" si="37"/>
        <v>1.6563831956066046</v>
      </c>
      <c r="S473">
        <f t="shared" si="38"/>
        <v>0.29361680439339533</v>
      </c>
      <c r="T473">
        <f t="shared" si="39"/>
        <v>8.6210827822189376E-2</v>
      </c>
    </row>
    <row r="474" spans="1:20" hidden="1" x14ac:dyDescent="0.25">
      <c r="A474" t="str">
        <f t="shared" si="36"/>
        <v>BAR</v>
      </c>
      <c r="B474" t="s">
        <v>480</v>
      </c>
      <c r="C474">
        <v>1.8952587219999999</v>
      </c>
      <c r="D474">
        <v>5.0782135999999999E-2</v>
      </c>
      <c r="E474">
        <v>0.75302392100000004</v>
      </c>
      <c r="F474">
        <v>0.67084292099999998</v>
      </c>
      <c r="G474">
        <v>0.85481953899999996</v>
      </c>
      <c r="H474">
        <v>2.0499999999999998</v>
      </c>
      <c r="I474">
        <v>1.9448057519816999</v>
      </c>
      <c r="J474">
        <v>2.0034358635749601</v>
      </c>
      <c r="K474">
        <v>2.0033557797992798</v>
      </c>
      <c r="L474">
        <v>1.83865591770963</v>
      </c>
      <c r="M474">
        <v>1.9741208077783301</v>
      </c>
      <c r="N474">
        <v>1.97390313622705</v>
      </c>
      <c r="Q474">
        <f t="shared" si="35"/>
        <v>2.0499999999999998</v>
      </c>
      <c r="R474">
        <f t="shared" si="37"/>
        <v>2.0678012116043503</v>
      </c>
      <c r="S474">
        <f t="shared" si="38"/>
        <v>-1.7801211604350442E-2</v>
      </c>
      <c r="T474">
        <f t="shared" si="39"/>
        <v>3.1688313458286081E-4</v>
      </c>
    </row>
    <row r="475" spans="1:20" hidden="1" x14ac:dyDescent="0.25">
      <c r="A475" t="str">
        <f t="shared" si="36"/>
        <v>BAR</v>
      </c>
      <c r="B475" t="s">
        <v>481</v>
      </c>
      <c r="C475">
        <v>1.8909272189999999</v>
      </c>
      <c r="D475">
        <v>5.3752253999999999E-2</v>
      </c>
      <c r="E475">
        <v>0.75784436799999999</v>
      </c>
      <c r="F475">
        <v>0.614564153</v>
      </c>
      <c r="G475">
        <v>0.85750446700000005</v>
      </c>
      <c r="H475">
        <v>1.76</v>
      </c>
      <c r="I475">
        <v>1.82704433532063</v>
      </c>
      <c r="J475">
        <v>1.87060654944516</v>
      </c>
      <c r="K475">
        <v>1.7705619873841001</v>
      </c>
      <c r="L475">
        <v>1.58140005381346</v>
      </c>
      <c r="M475">
        <v>1.84882544238289</v>
      </c>
      <c r="N475">
        <v>1.84869713576276</v>
      </c>
      <c r="Q475">
        <f t="shared" si="35"/>
        <v>1.76</v>
      </c>
      <c r="R475">
        <f t="shared" si="37"/>
        <v>1.9022915934974587</v>
      </c>
      <c r="S475">
        <f t="shared" si="38"/>
        <v>-0.14229159349745868</v>
      </c>
      <c r="T475">
        <f t="shared" si="39"/>
        <v>2.0246897580046025E-2</v>
      </c>
    </row>
    <row r="476" spans="1:20" hidden="1" x14ac:dyDescent="0.25">
      <c r="A476" t="str">
        <f t="shared" si="36"/>
        <v>BAR</v>
      </c>
      <c r="B476" t="s">
        <v>482</v>
      </c>
      <c r="C476">
        <v>1.8412510440000001</v>
      </c>
      <c r="D476">
        <v>5.4716180000000003E-2</v>
      </c>
      <c r="E476">
        <v>0.75739048099999995</v>
      </c>
      <c r="F476">
        <v>0.587511318</v>
      </c>
      <c r="G476">
        <v>0.852021731</v>
      </c>
      <c r="H476">
        <v>1.92</v>
      </c>
      <c r="I476">
        <v>1.81400112541182</v>
      </c>
      <c r="J476">
        <v>1.8420887843517</v>
      </c>
      <c r="K476">
        <v>1.79023572923386</v>
      </c>
      <c r="L476">
        <v>1.65172814695538</v>
      </c>
      <c r="M476">
        <v>1.8280449548817601</v>
      </c>
      <c r="N476">
        <v>1.82799100870942</v>
      </c>
      <c r="Q476">
        <f t="shared" si="35"/>
        <v>1.92</v>
      </c>
      <c r="R476">
        <f t="shared" si="37"/>
        <v>1.8680046755293729</v>
      </c>
      <c r="S476">
        <f t="shared" si="38"/>
        <v>5.1995324470627047E-2</v>
      </c>
      <c r="T476">
        <f t="shared" si="39"/>
        <v>2.703513766805788E-3</v>
      </c>
    </row>
    <row r="477" spans="1:20" hidden="1" x14ac:dyDescent="0.25">
      <c r="A477" t="str">
        <f t="shared" si="36"/>
        <v>BAR</v>
      </c>
      <c r="B477" t="s">
        <v>483</v>
      </c>
      <c r="C477">
        <v>1.944311962</v>
      </c>
      <c r="D477">
        <v>5.1913830000000001E-2</v>
      </c>
      <c r="E477">
        <v>0.75954950200000004</v>
      </c>
      <c r="F477">
        <v>0.61836244900000004</v>
      </c>
      <c r="G477">
        <v>0.85737620199999998</v>
      </c>
      <c r="H477">
        <v>1.71</v>
      </c>
      <c r="I477">
        <v>1.7454786052493501</v>
      </c>
      <c r="J477">
        <v>1.79206409491187</v>
      </c>
      <c r="K477">
        <v>1.74053543483329</v>
      </c>
      <c r="L477">
        <v>1.61468166820477</v>
      </c>
      <c r="M477">
        <v>1.7687713500806099</v>
      </c>
      <c r="N477">
        <v>1.7686179737026899</v>
      </c>
      <c r="Q477">
        <f t="shared" si="35"/>
        <v>1.71</v>
      </c>
      <c r="R477">
        <f t="shared" si="37"/>
        <v>1.8142416531061629</v>
      </c>
      <c r="S477">
        <f t="shared" si="38"/>
        <v>-0.10424165310616296</v>
      </c>
      <c r="T477">
        <f t="shared" si="39"/>
        <v>1.0866322242305613E-2</v>
      </c>
    </row>
    <row r="478" spans="1:20" hidden="1" x14ac:dyDescent="0.25">
      <c r="A478" t="str">
        <f t="shared" si="36"/>
        <v>BAR</v>
      </c>
      <c r="B478" t="s">
        <v>484</v>
      </c>
      <c r="C478">
        <v>1.86117201</v>
      </c>
      <c r="D478">
        <v>4.8980272999999998E-2</v>
      </c>
      <c r="E478">
        <v>0.74192672400000004</v>
      </c>
      <c r="F478">
        <v>0.60289785100000004</v>
      </c>
      <c r="G478">
        <v>0.84182969600000002</v>
      </c>
      <c r="H478">
        <v>1.74</v>
      </c>
      <c r="I478">
        <v>1.75022893579539</v>
      </c>
      <c r="J478">
        <v>1.739980172905</v>
      </c>
      <c r="K478">
        <v>1.8103338553114501</v>
      </c>
      <c r="L478">
        <v>1.6575550511511801</v>
      </c>
      <c r="M478">
        <v>1.74510455435019</v>
      </c>
      <c r="N478">
        <v>1.7450970306342799</v>
      </c>
      <c r="Q478">
        <f t="shared" si="35"/>
        <v>1.74</v>
      </c>
      <c r="R478">
        <f t="shared" si="37"/>
        <v>1.7690878265970622</v>
      </c>
      <c r="S478">
        <f t="shared" si="38"/>
        <v>-2.9087826597062216E-2</v>
      </c>
      <c r="T478">
        <f t="shared" si="39"/>
        <v>8.4610165614076003E-4</v>
      </c>
    </row>
    <row r="479" spans="1:20" hidden="1" x14ac:dyDescent="0.25">
      <c r="A479" t="str">
        <f t="shared" si="36"/>
        <v>BAR</v>
      </c>
      <c r="B479" t="s">
        <v>485</v>
      </c>
      <c r="C479">
        <v>1.8424545530000001</v>
      </c>
      <c r="D479">
        <v>5.3134588000000003E-2</v>
      </c>
      <c r="E479">
        <v>0.75387195299999998</v>
      </c>
      <c r="F479">
        <v>0.65881245899999996</v>
      </c>
      <c r="G479">
        <v>0.85409109000000005</v>
      </c>
      <c r="H479">
        <v>2.09</v>
      </c>
      <c r="I479">
        <v>2.0093197198292798</v>
      </c>
      <c r="J479">
        <v>2.0642173854536701</v>
      </c>
      <c r="K479">
        <v>2.02761677015314</v>
      </c>
      <c r="L479">
        <v>1.8512728622376</v>
      </c>
      <c r="M479">
        <v>2.0367685526414698</v>
      </c>
      <c r="N479">
        <v>2.03658358497914</v>
      </c>
      <c r="Q479">
        <f t="shared" si="35"/>
        <v>2.09</v>
      </c>
      <c r="R479">
        <f t="shared" si="37"/>
        <v>2.1331485348510997</v>
      </c>
      <c r="S479">
        <f t="shared" si="38"/>
        <v>-4.3148534851099818E-2</v>
      </c>
      <c r="T479">
        <f t="shared" si="39"/>
        <v>1.8617960597965757E-3</v>
      </c>
    </row>
    <row r="480" spans="1:20" hidden="1" x14ac:dyDescent="0.25">
      <c r="A480" t="str">
        <f t="shared" si="36"/>
        <v>BAR</v>
      </c>
      <c r="B480" t="s">
        <v>486</v>
      </c>
      <c r="C480">
        <v>1.838595011</v>
      </c>
      <c r="D480">
        <v>5.3744711000000001E-2</v>
      </c>
      <c r="E480">
        <v>0.759158624</v>
      </c>
      <c r="F480">
        <v>0.60812981799999999</v>
      </c>
      <c r="G480">
        <v>0.858121935</v>
      </c>
      <c r="H480">
        <v>1.57</v>
      </c>
      <c r="I480">
        <v>1.86143987573988</v>
      </c>
      <c r="J480">
        <v>1.9003576178706501</v>
      </c>
      <c r="K480">
        <v>1.8285427008917201</v>
      </c>
      <c r="L480">
        <v>1.6592702190633899</v>
      </c>
      <c r="M480">
        <v>1.88089874680526</v>
      </c>
      <c r="N480">
        <v>1.8807980880654001</v>
      </c>
      <c r="Q480">
        <f t="shared" si="35"/>
        <v>1.57</v>
      </c>
      <c r="R480">
        <f t="shared" si="37"/>
        <v>1.9393212693385395</v>
      </c>
      <c r="S480">
        <f t="shared" si="38"/>
        <v>-0.36932126933853948</v>
      </c>
      <c r="T480">
        <f t="shared" si="39"/>
        <v>0.13639819998583003</v>
      </c>
    </row>
    <row r="481" spans="1:20" hidden="1" x14ac:dyDescent="0.25">
      <c r="A481" t="str">
        <f t="shared" si="36"/>
        <v>BAR</v>
      </c>
      <c r="B481" t="s">
        <v>487</v>
      </c>
      <c r="C481">
        <v>1.8970310130000001</v>
      </c>
      <c r="D481">
        <v>5.495299E-2</v>
      </c>
      <c r="E481">
        <v>0.75717439200000003</v>
      </c>
      <c r="F481">
        <v>0.62061049700000004</v>
      </c>
      <c r="G481">
        <v>0.85290912100000005</v>
      </c>
      <c r="H481">
        <v>1.64</v>
      </c>
      <c r="I481">
        <v>1.8641156725985799</v>
      </c>
      <c r="J481">
        <v>1.91299770637567</v>
      </c>
      <c r="K481">
        <v>1.82280978602268</v>
      </c>
      <c r="L481">
        <v>1.68197287290205</v>
      </c>
      <c r="M481">
        <v>1.88855668948713</v>
      </c>
      <c r="N481">
        <v>1.8883985294688299</v>
      </c>
      <c r="Q481">
        <f t="shared" si="35"/>
        <v>1.64</v>
      </c>
      <c r="R481">
        <f t="shared" si="37"/>
        <v>1.9473463347499567</v>
      </c>
      <c r="S481">
        <f t="shared" si="38"/>
        <v>-0.30734633474995676</v>
      </c>
      <c r="T481">
        <f t="shared" si="39"/>
        <v>9.4461769484232475E-2</v>
      </c>
    </row>
    <row r="482" spans="1:20" hidden="1" x14ac:dyDescent="0.25">
      <c r="A482" t="str">
        <f t="shared" si="36"/>
        <v>BAR</v>
      </c>
      <c r="B482" t="s">
        <v>488</v>
      </c>
      <c r="C482">
        <v>1.7785817900000001</v>
      </c>
      <c r="D482">
        <v>5.2145206E-2</v>
      </c>
      <c r="E482">
        <v>0.75517589500000004</v>
      </c>
      <c r="F482">
        <v>0.58850937599999997</v>
      </c>
      <c r="G482">
        <v>0.85026953900000002</v>
      </c>
      <c r="H482">
        <v>1.63</v>
      </c>
      <c r="I482">
        <v>1.8384662038548301</v>
      </c>
      <c r="J482">
        <v>1.8493058978230299</v>
      </c>
      <c r="K482">
        <v>1.9248213782308701</v>
      </c>
      <c r="L482">
        <v>1.80974505437971</v>
      </c>
      <c r="M482">
        <v>1.8438860508389301</v>
      </c>
      <c r="N482">
        <v>1.8438780853779499</v>
      </c>
      <c r="Q482">
        <f t="shared" si="35"/>
        <v>1.63</v>
      </c>
      <c r="R482">
        <f t="shared" si="37"/>
        <v>1.8885310410651774</v>
      </c>
      <c r="S482">
        <f t="shared" si="38"/>
        <v>-0.25853104106517755</v>
      </c>
      <c r="T482">
        <f t="shared" si="39"/>
        <v>6.6838299194244513E-2</v>
      </c>
    </row>
    <row r="483" spans="1:20" hidden="1" x14ac:dyDescent="0.25">
      <c r="A483" t="str">
        <f t="shared" si="36"/>
        <v>BAR</v>
      </c>
      <c r="B483" t="s">
        <v>489</v>
      </c>
      <c r="C483">
        <v>1.8273733910000001</v>
      </c>
      <c r="D483">
        <v>5.2775230999999999E-2</v>
      </c>
      <c r="E483">
        <v>0.75966686400000005</v>
      </c>
      <c r="F483">
        <v>0.55506410500000003</v>
      </c>
      <c r="G483">
        <v>0.85231926499999999</v>
      </c>
      <c r="H483">
        <v>1.42</v>
      </c>
      <c r="I483">
        <v>1.68709885053778</v>
      </c>
      <c r="J483">
        <v>1.69561660568357</v>
      </c>
      <c r="K483">
        <v>1.6773700225104899</v>
      </c>
      <c r="L483">
        <v>1.53578828476574</v>
      </c>
      <c r="M483">
        <v>1.69135772811067</v>
      </c>
      <c r="N483">
        <v>1.69135236612644</v>
      </c>
      <c r="Q483">
        <f t="shared" si="35"/>
        <v>1.42</v>
      </c>
      <c r="R483">
        <f t="shared" si="37"/>
        <v>1.704184239763169</v>
      </c>
      <c r="S483">
        <f t="shared" si="38"/>
        <v>-0.28418423976316909</v>
      </c>
      <c r="T483">
        <f t="shared" si="39"/>
        <v>8.0760682129770375E-2</v>
      </c>
    </row>
    <row r="484" spans="1:20" hidden="1" x14ac:dyDescent="0.25">
      <c r="A484" t="str">
        <f t="shared" si="36"/>
        <v>BAR</v>
      </c>
      <c r="B484" t="s">
        <v>490</v>
      </c>
      <c r="C484">
        <v>1.8656498969999999</v>
      </c>
      <c r="D484">
        <v>5.0713778000000001E-2</v>
      </c>
      <c r="E484">
        <v>0.75394839400000002</v>
      </c>
      <c r="F484">
        <v>0.63177640899999998</v>
      </c>
      <c r="G484">
        <v>0.85232142099999997</v>
      </c>
      <c r="H484">
        <v>1.61</v>
      </c>
      <c r="I484">
        <v>1.8548931590483</v>
      </c>
      <c r="J484">
        <v>1.88889977319847</v>
      </c>
      <c r="K484">
        <v>1.9031168200878901</v>
      </c>
      <c r="L484">
        <v>1.7551462958738899</v>
      </c>
      <c r="M484">
        <v>1.8718964661233899</v>
      </c>
      <c r="N484">
        <v>1.87181924005331</v>
      </c>
      <c r="Q484">
        <f t="shared" si="35"/>
        <v>1.61</v>
      </c>
      <c r="R484">
        <f t="shared" si="37"/>
        <v>1.935627682495221</v>
      </c>
      <c r="S484">
        <f t="shared" si="38"/>
        <v>-0.32562768249522089</v>
      </c>
      <c r="T484">
        <f t="shared" si="39"/>
        <v>0.10603338760720839</v>
      </c>
    </row>
    <row r="485" spans="1:20" hidden="1" x14ac:dyDescent="0.25">
      <c r="A485" t="str">
        <f t="shared" si="36"/>
        <v>BAR</v>
      </c>
      <c r="B485" t="s">
        <v>491</v>
      </c>
      <c r="C485">
        <v>1.9052936069999999</v>
      </c>
      <c r="D485">
        <v>5.5892404E-2</v>
      </c>
      <c r="E485">
        <v>0.76588618799999997</v>
      </c>
      <c r="F485">
        <v>0.64187263299999997</v>
      </c>
      <c r="G485">
        <v>0.86262467600000003</v>
      </c>
      <c r="H485">
        <v>1.9</v>
      </c>
      <c r="I485">
        <v>1.9323410623423001</v>
      </c>
      <c r="J485">
        <v>2.0124935375856499</v>
      </c>
      <c r="K485">
        <v>1.7786990257244999</v>
      </c>
      <c r="L485">
        <v>1.6154017994259899</v>
      </c>
      <c r="M485">
        <v>1.97241729996398</v>
      </c>
      <c r="N485">
        <v>1.9720101167020601</v>
      </c>
      <c r="Q485">
        <f t="shared" si="35"/>
        <v>1.9</v>
      </c>
      <c r="R485">
        <f t="shared" si="37"/>
        <v>2.0585995446682457</v>
      </c>
      <c r="S485">
        <f t="shared" si="38"/>
        <v>-0.15859954466824577</v>
      </c>
      <c r="T485">
        <f t="shared" si="39"/>
        <v>2.5153815568974888E-2</v>
      </c>
    </row>
    <row r="486" spans="1:20" hidden="1" x14ac:dyDescent="0.25">
      <c r="A486" t="str">
        <f t="shared" si="36"/>
        <v>BAR</v>
      </c>
      <c r="B486" t="s">
        <v>492</v>
      </c>
      <c r="C486">
        <v>1.8417621</v>
      </c>
      <c r="D486">
        <v>5.7723037999999997E-2</v>
      </c>
      <c r="E486">
        <v>0.73177106999999997</v>
      </c>
      <c r="F486">
        <v>0.59929332499999999</v>
      </c>
      <c r="G486">
        <v>0.83538184900000001</v>
      </c>
      <c r="H486">
        <v>1.83</v>
      </c>
      <c r="I486">
        <v>1.93304011164751</v>
      </c>
      <c r="J486">
        <v>1.92801460986994</v>
      </c>
      <c r="K486">
        <v>1.7889628046871999</v>
      </c>
      <c r="L486">
        <v>1.64764569870824</v>
      </c>
      <c r="M486">
        <v>1.9305273607587199</v>
      </c>
      <c r="N486">
        <v>1.9305257254750601</v>
      </c>
      <c r="Q486">
        <f t="shared" si="35"/>
        <v>1.83</v>
      </c>
      <c r="R486">
        <f t="shared" si="37"/>
        <v>1.9608040241645641</v>
      </c>
      <c r="S486">
        <f t="shared" si="38"/>
        <v>-0.13080402416456405</v>
      </c>
      <c r="T486">
        <f t="shared" si="39"/>
        <v>1.7109692737643855E-2</v>
      </c>
    </row>
    <row r="487" spans="1:20" hidden="1" x14ac:dyDescent="0.25">
      <c r="A487" t="str">
        <f t="shared" si="36"/>
        <v>BAR</v>
      </c>
      <c r="B487" t="s">
        <v>493</v>
      </c>
      <c r="C487">
        <v>1.921383448</v>
      </c>
      <c r="D487">
        <v>5.5487406000000003E-2</v>
      </c>
      <c r="E487">
        <v>0.75108942199999995</v>
      </c>
      <c r="F487">
        <v>0.62104455199999997</v>
      </c>
      <c r="G487">
        <v>0.85532030599999997</v>
      </c>
      <c r="H487">
        <v>1.73</v>
      </c>
      <c r="I487">
        <v>1.8556337219537999</v>
      </c>
      <c r="J487">
        <v>1.8964966022776699</v>
      </c>
      <c r="K487">
        <v>1.72643168629281</v>
      </c>
      <c r="L487">
        <v>1.60904879470398</v>
      </c>
      <c r="M487">
        <v>1.87606516211574</v>
      </c>
      <c r="N487">
        <v>1.8759539036866699</v>
      </c>
      <c r="Q487">
        <f t="shared" si="35"/>
        <v>1.73</v>
      </c>
      <c r="R487">
        <f t="shared" si="37"/>
        <v>1.9258288533886461</v>
      </c>
      <c r="S487">
        <f t="shared" si="38"/>
        <v>-0.19582885338864608</v>
      </c>
      <c r="T487">
        <f t="shared" si="39"/>
        <v>3.8348939819511846E-2</v>
      </c>
    </row>
    <row r="488" spans="1:20" hidden="1" x14ac:dyDescent="0.25">
      <c r="A488" t="str">
        <f t="shared" si="36"/>
        <v>BAR</v>
      </c>
      <c r="B488" t="s">
        <v>494</v>
      </c>
      <c r="C488">
        <v>1.961168799</v>
      </c>
      <c r="D488">
        <v>5.4399321E-2</v>
      </c>
      <c r="E488">
        <v>0.76215751200000004</v>
      </c>
      <c r="F488">
        <v>0.65998624800000005</v>
      </c>
      <c r="G488">
        <v>0.86345673599999995</v>
      </c>
      <c r="H488">
        <v>1.97</v>
      </c>
      <c r="I488">
        <v>1.90209986212118</v>
      </c>
      <c r="J488">
        <v>1.9856987111376401</v>
      </c>
      <c r="K488">
        <v>1.7540184859908601</v>
      </c>
      <c r="L488">
        <v>1.5980312394976499</v>
      </c>
      <c r="M488">
        <v>1.94389928662941</v>
      </c>
      <c r="N488">
        <v>1.9434498307569199</v>
      </c>
      <c r="Q488">
        <f t="shared" si="35"/>
        <v>1.97</v>
      </c>
      <c r="R488">
        <f t="shared" si="37"/>
        <v>2.0305273964247932</v>
      </c>
      <c r="S488">
        <f t="shared" si="38"/>
        <v>-6.0527396424793212E-2</v>
      </c>
      <c r="T488">
        <f t="shared" si="39"/>
        <v>3.6635657179640703E-3</v>
      </c>
    </row>
    <row r="489" spans="1:20" hidden="1" x14ac:dyDescent="0.25">
      <c r="A489" t="str">
        <f t="shared" si="36"/>
        <v>BAR</v>
      </c>
      <c r="B489" t="s">
        <v>495</v>
      </c>
      <c r="C489">
        <v>1.9718648430000001</v>
      </c>
      <c r="D489">
        <v>5.4589185999999998E-2</v>
      </c>
      <c r="E489">
        <v>0.75432445000000004</v>
      </c>
      <c r="F489">
        <v>0.67269918900000003</v>
      </c>
      <c r="G489">
        <v>0.856152158</v>
      </c>
      <c r="H489">
        <v>2.74</v>
      </c>
      <c r="I489">
        <v>1.94220676733705</v>
      </c>
      <c r="J489">
        <v>2.0185970165559199</v>
      </c>
      <c r="K489">
        <v>1.8111503969646801</v>
      </c>
      <c r="L489">
        <v>1.66821881036657</v>
      </c>
      <c r="M489">
        <v>1.9804018919464801</v>
      </c>
      <c r="N489">
        <v>1.9800335315547799</v>
      </c>
      <c r="Q489">
        <f t="shared" si="35"/>
        <v>2.74</v>
      </c>
      <c r="R489">
        <f t="shared" si="37"/>
        <v>2.0687423281346056</v>
      </c>
      <c r="S489">
        <f t="shared" si="38"/>
        <v>0.67125767186539465</v>
      </c>
      <c r="T489">
        <f t="shared" si="39"/>
        <v>0.45058686203814985</v>
      </c>
    </row>
    <row r="490" spans="1:20" hidden="1" x14ac:dyDescent="0.25">
      <c r="A490" t="str">
        <f t="shared" si="36"/>
        <v>BAR</v>
      </c>
      <c r="B490" t="s">
        <v>496</v>
      </c>
      <c r="C490">
        <v>1.8356119099999999</v>
      </c>
      <c r="D490">
        <v>5.4927723999999997E-2</v>
      </c>
      <c r="E490">
        <v>0.76098728500000001</v>
      </c>
      <c r="F490">
        <v>0.64379573899999998</v>
      </c>
      <c r="G490">
        <v>0.85625377999999996</v>
      </c>
      <c r="H490">
        <v>1.83</v>
      </c>
      <c r="I490">
        <v>1.9994274677207</v>
      </c>
      <c r="J490">
        <v>2.06260890698388</v>
      </c>
      <c r="K490">
        <v>1.93182727692413</v>
      </c>
      <c r="L490">
        <v>1.78094078070329</v>
      </c>
      <c r="M490">
        <v>2.0310181873522901</v>
      </c>
      <c r="N490">
        <v>2.0307724894209498</v>
      </c>
      <c r="Q490">
        <f t="shared" si="35"/>
        <v>1.83</v>
      </c>
      <c r="R490">
        <f t="shared" si="37"/>
        <v>2.1244314556444301</v>
      </c>
      <c r="S490">
        <f t="shared" si="38"/>
        <v>-0.29443145564443007</v>
      </c>
      <c r="T490">
        <f t="shared" si="39"/>
        <v>8.6689882072897989E-2</v>
      </c>
    </row>
    <row r="491" spans="1:20" hidden="1" x14ac:dyDescent="0.25">
      <c r="A491" t="str">
        <f t="shared" si="36"/>
        <v>BAR</v>
      </c>
      <c r="B491" t="s">
        <v>497</v>
      </c>
      <c r="C491">
        <v>1.8987946469999999</v>
      </c>
      <c r="D491">
        <v>5.6205738999999998E-2</v>
      </c>
      <c r="E491">
        <v>0.74221393499999999</v>
      </c>
      <c r="F491">
        <v>0.64131408300000003</v>
      </c>
      <c r="G491">
        <v>0.84010140600000005</v>
      </c>
      <c r="H491">
        <v>1.87</v>
      </c>
      <c r="I491">
        <v>1.97092365452305</v>
      </c>
      <c r="J491">
        <v>2.0011884253560899</v>
      </c>
      <c r="K491">
        <v>1.84960918372766</v>
      </c>
      <c r="L491">
        <v>1.73861280284877</v>
      </c>
      <c r="M491">
        <v>1.9860560399395699</v>
      </c>
      <c r="N491">
        <v>1.98599838990168</v>
      </c>
      <c r="Q491">
        <f t="shared" si="35"/>
        <v>1.87</v>
      </c>
      <c r="R491">
        <f t="shared" si="37"/>
        <v>2.0476510472453247</v>
      </c>
      <c r="S491">
        <f t="shared" si="38"/>
        <v>-0.17765104724532454</v>
      </c>
      <c r="T491">
        <f t="shared" si="39"/>
        <v>3.1559894587360533E-2</v>
      </c>
    </row>
    <row r="492" spans="1:20" hidden="1" x14ac:dyDescent="0.25">
      <c r="A492" t="str">
        <f t="shared" si="36"/>
        <v>BAR</v>
      </c>
      <c r="B492" t="s">
        <v>498</v>
      </c>
      <c r="C492">
        <v>1.932521259</v>
      </c>
      <c r="D492">
        <v>5.3722284000000002E-2</v>
      </c>
      <c r="E492">
        <v>0.75621689800000003</v>
      </c>
      <c r="F492">
        <v>0.65056050799999998</v>
      </c>
      <c r="G492">
        <v>0.85779793599999998</v>
      </c>
      <c r="H492">
        <v>1.79</v>
      </c>
      <c r="I492">
        <v>1.89560527849684</v>
      </c>
      <c r="J492">
        <v>1.9590379231855499</v>
      </c>
      <c r="K492">
        <v>1.8030079079307999</v>
      </c>
      <c r="L492">
        <v>1.6658043625008501</v>
      </c>
      <c r="M492">
        <v>1.92732160084119</v>
      </c>
      <c r="N492">
        <v>1.92706061865371</v>
      </c>
      <c r="Q492">
        <f t="shared" si="35"/>
        <v>1.79</v>
      </c>
      <c r="R492">
        <f t="shared" si="37"/>
        <v>2.0038637661859595</v>
      </c>
      <c r="S492">
        <f t="shared" si="38"/>
        <v>-0.21386376618595948</v>
      </c>
      <c r="T492">
        <f t="shared" si="39"/>
        <v>4.5737710487242747E-2</v>
      </c>
    </row>
    <row r="493" spans="1:20" hidden="1" x14ac:dyDescent="0.25">
      <c r="A493" t="str">
        <f t="shared" si="36"/>
        <v>BAR</v>
      </c>
      <c r="B493" t="s">
        <v>499</v>
      </c>
      <c r="C493">
        <v>1.889018326</v>
      </c>
      <c r="D493">
        <v>5.4256305999999997E-2</v>
      </c>
      <c r="E493">
        <v>0.75308995700000003</v>
      </c>
      <c r="F493">
        <v>0.61341905600000002</v>
      </c>
      <c r="G493">
        <v>0.84872150800000001</v>
      </c>
      <c r="H493">
        <v>1.97</v>
      </c>
      <c r="I493">
        <v>1.84070873496806</v>
      </c>
      <c r="J493">
        <v>1.8751265132183701</v>
      </c>
      <c r="K493">
        <v>1.76146060420537</v>
      </c>
      <c r="L493">
        <v>1.6338119613001201</v>
      </c>
      <c r="M493">
        <v>1.85791762409321</v>
      </c>
      <c r="N493">
        <v>1.8578379240534599</v>
      </c>
      <c r="Q493">
        <f t="shared" si="35"/>
        <v>1.97</v>
      </c>
      <c r="R493">
        <f t="shared" si="37"/>
        <v>1.9064908815525694</v>
      </c>
      <c r="S493">
        <f t="shared" si="38"/>
        <v>6.3509118447430568E-2</v>
      </c>
      <c r="T493">
        <f t="shared" si="39"/>
        <v>4.0334081259697655E-3</v>
      </c>
    </row>
    <row r="494" spans="1:20" hidden="1" x14ac:dyDescent="0.25">
      <c r="A494" t="str">
        <f t="shared" si="36"/>
        <v>BAR</v>
      </c>
      <c r="B494" t="s">
        <v>500</v>
      </c>
      <c r="C494">
        <v>1.8441248020000001</v>
      </c>
      <c r="D494">
        <v>5.8717514999999998E-2</v>
      </c>
      <c r="E494">
        <v>0.73200927800000004</v>
      </c>
      <c r="F494">
        <v>0.59025856600000004</v>
      </c>
      <c r="G494">
        <v>0.83244883400000003</v>
      </c>
      <c r="H494">
        <v>1.61</v>
      </c>
      <c r="I494">
        <v>1.9202975754037901</v>
      </c>
      <c r="J494">
        <v>1.91545679218311</v>
      </c>
      <c r="K494">
        <v>1.8315154871578601</v>
      </c>
      <c r="L494">
        <v>1.7707660638507601</v>
      </c>
      <c r="M494">
        <v>1.9178771837934501</v>
      </c>
      <c r="N494">
        <v>1.9178756565064301</v>
      </c>
      <c r="Q494">
        <f t="shared" si="35"/>
        <v>1.61</v>
      </c>
      <c r="R494">
        <f t="shared" si="37"/>
        <v>1.9423436123431492</v>
      </c>
      <c r="S494">
        <f t="shared" si="38"/>
        <v>-0.33234361234314913</v>
      </c>
      <c r="T494">
        <f t="shared" si="39"/>
        <v>0.11045227666529339</v>
      </c>
    </row>
    <row r="495" spans="1:20" hidden="1" x14ac:dyDescent="0.25">
      <c r="A495" t="str">
        <f t="shared" si="36"/>
        <v>BAR</v>
      </c>
      <c r="B495" t="s">
        <v>501</v>
      </c>
      <c r="C495">
        <v>1.9602521040000001</v>
      </c>
      <c r="D495">
        <v>5.4973991999999999E-2</v>
      </c>
      <c r="E495">
        <v>0.76337435200000003</v>
      </c>
      <c r="F495">
        <v>0.69476446000000003</v>
      </c>
      <c r="G495">
        <v>0.86144278799999996</v>
      </c>
      <c r="H495">
        <v>2.16</v>
      </c>
      <c r="I495">
        <v>2.0213883713283201</v>
      </c>
      <c r="J495">
        <v>2.1284660300742702</v>
      </c>
      <c r="K495">
        <v>1.87232770302844</v>
      </c>
      <c r="L495">
        <v>1.7057254741235099</v>
      </c>
      <c r="M495">
        <v>2.07492720070129</v>
      </c>
      <c r="N495">
        <v>2.0742363611602901</v>
      </c>
      <c r="Q495">
        <f t="shared" si="35"/>
        <v>2.16</v>
      </c>
      <c r="R495">
        <f t="shared" si="37"/>
        <v>2.1950034175028241</v>
      </c>
      <c r="S495">
        <f t="shared" si="38"/>
        <v>-3.5003417502823986E-2</v>
      </c>
      <c r="T495">
        <f t="shared" si="39"/>
        <v>1.2252392368770045E-3</v>
      </c>
    </row>
    <row r="496" spans="1:20" hidden="1" x14ac:dyDescent="0.25">
      <c r="A496" t="str">
        <f t="shared" si="36"/>
        <v>BAR</v>
      </c>
      <c r="B496" t="s">
        <v>502</v>
      </c>
      <c r="C496">
        <v>1.8733548520000001</v>
      </c>
      <c r="D496">
        <v>5.6006728999999998E-2</v>
      </c>
      <c r="E496">
        <v>0.74959224800000002</v>
      </c>
      <c r="F496">
        <v>0.63217415499999996</v>
      </c>
      <c r="G496">
        <v>0.84510630600000003</v>
      </c>
      <c r="H496">
        <v>1.63</v>
      </c>
      <c r="I496">
        <v>1.9567038436281401</v>
      </c>
      <c r="J496">
        <v>1.99569903947315</v>
      </c>
      <c r="K496">
        <v>1.8508546317833801</v>
      </c>
      <c r="L496">
        <v>1.7374934809684099</v>
      </c>
      <c r="M496">
        <v>1.9762014415506399</v>
      </c>
      <c r="N496">
        <v>1.9761052556131999</v>
      </c>
      <c r="Q496">
        <f t="shared" si="35"/>
        <v>1.63</v>
      </c>
      <c r="R496">
        <f t="shared" si="37"/>
        <v>2.042188174520164</v>
      </c>
      <c r="S496">
        <f t="shared" si="38"/>
        <v>-0.4121881745201641</v>
      </c>
      <c r="T496">
        <f t="shared" si="39"/>
        <v>0.16989909121426525</v>
      </c>
    </row>
    <row r="497" spans="1:20" hidden="1" x14ac:dyDescent="0.25">
      <c r="A497" t="str">
        <f t="shared" si="36"/>
        <v>BAR</v>
      </c>
      <c r="B497" t="s">
        <v>503</v>
      </c>
      <c r="C497">
        <v>1.9021383169999999</v>
      </c>
      <c r="D497">
        <v>5.7618649000000001E-2</v>
      </c>
      <c r="E497">
        <v>0.74926856100000006</v>
      </c>
      <c r="F497">
        <v>0.61407894399999996</v>
      </c>
      <c r="G497">
        <v>0.84655429500000001</v>
      </c>
      <c r="H497">
        <v>1.73</v>
      </c>
      <c r="I497">
        <v>1.8974951858090601</v>
      </c>
      <c r="J497">
        <v>1.9369499132074901</v>
      </c>
      <c r="K497">
        <v>1.7532455644140399</v>
      </c>
      <c r="L497">
        <v>1.64713345540345</v>
      </c>
      <c r="M497">
        <v>1.91722254950827</v>
      </c>
      <c r="N497">
        <v>1.9171210539411601</v>
      </c>
      <c r="Q497">
        <f t="shared" si="35"/>
        <v>1.73</v>
      </c>
      <c r="R497">
        <f t="shared" si="37"/>
        <v>1.9664599678801009</v>
      </c>
      <c r="S497">
        <f t="shared" si="38"/>
        <v>-0.23645996788010093</v>
      </c>
      <c r="T497">
        <f t="shared" si="39"/>
        <v>5.591331640985836E-2</v>
      </c>
    </row>
    <row r="498" spans="1:20" hidden="1" x14ac:dyDescent="0.25">
      <c r="A498" t="str">
        <f t="shared" si="36"/>
        <v>BAR</v>
      </c>
      <c r="B498" t="s">
        <v>504</v>
      </c>
      <c r="C498">
        <v>1.93875464</v>
      </c>
      <c r="D498">
        <v>5.6152853000000003E-2</v>
      </c>
      <c r="E498">
        <v>0.76271492699999999</v>
      </c>
      <c r="F498">
        <v>0.69276858399999997</v>
      </c>
      <c r="G498">
        <v>0.859986892</v>
      </c>
      <c r="H498">
        <v>2.52</v>
      </c>
      <c r="I498">
        <v>2.06374320817276</v>
      </c>
      <c r="J498">
        <v>2.1688566774647402</v>
      </c>
      <c r="K498">
        <v>1.9430627440052799</v>
      </c>
      <c r="L498">
        <v>1.8001697298263499</v>
      </c>
      <c r="M498">
        <v>2.1162999428187499</v>
      </c>
      <c r="N498">
        <v>2.1156472384634402</v>
      </c>
      <c r="Q498">
        <f t="shared" si="35"/>
        <v>2.52</v>
      </c>
      <c r="R498">
        <f t="shared" si="37"/>
        <v>2.2389957186964757</v>
      </c>
      <c r="S498">
        <f t="shared" si="38"/>
        <v>0.28100428130352428</v>
      </c>
      <c r="T498">
        <f t="shared" si="39"/>
        <v>7.8963406110910211E-2</v>
      </c>
    </row>
    <row r="499" spans="1:20" hidden="1" x14ac:dyDescent="0.25">
      <c r="A499" t="str">
        <f t="shared" si="36"/>
        <v>BAR</v>
      </c>
      <c r="B499" t="s">
        <v>505</v>
      </c>
      <c r="C499">
        <v>1.8391042900000001</v>
      </c>
      <c r="D499">
        <v>6.0187796000000002E-2</v>
      </c>
      <c r="E499">
        <v>0.75634010200000001</v>
      </c>
      <c r="F499">
        <v>0.60865106499999999</v>
      </c>
      <c r="G499">
        <v>0.85041180599999999</v>
      </c>
      <c r="H499">
        <v>1.89</v>
      </c>
      <c r="I499">
        <v>1.99470115695606</v>
      </c>
      <c r="J499">
        <v>2.0473701427797</v>
      </c>
      <c r="K499">
        <v>1.8286702393138601</v>
      </c>
      <c r="L499">
        <v>1.71608124332872</v>
      </c>
      <c r="M499">
        <v>2.0210356498678799</v>
      </c>
      <c r="N499">
        <v>2.0208640707677401</v>
      </c>
      <c r="Q499">
        <f t="shared" si="35"/>
        <v>1.89</v>
      </c>
      <c r="R499">
        <f t="shared" si="37"/>
        <v>2.0876119118558996</v>
      </c>
      <c r="S499">
        <f t="shared" si="38"/>
        <v>-0.19761191185589966</v>
      </c>
      <c r="T499">
        <f t="shared" si="39"/>
        <v>3.9050467707343856E-2</v>
      </c>
    </row>
    <row r="500" spans="1:20" hidden="1" x14ac:dyDescent="0.25">
      <c r="A500" t="str">
        <f t="shared" si="36"/>
        <v>BAR</v>
      </c>
      <c r="B500" t="s">
        <v>506</v>
      </c>
      <c r="C500">
        <v>1.6839026020000001</v>
      </c>
      <c r="D500">
        <v>5.1491472000000003E-2</v>
      </c>
      <c r="E500">
        <v>0.76661594899999996</v>
      </c>
      <c r="F500">
        <v>0.595359796</v>
      </c>
      <c r="G500">
        <v>0.86898743199999995</v>
      </c>
      <c r="H500">
        <v>1.85</v>
      </c>
      <c r="I500">
        <v>1.934760191222</v>
      </c>
      <c r="J500">
        <v>1.9650162943181999</v>
      </c>
      <c r="K500">
        <v>1.85158062229665</v>
      </c>
      <c r="L500">
        <v>1.57946893409657</v>
      </c>
      <c r="M500">
        <v>1.9498882427701001</v>
      </c>
      <c r="N500">
        <v>1.94982955699965</v>
      </c>
      <c r="Q500">
        <f t="shared" si="35"/>
        <v>1.85</v>
      </c>
      <c r="R500">
        <f t="shared" si="37"/>
        <v>2.0288445530789292</v>
      </c>
      <c r="S500">
        <f t="shared" si="38"/>
        <v>-0.1788445530789291</v>
      </c>
      <c r="T500">
        <f t="shared" si="39"/>
        <v>3.198537416600189E-2</v>
      </c>
    </row>
    <row r="501" spans="1:20" hidden="1" x14ac:dyDescent="0.25">
      <c r="A501" t="str">
        <f t="shared" si="36"/>
        <v>BAR</v>
      </c>
      <c r="B501" t="s">
        <v>507</v>
      </c>
      <c r="C501">
        <v>1.6629851250000001</v>
      </c>
      <c r="D501">
        <v>5.661832E-2</v>
      </c>
      <c r="E501">
        <v>0.75534621999999996</v>
      </c>
      <c r="F501">
        <v>0.41321021200000002</v>
      </c>
      <c r="G501">
        <v>0.85261934100000003</v>
      </c>
      <c r="H501">
        <v>1.39</v>
      </c>
      <c r="I501">
        <v>1.4883075818912099</v>
      </c>
      <c r="J501">
        <v>1.42140983259467</v>
      </c>
      <c r="K501">
        <v>1.35901208958518</v>
      </c>
      <c r="L501">
        <v>1.0733567772227199</v>
      </c>
      <c r="M501">
        <v>1.45485870724294</v>
      </c>
      <c r="N501">
        <v>1.4544741423708301</v>
      </c>
      <c r="Q501">
        <f t="shared" si="35"/>
        <v>1.39</v>
      </c>
      <c r="R501">
        <f t="shared" si="37"/>
        <v>1.37880162794769</v>
      </c>
      <c r="S501">
        <f t="shared" si="38"/>
        <v>1.1198372052309891E-2</v>
      </c>
      <c r="T501">
        <f t="shared" si="39"/>
        <v>1.2540353662195524E-4</v>
      </c>
    </row>
    <row r="502" spans="1:20" hidden="1" x14ac:dyDescent="0.25">
      <c r="A502" t="str">
        <f t="shared" si="36"/>
        <v>BAR</v>
      </c>
      <c r="B502" t="s">
        <v>508</v>
      </c>
      <c r="C502">
        <v>1.7435948969999999</v>
      </c>
      <c r="D502">
        <v>5.4480062000000003E-2</v>
      </c>
      <c r="E502">
        <v>0.76287696999999999</v>
      </c>
      <c r="F502">
        <v>0.52016983999999999</v>
      </c>
      <c r="G502">
        <v>0.86615101800000005</v>
      </c>
      <c r="H502">
        <v>1.86</v>
      </c>
      <c r="I502">
        <v>1.70884149476131</v>
      </c>
      <c r="J502">
        <v>1.69227389669742</v>
      </c>
      <c r="K502">
        <v>1.5652552658030201</v>
      </c>
      <c r="L502">
        <v>1.3427471431475499</v>
      </c>
      <c r="M502">
        <v>1.70055769572937</v>
      </c>
      <c r="N502">
        <v>1.7005375194855199</v>
      </c>
      <c r="Q502">
        <f t="shared" si="35"/>
        <v>1.86</v>
      </c>
      <c r="R502">
        <f t="shared" si="37"/>
        <v>1.6978580115339592</v>
      </c>
      <c r="S502">
        <f t="shared" si="38"/>
        <v>0.16214198846604089</v>
      </c>
      <c r="T502">
        <f t="shared" si="39"/>
        <v>2.6290024423721737E-2</v>
      </c>
    </row>
    <row r="503" spans="1:20" hidden="1" x14ac:dyDescent="0.25">
      <c r="A503" t="str">
        <f t="shared" si="36"/>
        <v>BAR</v>
      </c>
      <c r="B503" t="s">
        <v>509</v>
      </c>
      <c r="C503">
        <v>1.858075989</v>
      </c>
      <c r="D503">
        <v>5.5230505999999999E-2</v>
      </c>
      <c r="E503">
        <v>0.77077832400000001</v>
      </c>
      <c r="F503">
        <v>0.61818698100000002</v>
      </c>
      <c r="G503">
        <v>0.87273656499999996</v>
      </c>
      <c r="H503">
        <v>2.04</v>
      </c>
      <c r="I503">
        <v>1.8966850529947701</v>
      </c>
      <c r="J503">
        <v>1.96227114248205</v>
      </c>
      <c r="K503">
        <v>1.69204646408385</v>
      </c>
      <c r="L503">
        <v>1.47948605958983</v>
      </c>
      <c r="M503">
        <v>1.9294780977384101</v>
      </c>
      <c r="N503">
        <v>1.9291994054189101</v>
      </c>
      <c r="Q503">
        <f t="shared" si="35"/>
        <v>2.04</v>
      </c>
      <c r="R503">
        <f t="shared" si="37"/>
        <v>2.0039481090984652</v>
      </c>
      <c r="S503">
        <f t="shared" si="38"/>
        <v>3.6051890901534822E-2</v>
      </c>
      <c r="T503">
        <f t="shared" si="39"/>
        <v>1.2997388375761694E-3</v>
      </c>
    </row>
    <row r="504" spans="1:20" hidden="1" x14ac:dyDescent="0.25">
      <c r="A504" t="str">
        <f t="shared" si="36"/>
        <v>BAR</v>
      </c>
      <c r="B504" t="s">
        <v>510</v>
      </c>
      <c r="C504">
        <v>1.723235332</v>
      </c>
      <c r="D504">
        <v>5.7632898000000002E-2</v>
      </c>
      <c r="E504">
        <v>0.76380035999999996</v>
      </c>
      <c r="F504">
        <v>0.61201641500000004</v>
      </c>
      <c r="G504">
        <v>0.86162954700000005</v>
      </c>
      <c r="H504">
        <v>2.78</v>
      </c>
      <c r="I504">
        <v>2.0722966706806498</v>
      </c>
      <c r="J504">
        <v>2.1230463306607499</v>
      </c>
      <c r="K504">
        <v>1.8878221735676699</v>
      </c>
      <c r="L504">
        <v>1.6458881875078799</v>
      </c>
      <c r="M504">
        <v>2.0976715006707001</v>
      </c>
      <c r="N504">
        <v>2.09751801964347</v>
      </c>
      <c r="Q504">
        <f t="shared" si="35"/>
        <v>2.78</v>
      </c>
      <c r="R504">
        <f t="shared" si="37"/>
        <v>2.190019036097913</v>
      </c>
      <c r="S504">
        <f t="shared" si="38"/>
        <v>0.58998096390208676</v>
      </c>
      <c r="T504">
        <f t="shared" si="39"/>
        <v>0.34807753776683542</v>
      </c>
    </row>
    <row r="505" spans="1:20" hidden="1" x14ac:dyDescent="0.25">
      <c r="A505" t="str">
        <f t="shared" si="36"/>
        <v>BAR</v>
      </c>
      <c r="B505" t="s">
        <v>511</v>
      </c>
      <c r="C505">
        <v>1.795650373</v>
      </c>
      <c r="D505">
        <v>5.9388776999999997E-2</v>
      </c>
      <c r="E505">
        <v>0.76561130099999997</v>
      </c>
      <c r="F505">
        <v>0.57866128900000002</v>
      </c>
      <c r="G505">
        <v>0.86318913100000005</v>
      </c>
      <c r="H505">
        <v>1.73</v>
      </c>
      <c r="I505">
        <v>1.92737992325937</v>
      </c>
      <c r="J505">
        <v>1.9712428128769699</v>
      </c>
      <c r="K505">
        <v>1.69600033338692</v>
      </c>
      <c r="L505">
        <v>1.5003262153714401</v>
      </c>
      <c r="M505">
        <v>1.94931136806817</v>
      </c>
      <c r="N505">
        <v>1.94918799026887</v>
      </c>
      <c r="Q505">
        <f t="shared" si="35"/>
        <v>1.73</v>
      </c>
      <c r="R505">
        <f t="shared" si="37"/>
        <v>2.0025894525883281</v>
      </c>
      <c r="S505">
        <f t="shared" si="38"/>
        <v>-0.27258945258832812</v>
      </c>
      <c r="T505">
        <f t="shared" si="39"/>
        <v>7.4305009662404387E-2</v>
      </c>
    </row>
    <row r="506" spans="1:20" hidden="1" x14ac:dyDescent="0.25">
      <c r="A506" t="str">
        <f t="shared" si="36"/>
        <v>BAR</v>
      </c>
      <c r="B506" t="s">
        <v>512</v>
      </c>
      <c r="C506">
        <v>1.756725812</v>
      </c>
      <c r="D506">
        <v>6.2347652000000003E-2</v>
      </c>
      <c r="E506">
        <v>0.75755498200000004</v>
      </c>
      <c r="F506">
        <v>0.53015967200000003</v>
      </c>
      <c r="G506">
        <v>0.85238321399999994</v>
      </c>
      <c r="H506">
        <v>1.68</v>
      </c>
      <c r="I506">
        <v>1.8753283404566601</v>
      </c>
      <c r="J506">
        <v>1.8948351103357299</v>
      </c>
      <c r="K506">
        <v>1.63236197885464</v>
      </c>
      <c r="L506">
        <v>1.4369231447508799</v>
      </c>
      <c r="M506">
        <v>1.8850817253962</v>
      </c>
      <c r="N506">
        <v>1.8850564932926901</v>
      </c>
      <c r="Q506">
        <f t="shared" si="35"/>
        <v>1.68</v>
      </c>
      <c r="R506">
        <f t="shared" si="37"/>
        <v>1.9047328364433707</v>
      </c>
      <c r="S506">
        <f t="shared" si="38"/>
        <v>-0.22473283644337072</v>
      </c>
      <c r="T506">
        <f t="shared" si="39"/>
        <v>5.0504847775882815E-2</v>
      </c>
    </row>
    <row r="507" spans="1:20" hidden="1" x14ac:dyDescent="0.25">
      <c r="A507" t="str">
        <f t="shared" si="36"/>
        <v>BAR</v>
      </c>
      <c r="B507" t="s">
        <v>513</v>
      </c>
      <c r="C507">
        <v>1.7861412240000001</v>
      </c>
      <c r="D507">
        <v>5.9185825999999997E-2</v>
      </c>
      <c r="E507">
        <v>0.752571451</v>
      </c>
      <c r="F507">
        <v>0.60502538500000003</v>
      </c>
      <c r="G507">
        <v>0.85424170899999996</v>
      </c>
      <c r="H507">
        <v>1.77</v>
      </c>
      <c r="I507">
        <v>2.0250564524428198</v>
      </c>
      <c r="J507">
        <v>2.0594554284932798</v>
      </c>
      <c r="K507">
        <v>1.8326334775983599</v>
      </c>
      <c r="L507">
        <v>1.64971150323333</v>
      </c>
      <c r="M507">
        <v>2.04225594046805</v>
      </c>
      <c r="N507">
        <v>2.0421835137882902</v>
      </c>
      <c r="Q507">
        <f t="shared" si="35"/>
        <v>1.77</v>
      </c>
      <c r="R507">
        <f t="shared" si="37"/>
        <v>2.108549904362869</v>
      </c>
      <c r="S507">
        <f t="shared" si="38"/>
        <v>-0.33854990436286903</v>
      </c>
      <c r="T507">
        <f t="shared" si="39"/>
        <v>0.11461603774410777</v>
      </c>
    </row>
    <row r="508" spans="1:20" hidden="1" x14ac:dyDescent="0.25">
      <c r="A508" t="str">
        <f t="shared" si="36"/>
        <v>BAR</v>
      </c>
      <c r="B508" t="s">
        <v>514</v>
      </c>
      <c r="C508">
        <v>1.6407011650000001</v>
      </c>
      <c r="D508">
        <v>6.1325607999999997E-2</v>
      </c>
      <c r="E508">
        <v>0.75341732500000003</v>
      </c>
      <c r="F508">
        <v>0.490394037</v>
      </c>
      <c r="G508">
        <v>0.85387356199999997</v>
      </c>
      <c r="H508">
        <v>1.28</v>
      </c>
      <c r="I508">
        <v>1.86141290583437</v>
      </c>
      <c r="J508">
        <v>1.83562738632908</v>
      </c>
      <c r="K508">
        <v>1.7175603157203501</v>
      </c>
      <c r="L508">
        <v>1.47281950997767</v>
      </c>
      <c r="M508">
        <v>1.84852014608173</v>
      </c>
      <c r="N508">
        <v>1.8484751843657401</v>
      </c>
      <c r="Q508">
        <f t="shared" si="35"/>
        <v>1.28</v>
      </c>
      <c r="R508">
        <f t="shared" si="37"/>
        <v>1.8457190976406692</v>
      </c>
      <c r="S508">
        <f t="shared" si="38"/>
        <v>-0.56571909764066919</v>
      </c>
      <c r="T508">
        <f t="shared" si="39"/>
        <v>0.32003809743537298</v>
      </c>
    </row>
    <row r="509" spans="1:20" hidden="1" x14ac:dyDescent="0.25">
      <c r="A509" t="str">
        <f t="shared" si="36"/>
        <v>BAR</v>
      </c>
      <c r="B509" t="s">
        <v>515</v>
      </c>
      <c r="C509">
        <v>1.56195116</v>
      </c>
      <c r="D509">
        <v>6.2459750000000001E-2</v>
      </c>
      <c r="E509">
        <v>0.75592756699999997</v>
      </c>
      <c r="F509">
        <v>0.41736583999999999</v>
      </c>
      <c r="G509">
        <v>0.85870019900000005</v>
      </c>
      <c r="H509">
        <v>1.78</v>
      </c>
      <c r="I509">
        <v>1.7486578660335901</v>
      </c>
      <c r="J509">
        <v>1.67634809012567</v>
      </c>
      <c r="K509">
        <v>1.52424279537414</v>
      </c>
      <c r="L509">
        <v>1.1727893175768</v>
      </c>
      <c r="M509">
        <v>1.7125029780796299</v>
      </c>
      <c r="N509">
        <v>1.7121212790011799</v>
      </c>
      <c r="Q509">
        <f t="shared" si="35"/>
        <v>1.78</v>
      </c>
      <c r="R509">
        <f t="shared" si="37"/>
        <v>1.6586169205702528</v>
      </c>
      <c r="S509">
        <f t="shared" si="38"/>
        <v>0.12138307942974724</v>
      </c>
      <c r="T509">
        <f t="shared" si="39"/>
        <v>1.4733851971848328E-2</v>
      </c>
    </row>
    <row r="510" spans="1:20" hidden="1" x14ac:dyDescent="0.25">
      <c r="A510" t="str">
        <f t="shared" si="36"/>
        <v>BAR</v>
      </c>
      <c r="B510" t="s">
        <v>516</v>
      </c>
      <c r="C510">
        <v>1.92059567</v>
      </c>
      <c r="D510">
        <v>5.6833017E-2</v>
      </c>
      <c r="E510">
        <v>0.770016904</v>
      </c>
      <c r="F510">
        <v>0.639041678</v>
      </c>
      <c r="G510">
        <v>0.86441620299999999</v>
      </c>
      <c r="H510">
        <v>2.16</v>
      </c>
      <c r="I510">
        <v>1.9225591295508</v>
      </c>
      <c r="J510">
        <v>2.0124881412732698</v>
      </c>
      <c r="K510">
        <v>1.6843852607167999</v>
      </c>
      <c r="L510">
        <v>1.51245084695528</v>
      </c>
      <c r="M510">
        <v>1.96752363541203</v>
      </c>
      <c r="N510">
        <v>1.9670097735185901</v>
      </c>
      <c r="Q510">
        <f t="shared" si="35"/>
        <v>2.16</v>
      </c>
      <c r="R510">
        <f t="shared" si="37"/>
        <v>2.0539051903977668</v>
      </c>
      <c r="S510">
        <f t="shared" si="38"/>
        <v>0.10609480960223339</v>
      </c>
      <c r="T510">
        <f t="shared" si="39"/>
        <v>1.1256108624534154E-2</v>
      </c>
    </row>
    <row r="511" spans="1:20" hidden="1" x14ac:dyDescent="0.25">
      <c r="A511" t="str">
        <f t="shared" si="36"/>
        <v>BAR</v>
      </c>
      <c r="B511" t="s">
        <v>517</v>
      </c>
      <c r="C511">
        <v>1.8139714650000001</v>
      </c>
      <c r="D511">
        <v>5.7543455E-2</v>
      </c>
      <c r="E511">
        <v>0.75987964399999997</v>
      </c>
      <c r="F511">
        <v>0.60796209999999995</v>
      </c>
      <c r="G511">
        <v>0.85606949700000001</v>
      </c>
      <c r="H511">
        <v>1.95</v>
      </c>
      <c r="I511">
        <v>1.96276169426932</v>
      </c>
      <c r="J511">
        <v>2.0114491568786499</v>
      </c>
      <c r="K511">
        <v>1.7706576699430501</v>
      </c>
      <c r="L511">
        <v>1.58232191854608</v>
      </c>
      <c r="M511">
        <v>1.9871054255739899</v>
      </c>
      <c r="N511">
        <v>1.98695630427339</v>
      </c>
      <c r="Q511">
        <f t="shared" si="35"/>
        <v>1.95</v>
      </c>
      <c r="R511">
        <f t="shared" si="37"/>
        <v>2.0563901237210018</v>
      </c>
      <c r="S511">
        <f t="shared" si="38"/>
        <v>-0.10639012372100187</v>
      </c>
      <c r="T511">
        <f t="shared" si="39"/>
        <v>1.1318858425370086E-2</v>
      </c>
    </row>
    <row r="512" spans="1:20" hidden="1" x14ac:dyDescent="0.25">
      <c r="A512" t="str">
        <f t="shared" si="36"/>
        <v>BAR</v>
      </c>
      <c r="B512" t="s">
        <v>518</v>
      </c>
      <c r="C512">
        <v>1.8336558839999999</v>
      </c>
      <c r="D512">
        <v>5.3750924999999998E-2</v>
      </c>
      <c r="E512">
        <v>0.75332400099999997</v>
      </c>
      <c r="F512">
        <v>0.58226583399999998</v>
      </c>
      <c r="G512">
        <v>0.85679835699999995</v>
      </c>
      <c r="H512">
        <v>1.73</v>
      </c>
      <c r="I512">
        <v>1.7913150657952801</v>
      </c>
      <c r="J512">
        <v>1.80503950935951</v>
      </c>
      <c r="K512">
        <v>1.6582659637730199</v>
      </c>
      <c r="L512">
        <v>1.4763656925436299</v>
      </c>
      <c r="M512">
        <v>1.7981772875774</v>
      </c>
      <c r="N512">
        <v>1.79816419369073</v>
      </c>
      <c r="Q512">
        <f t="shared" si="35"/>
        <v>1.73</v>
      </c>
      <c r="R512">
        <f t="shared" si="37"/>
        <v>1.8290102118289444</v>
      </c>
      <c r="S512">
        <f t="shared" si="38"/>
        <v>-9.9010211828944428E-2</v>
      </c>
      <c r="T512">
        <f t="shared" si="39"/>
        <v>9.8030220464124466E-3</v>
      </c>
    </row>
    <row r="513" spans="1:20" hidden="1" x14ac:dyDescent="0.25">
      <c r="A513" t="str">
        <f t="shared" si="36"/>
        <v>BAR</v>
      </c>
      <c r="B513" t="s">
        <v>519</v>
      </c>
      <c r="C513">
        <v>1.8224476890000001</v>
      </c>
      <c r="D513">
        <v>6.1301603000000003E-2</v>
      </c>
      <c r="E513">
        <v>0.75434248800000003</v>
      </c>
      <c r="F513">
        <v>0.61719696099999999</v>
      </c>
      <c r="G513">
        <v>0.85365287700000003</v>
      </c>
      <c r="H513">
        <v>1.97</v>
      </c>
      <c r="I513">
        <v>2.0681627897213199</v>
      </c>
      <c r="J513">
        <v>2.1199800779736</v>
      </c>
      <c r="K513">
        <v>1.7818133415609201</v>
      </c>
      <c r="L513">
        <v>1.5853820152514899</v>
      </c>
      <c r="M513">
        <v>2.0940714338474602</v>
      </c>
      <c r="N513">
        <v>2.0939111519392299</v>
      </c>
      <c r="Q513">
        <f t="shared" ref="Q513:Q576" si="40">H513</f>
        <v>1.97</v>
      </c>
      <c r="R513">
        <f t="shared" si="37"/>
        <v>2.1690616318581921</v>
      </c>
      <c r="S513">
        <f t="shared" si="38"/>
        <v>-0.19906163185819215</v>
      </c>
      <c r="T513">
        <f t="shared" si="39"/>
        <v>3.9625533278046417E-2</v>
      </c>
    </row>
    <row r="514" spans="1:20" hidden="1" x14ac:dyDescent="0.25">
      <c r="A514" t="str">
        <f t="shared" si="36"/>
        <v>BAR</v>
      </c>
      <c r="B514" t="s">
        <v>520</v>
      </c>
      <c r="C514">
        <v>1.8908283319999999</v>
      </c>
      <c r="D514">
        <v>5.7973864E-2</v>
      </c>
      <c r="E514">
        <v>0.76192873299999997</v>
      </c>
      <c r="F514">
        <v>0.60002285300000002</v>
      </c>
      <c r="G514">
        <v>0.85746181799999999</v>
      </c>
      <c r="H514">
        <v>1.83</v>
      </c>
      <c r="I514">
        <v>1.8615978315147701</v>
      </c>
      <c r="J514">
        <v>1.9174861422235101</v>
      </c>
      <c r="K514">
        <v>1.6097639817012701</v>
      </c>
      <c r="L514">
        <v>1.43259112588707</v>
      </c>
      <c r="M514">
        <v>1.8895419868691401</v>
      </c>
      <c r="N514">
        <v>1.8893353445915599</v>
      </c>
      <c r="Q514">
        <f t="shared" si="40"/>
        <v>1.83</v>
      </c>
      <c r="R514">
        <f t="shared" si="37"/>
        <v>1.9412609625211559</v>
      </c>
      <c r="S514">
        <f t="shared" si="38"/>
        <v>-0.1112609625211558</v>
      </c>
      <c r="T514">
        <f t="shared" si="39"/>
        <v>1.2379001781134037E-2</v>
      </c>
    </row>
    <row r="515" spans="1:20" hidden="1" x14ac:dyDescent="0.25">
      <c r="A515" t="str">
        <f t="shared" ref="A515:A578" si="41">LEFT(B515,3)</f>
        <v>BAR</v>
      </c>
      <c r="B515" t="s">
        <v>521</v>
      </c>
      <c r="C515">
        <v>1.6634322020000001</v>
      </c>
      <c r="D515">
        <v>7.1028299000000003E-2</v>
      </c>
      <c r="E515">
        <v>0.71067978899999995</v>
      </c>
      <c r="F515">
        <v>0.47354280700000001</v>
      </c>
      <c r="G515">
        <v>0.79980328499999997</v>
      </c>
      <c r="H515">
        <v>1.19</v>
      </c>
      <c r="I515">
        <v>1.9654191452285501</v>
      </c>
      <c r="J515">
        <v>1.9471024800033301</v>
      </c>
      <c r="K515">
        <v>1.8734021959178</v>
      </c>
      <c r="L515">
        <v>1.80327393831895</v>
      </c>
      <c r="M515">
        <v>1.95626081261594</v>
      </c>
      <c r="N515">
        <v>1.9562393749029101</v>
      </c>
      <c r="Q515">
        <f t="shared" si="40"/>
        <v>1.19</v>
      </c>
      <c r="R515">
        <f t="shared" ref="R515:R578" si="42">$X$2*F515+$X$3*D515*E515+($X$4/(D515-$X$5))-$X$6*C515</f>
        <v>1.9394257141946545</v>
      </c>
      <c r="S515">
        <f t="shared" ref="S515:S578" si="43">Q515-R515</f>
        <v>-0.74942571419465454</v>
      </c>
      <c r="T515">
        <f t="shared" ref="T515:T578" si="44">S515^2</f>
        <v>0.56163890109616799</v>
      </c>
    </row>
    <row r="516" spans="1:20" hidden="1" x14ac:dyDescent="0.25">
      <c r="A516" t="str">
        <f t="shared" si="41"/>
        <v>BAR</v>
      </c>
      <c r="B516" t="s">
        <v>522</v>
      </c>
      <c r="C516">
        <v>1.6341000349999999</v>
      </c>
      <c r="D516">
        <v>6.9086827000000003E-2</v>
      </c>
      <c r="E516">
        <v>0.70934836800000001</v>
      </c>
      <c r="F516">
        <v>0.45481682299999998</v>
      </c>
      <c r="G516">
        <v>0.78996972600000004</v>
      </c>
      <c r="H516">
        <v>1.25</v>
      </c>
      <c r="I516">
        <v>1.8805889705096299</v>
      </c>
      <c r="J516">
        <v>1.8551405822181</v>
      </c>
      <c r="K516">
        <v>1.86011929795199</v>
      </c>
      <c r="L516">
        <v>1.7492106540394801</v>
      </c>
      <c r="M516">
        <v>1.86786477636387</v>
      </c>
      <c r="N516">
        <v>1.8678214362363901</v>
      </c>
      <c r="Q516">
        <f t="shared" si="40"/>
        <v>1.25</v>
      </c>
      <c r="R516">
        <f t="shared" si="42"/>
        <v>1.8427048373916617</v>
      </c>
      <c r="S516">
        <f t="shared" si="43"/>
        <v>-0.59270483739166169</v>
      </c>
      <c r="T516">
        <f t="shared" si="44"/>
        <v>0.35129902426747611</v>
      </c>
    </row>
    <row r="517" spans="1:20" hidden="1" x14ac:dyDescent="0.25">
      <c r="A517" t="str">
        <f t="shared" si="41"/>
        <v>BAR</v>
      </c>
      <c r="B517" t="s">
        <v>523</v>
      </c>
      <c r="C517">
        <v>1.6071372719999999</v>
      </c>
      <c r="D517">
        <v>6.9982804999999995E-2</v>
      </c>
      <c r="E517">
        <v>0.70961998199999998</v>
      </c>
      <c r="F517">
        <v>0.45894858300000002</v>
      </c>
      <c r="G517">
        <v>0.79757817399999997</v>
      </c>
      <c r="H517">
        <v>1.47</v>
      </c>
      <c r="I517">
        <v>1.9526988598764501</v>
      </c>
      <c r="J517">
        <v>1.92090571969487</v>
      </c>
      <c r="K517">
        <v>1.8785507049991199</v>
      </c>
      <c r="L517">
        <v>1.7162689320232101</v>
      </c>
      <c r="M517">
        <v>1.93680228978566</v>
      </c>
      <c r="N517">
        <v>1.9367370520487099</v>
      </c>
      <c r="Q517">
        <f t="shared" si="40"/>
        <v>1.47</v>
      </c>
      <c r="R517">
        <f t="shared" si="42"/>
        <v>1.9165656326901777</v>
      </c>
      <c r="S517">
        <f t="shared" si="43"/>
        <v>-0.44656563269017768</v>
      </c>
      <c r="T517">
        <f t="shared" si="44"/>
        <v>0.19942086429997868</v>
      </c>
    </row>
    <row r="518" spans="1:20" hidden="1" x14ac:dyDescent="0.25">
      <c r="A518" t="str">
        <f t="shared" si="41"/>
        <v>BAR</v>
      </c>
      <c r="B518" t="s">
        <v>524</v>
      </c>
      <c r="C518">
        <v>1.6989390710000001</v>
      </c>
      <c r="D518">
        <v>6.9823629999999998E-2</v>
      </c>
      <c r="E518">
        <v>0.68986600099999995</v>
      </c>
      <c r="F518">
        <v>0.429178695</v>
      </c>
      <c r="G518">
        <v>0.773929478</v>
      </c>
      <c r="H518">
        <v>1.1399999999999999</v>
      </c>
      <c r="I518">
        <v>1.71726050009227</v>
      </c>
      <c r="J518">
        <v>1.6918258896326801</v>
      </c>
      <c r="K518">
        <v>1.6323538245890199</v>
      </c>
      <c r="L518">
        <v>1.4918980580836001</v>
      </c>
      <c r="M518">
        <v>1.7045431948624701</v>
      </c>
      <c r="N518">
        <v>1.7044957533827001</v>
      </c>
      <c r="Q518">
        <f t="shared" si="40"/>
        <v>1.1399999999999999</v>
      </c>
      <c r="R518">
        <f t="shared" si="42"/>
        <v>1.648846880892572</v>
      </c>
      <c r="S518">
        <f t="shared" si="43"/>
        <v>-0.50884688089257213</v>
      </c>
      <c r="T518">
        <f t="shared" si="44"/>
        <v>0.25892514819409951</v>
      </c>
    </row>
    <row r="519" spans="1:20" hidden="1" x14ac:dyDescent="0.25">
      <c r="A519" t="str">
        <f t="shared" si="41"/>
        <v>BAR</v>
      </c>
      <c r="B519" t="s">
        <v>525</v>
      </c>
      <c r="C519">
        <v>1.6419279579999999</v>
      </c>
      <c r="D519">
        <v>7.2184784000000002E-2</v>
      </c>
      <c r="E519">
        <v>0.69024579799999997</v>
      </c>
      <c r="F519">
        <v>0.446426396</v>
      </c>
      <c r="G519">
        <v>0.77921366000000003</v>
      </c>
      <c r="H519">
        <v>0.89</v>
      </c>
      <c r="I519">
        <v>1.9113306729737001</v>
      </c>
      <c r="J519">
        <v>1.8746581034557801</v>
      </c>
      <c r="K519">
        <v>1.81800531875278</v>
      </c>
      <c r="L519">
        <v>1.6878745686261301</v>
      </c>
      <c r="M519">
        <v>1.89299438821474</v>
      </c>
      <c r="N519">
        <v>1.8929055799151</v>
      </c>
      <c r="Q519">
        <f t="shared" si="40"/>
        <v>0.89</v>
      </c>
      <c r="R519">
        <f t="shared" si="42"/>
        <v>1.8537066321467548</v>
      </c>
      <c r="S519">
        <f t="shared" si="43"/>
        <v>-0.96370663214675478</v>
      </c>
      <c r="T519">
        <f t="shared" si="44"/>
        <v>0.92873047284364052</v>
      </c>
    </row>
    <row r="520" spans="1:20" hidden="1" x14ac:dyDescent="0.25">
      <c r="A520" t="str">
        <f t="shared" si="41"/>
        <v>BAR</v>
      </c>
      <c r="B520" t="s">
        <v>526</v>
      </c>
      <c r="C520">
        <v>1.8685968850000001</v>
      </c>
      <c r="D520">
        <v>7.2032054999999998E-2</v>
      </c>
      <c r="E520">
        <v>0.73881560300000004</v>
      </c>
      <c r="F520">
        <v>0.54672498000000003</v>
      </c>
      <c r="G520">
        <v>0.82247642899999995</v>
      </c>
      <c r="H520">
        <v>1.75</v>
      </c>
      <c r="I520">
        <v>2.0044985261433799</v>
      </c>
      <c r="J520">
        <v>2.0725875301027701</v>
      </c>
      <c r="K520">
        <v>1.7558942762340599</v>
      </c>
      <c r="L520">
        <v>1.8419203037951499</v>
      </c>
      <c r="M520">
        <v>2.0385430281230699</v>
      </c>
      <c r="N520">
        <v>2.0382587297480499</v>
      </c>
      <c r="Q520">
        <f t="shared" si="40"/>
        <v>1.75</v>
      </c>
      <c r="R520">
        <f t="shared" si="42"/>
        <v>2.0667667340387998</v>
      </c>
      <c r="S520">
        <f t="shared" si="43"/>
        <v>-0.31676673403879985</v>
      </c>
      <c r="T520">
        <f t="shared" si="44"/>
        <v>0.10034116379360776</v>
      </c>
    </row>
    <row r="521" spans="1:20" hidden="1" x14ac:dyDescent="0.25">
      <c r="A521" t="str">
        <f t="shared" si="41"/>
        <v>BAR</v>
      </c>
      <c r="B521" t="s">
        <v>527</v>
      </c>
      <c r="C521">
        <v>1.8602043150000001</v>
      </c>
      <c r="D521">
        <v>6.7543509000000002E-2</v>
      </c>
      <c r="E521">
        <v>0.73906849299999999</v>
      </c>
      <c r="F521">
        <v>0.56345042300000003</v>
      </c>
      <c r="G521">
        <v>0.82326704799999995</v>
      </c>
      <c r="H521">
        <v>1.77</v>
      </c>
      <c r="I521">
        <v>1.9797917200274</v>
      </c>
      <c r="J521">
        <v>2.0231919434580399</v>
      </c>
      <c r="K521">
        <v>1.7970704958577299</v>
      </c>
      <c r="L521">
        <v>1.8202955543074899</v>
      </c>
      <c r="M521">
        <v>2.0014918317427202</v>
      </c>
      <c r="N521">
        <v>2.0013741923199602</v>
      </c>
      <c r="Q521">
        <f t="shared" si="40"/>
        <v>1.77</v>
      </c>
      <c r="R521">
        <f t="shared" si="42"/>
        <v>2.0305084584316742</v>
      </c>
      <c r="S521">
        <f t="shared" si="43"/>
        <v>-0.26050845843167414</v>
      </c>
      <c r="T521">
        <f t="shared" si="44"/>
        <v>6.7864656914447291E-2</v>
      </c>
    </row>
    <row r="522" spans="1:20" hidden="1" x14ac:dyDescent="0.25">
      <c r="A522" t="str">
        <f t="shared" si="41"/>
        <v>BAR</v>
      </c>
      <c r="B522" t="s">
        <v>528</v>
      </c>
      <c r="C522">
        <v>1.9745732330000001</v>
      </c>
      <c r="D522">
        <v>6.5547953000000006E-2</v>
      </c>
      <c r="E522">
        <v>0.75564811300000001</v>
      </c>
      <c r="F522">
        <v>0.57640733</v>
      </c>
      <c r="G522">
        <v>0.84153272800000001</v>
      </c>
      <c r="H522">
        <v>1.53</v>
      </c>
      <c r="I522">
        <v>1.8418920182284599</v>
      </c>
      <c r="J522">
        <v>1.9243970851880401</v>
      </c>
      <c r="K522">
        <v>1.6175888973180801</v>
      </c>
      <c r="L522">
        <v>1.6595236363631101</v>
      </c>
      <c r="M522">
        <v>1.8831445517082499</v>
      </c>
      <c r="N522">
        <v>1.8826926544473399</v>
      </c>
      <c r="Q522">
        <f t="shared" si="40"/>
        <v>1.53</v>
      </c>
      <c r="R522">
        <f t="shared" si="42"/>
        <v>1.9160280372148892</v>
      </c>
      <c r="S522">
        <f t="shared" si="43"/>
        <v>-0.38602803721488921</v>
      </c>
      <c r="T522">
        <f t="shared" si="44"/>
        <v>0.14901764551597987</v>
      </c>
    </row>
    <row r="523" spans="1:20" hidden="1" x14ac:dyDescent="0.25">
      <c r="A523" t="str">
        <f t="shared" si="41"/>
        <v>BAR</v>
      </c>
      <c r="B523" t="s">
        <v>529</v>
      </c>
      <c r="C523">
        <v>1.8714263769999999</v>
      </c>
      <c r="D523">
        <v>6.3958582999999999E-2</v>
      </c>
      <c r="E523">
        <v>0.74151571800000005</v>
      </c>
      <c r="F523">
        <v>0.57582559799999999</v>
      </c>
      <c r="G523">
        <v>0.82090342400000005</v>
      </c>
      <c r="H523">
        <v>1.63</v>
      </c>
      <c r="I523">
        <v>1.93861847200797</v>
      </c>
      <c r="J523">
        <v>1.96989097624596</v>
      </c>
      <c r="K523">
        <v>1.78230903563195</v>
      </c>
      <c r="L523">
        <v>1.77271914836858</v>
      </c>
      <c r="M523">
        <v>1.9542547241269701</v>
      </c>
      <c r="N523">
        <v>1.95419216925876</v>
      </c>
      <c r="Q523">
        <f t="shared" si="40"/>
        <v>1.63</v>
      </c>
      <c r="R523">
        <f t="shared" si="42"/>
        <v>1.982748889789796</v>
      </c>
      <c r="S523">
        <f t="shared" si="43"/>
        <v>-0.35274888978979613</v>
      </c>
      <c r="T523">
        <f t="shared" si="44"/>
        <v>0.12443177924793374</v>
      </c>
    </row>
    <row r="524" spans="1:20" hidden="1" x14ac:dyDescent="0.25">
      <c r="A524" t="str">
        <f t="shared" si="41"/>
        <v>BAR</v>
      </c>
      <c r="B524" t="s">
        <v>530</v>
      </c>
      <c r="C524">
        <v>1.8129266500000001</v>
      </c>
      <c r="D524">
        <v>6.8735687000000004E-2</v>
      </c>
      <c r="E524">
        <v>0.71753588199999996</v>
      </c>
      <c r="F524">
        <v>0.47989842799999999</v>
      </c>
      <c r="G524">
        <v>0.803016964</v>
      </c>
      <c r="H524">
        <v>1.42</v>
      </c>
      <c r="I524">
        <v>1.7584112193521699</v>
      </c>
      <c r="J524">
        <v>1.76908475673677</v>
      </c>
      <c r="K524">
        <v>1.5847427552147899</v>
      </c>
      <c r="L524">
        <v>1.54302012122401</v>
      </c>
      <c r="M524">
        <v>1.76374798804447</v>
      </c>
      <c r="N524">
        <v>1.7637399139983301</v>
      </c>
      <c r="Q524">
        <f t="shared" si="40"/>
        <v>1.42</v>
      </c>
      <c r="R524">
        <f t="shared" si="42"/>
        <v>1.7342004360223355</v>
      </c>
      <c r="S524">
        <f t="shared" si="43"/>
        <v>-0.31420043602233561</v>
      </c>
      <c r="T524">
        <f t="shared" si="44"/>
        <v>9.8721913996625804E-2</v>
      </c>
    </row>
    <row r="525" spans="1:20" hidden="1" x14ac:dyDescent="0.25">
      <c r="A525" t="str">
        <f t="shared" si="41"/>
        <v>BAR</v>
      </c>
      <c r="B525" t="s">
        <v>531</v>
      </c>
      <c r="C525">
        <v>1.7673927309999999</v>
      </c>
      <c r="D525">
        <v>7.1633370000000002E-2</v>
      </c>
      <c r="E525">
        <v>0.74052416399999998</v>
      </c>
      <c r="F525">
        <v>0.51762554999999999</v>
      </c>
      <c r="G525">
        <v>0.82013409400000004</v>
      </c>
      <c r="H525">
        <v>1.36</v>
      </c>
      <c r="I525">
        <v>2.0024807550406201</v>
      </c>
      <c r="J525">
        <v>2.05808775086749</v>
      </c>
      <c r="K525">
        <v>1.7981817501167401</v>
      </c>
      <c r="L525">
        <v>1.78512291816825</v>
      </c>
      <c r="M525">
        <v>2.0302842529540501</v>
      </c>
      <c r="N525">
        <v>2.0300938680999399</v>
      </c>
      <c r="Q525">
        <f t="shared" si="40"/>
        <v>1.36</v>
      </c>
      <c r="R525">
        <f t="shared" si="42"/>
        <v>2.0562509980696348</v>
      </c>
      <c r="S525">
        <f t="shared" si="43"/>
        <v>-0.69625099806963475</v>
      </c>
      <c r="T525">
        <f t="shared" si="44"/>
        <v>0.48476545231296253</v>
      </c>
    </row>
    <row r="526" spans="1:20" hidden="1" x14ac:dyDescent="0.25">
      <c r="A526" t="str">
        <f t="shared" si="41"/>
        <v>BAR</v>
      </c>
      <c r="B526" t="s">
        <v>532</v>
      </c>
      <c r="C526">
        <v>1.8280755660000001</v>
      </c>
      <c r="D526">
        <v>7.4523680999999994E-2</v>
      </c>
      <c r="E526">
        <v>0.72480782499999996</v>
      </c>
      <c r="F526">
        <v>0.52166516399999996</v>
      </c>
      <c r="G526">
        <v>0.80070248799999999</v>
      </c>
      <c r="H526">
        <v>1.4</v>
      </c>
      <c r="I526">
        <v>2.0129525133032899</v>
      </c>
      <c r="J526">
        <v>2.0730654520834699</v>
      </c>
      <c r="K526">
        <v>1.75064576149712</v>
      </c>
      <c r="L526">
        <v>1.78722678281596</v>
      </c>
      <c r="M526">
        <v>2.0430089826933799</v>
      </c>
      <c r="N526">
        <v>2.0427878773905102</v>
      </c>
      <c r="Q526">
        <f t="shared" si="40"/>
        <v>1.4</v>
      </c>
      <c r="R526">
        <f t="shared" si="42"/>
        <v>2.0588933722736349</v>
      </c>
      <c r="S526">
        <f t="shared" si="43"/>
        <v>-0.65889337227363498</v>
      </c>
      <c r="T526">
        <f t="shared" si="44"/>
        <v>0.43414047602612293</v>
      </c>
    </row>
    <row r="527" spans="1:20" hidden="1" x14ac:dyDescent="0.25">
      <c r="A527" t="str">
        <f t="shared" si="41"/>
        <v>BAR</v>
      </c>
      <c r="B527" t="s">
        <v>533</v>
      </c>
      <c r="C527">
        <v>1.8976412579999999</v>
      </c>
      <c r="D527">
        <v>7.4972715999999995E-2</v>
      </c>
      <c r="E527">
        <v>0.732159</v>
      </c>
      <c r="F527">
        <v>0.50313202999999995</v>
      </c>
      <c r="G527">
        <v>0.81093471399999995</v>
      </c>
      <c r="H527">
        <v>1.53</v>
      </c>
      <c r="I527">
        <v>1.8637755813350201</v>
      </c>
      <c r="J527">
        <v>1.95775084711248</v>
      </c>
      <c r="K527">
        <v>1.54768294782648</v>
      </c>
      <c r="L527">
        <v>1.60618340566019</v>
      </c>
      <c r="M527">
        <v>1.9107632142237501</v>
      </c>
      <c r="N527">
        <v>1.91018538974262</v>
      </c>
      <c r="Q527">
        <f t="shared" si="40"/>
        <v>1.53</v>
      </c>
      <c r="R527">
        <f t="shared" si="42"/>
        <v>1.9174116628146032</v>
      </c>
      <c r="S527">
        <f t="shared" si="43"/>
        <v>-0.38741166281460315</v>
      </c>
      <c r="T527">
        <f t="shared" si="44"/>
        <v>0.15008779648477577</v>
      </c>
    </row>
    <row r="528" spans="1:20" hidden="1" x14ac:dyDescent="0.25">
      <c r="A528" t="str">
        <f t="shared" si="41"/>
        <v>BAR</v>
      </c>
      <c r="B528" t="s">
        <v>534</v>
      </c>
      <c r="C528">
        <v>1.8853762270000001</v>
      </c>
      <c r="D528">
        <v>6.6255336999999997E-2</v>
      </c>
      <c r="E528">
        <v>0.74402422899999998</v>
      </c>
      <c r="F528">
        <v>0.55551626700000001</v>
      </c>
      <c r="G528">
        <v>0.82006137700000004</v>
      </c>
      <c r="H528">
        <v>1.57</v>
      </c>
      <c r="I528">
        <v>1.8896674412789001</v>
      </c>
      <c r="J528">
        <v>1.9416269842937299</v>
      </c>
      <c r="K528">
        <v>1.76735880713858</v>
      </c>
      <c r="L528">
        <v>1.8839849997102001</v>
      </c>
      <c r="M528">
        <v>1.91564721278631</v>
      </c>
      <c r="N528">
        <v>1.91547103745486</v>
      </c>
      <c r="Q528">
        <f t="shared" si="40"/>
        <v>1.57</v>
      </c>
      <c r="R528">
        <f t="shared" si="42"/>
        <v>1.9390245117651985</v>
      </c>
      <c r="S528">
        <f t="shared" si="43"/>
        <v>-0.36902451176519846</v>
      </c>
      <c r="T528">
        <f t="shared" si="44"/>
        <v>0.13617909028354311</v>
      </c>
    </row>
    <row r="529" spans="1:20" hidden="1" x14ac:dyDescent="0.25">
      <c r="A529" t="str">
        <f t="shared" si="41"/>
        <v>BAR</v>
      </c>
      <c r="B529" t="s">
        <v>535</v>
      </c>
      <c r="C529">
        <v>1.9065264959999999</v>
      </c>
      <c r="D529">
        <v>6.6684950000000007E-2</v>
      </c>
      <c r="E529">
        <v>0.75165512000000001</v>
      </c>
      <c r="F529">
        <v>0.58003408999999995</v>
      </c>
      <c r="G529">
        <v>0.83766545199999998</v>
      </c>
      <c r="H529">
        <v>1.68</v>
      </c>
      <c r="I529">
        <v>1.95873032934831</v>
      </c>
      <c r="J529">
        <v>2.03024540700976</v>
      </c>
      <c r="K529">
        <v>1.6992318599252101</v>
      </c>
      <c r="L529">
        <v>1.68848850341461</v>
      </c>
      <c r="M529">
        <v>1.9944878681790299</v>
      </c>
      <c r="N529">
        <v>1.99416730861032</v>
      </c>
      <c r="Q529">
        <f t="shared" si="40"/>
        <v>1.68</v>
      </c>
      <c r="R529">
        <f t="shared" si="42"/>
        <v>2.0384154409992985</v>
      </c>
      <c r="S529">
        <f t="shared" si="43"/>
        <v>-0.35841544099929856</v>
      </c>
      <c r="T529">
        <f t="shared" si="44"/>
        <v>0.12846162834672167</v>
      </c>
    </row>
    <row r="530" spans="1:20" hidden="1" x14ac:dyDescent="0.25">
      <c r="A530" t="str">
        <f t="shared" si="41"/>
        <v>BAR</v>
      </c>
      <c r="B530" t="s">
        <v>536</v>
      </c>
      <c r="C530">
        <v>1.9433097909999999</v>
      </c>
      <c r="D530">
        <v>5.3812583999999997E-2</v>
      </c>
      <c r="E530">
        <v>0.77207257200000001</v>
      </c>
      <c r="F530">
        <v>0.69487774999999996</v>
      </c>
      <c r="G530">
        <v>0.87148136600000004</v>
      </c>
      <c r="H530">
        <v>2.4</v>
      </c>
      <c r="I530">
        <v>2.0044044237371699</v>
      </c>
      <c r="J530">
        <v>2.12773195859122</v>
      </c>
      <c r="K530">
        <v>1.88559735911052</v>
      </c>
      <c r="L530">
        <v>1.6853758492734501</v>
      </c>
      <c r="M530">
        <v>2.0660681911641898</v>
      </c>
      <c r="N530">
        <v>2.0651477792950299</v>
      </c>
      <c r="Q530">
        <f t="shared" si="40"/>
        <v>2.4</v>
      </c>
      <c r="R530">
        <f t="shared" si="42"/>
        <v>2.1979541374845728</v>
      </c>
      <c r="S530">
        <f t="shared" si="43"/>
        <v>0.20204586251542711</v>
      </c>
      <c r="T530">
        <f t="shared" si="44"/>
        <v>4.0822530559602874E-2</v>
      </c>
    </row>
    <row r="531" spans="1:20" hidden="1" x14ac:dyDescent="0.25">
      <c r="A531" t="str">
        <f t="shared" si="41"/>
        <v>BAR</v>
      </c>
      <c r="B531" t="s">
        <v>537</v>
      </c>
      <c r="C531">
        <v>1.858306341</v>
      </c>
      <c r="D531">
        <v>5.8014363999999999E-2</v>
      </c>
      <c r="E531">
        <v>0.762045419</v>
      </c>
      <c r="F531">
        <v>0.54606680299999999</v>
      </c>
      <c r="G531">
        <v>0.85582148400000002</v>
      </c>
      <c r="H531">
        <v>1.55</v>
      </c>
      <c r="I531">
        <v>1.7242470176367799</v>
      </c>
      <c r="J531">
        <v>1.7529098794756399</v>
      </c>
      <c r="K531">
        <v>1.5913485640641201</v>
      </c>
      <c r="L531">
        <v>1.4849605598664699</v>
      </c>
      <c r="M531">
        <v>1.7385784485562099</v>
      </c>
      <c r="N531">
        <v>1.7385193792051701</v>
      </c>
      <c r="Q531">
        <f t="shared" si="40"/>
        <v>1.55</v>
      </c>
      <c r="R531">
        <f t="shared" si="42"/>
        <v>1.7505358986978776</v>
      </c>
      <c r="S531">
        <f t="shared" si="43"/>
        <v>-0.20053589869787758</v>
      </c>
      <c r="T531">
        <f t="shared" si="44"/>
        <v>4.0214646666565421E-2</v>
      </c>
    </row>
    <row r="532" spans="1:20" hidden="1" x14ac:dyDescent="0.25">
      <c r="A532" t="str">
        <f t="shared" si="41"/>
        <v>BAR</v>
      </c>
      <c r="B532" t="s">
        <v>538</v>
      </c>
      <c r="C532">
        <v>1.823281631</v>
      </c>
      <c r="D532">
        <v>5.3589960999999998E-2</v>
      </c>
      <c r="E532">
        <v>0.76751410200000003</v>
      </c>
      <c r="F532">
        <v>0.70196460199999999</v>
      </c>
      <c r="G532">
        <v>0.87168298899999996</v>
      </c>
      <c r="H532">
        <v>3.13</v>
      </c>
      <c r="I532">
        <v>2.1493148551360202</v>
      </c>
      <c r="J532">
        <v>2.2645601943564699</v>
      </c>
      <c r="K532">
        <v>2.0939345412736601</v>
      </c>
      <c r="L532">
        <v>1.85146326371095</v>
      </c>
      <c r="M532">
        <v>2.2069375247462499</v>
      </c>
      <c r="N532">
        <v>2.2061851386681202</v>
      </c>
      <c r="Q532">
        <f t="shared" si="40"/>
        <v>3.13</v>
      </c>
      <c r="R532">
        <f t="shared" si="42"/>
        <v>2.3646001859277832</v>
      </c>
      <c r="S532">
        <f t="shared" si="43"/>
        <v>0.76539981407221669</v>
      </c>
      <c r="T532">
        <f t="shared" si="44"/>
        <v>0.58583687538178386</v>
      </c>
    </row>
    <row r="533" spans="1:20" hidden="1" x14ac:dyDescent="0.25">
      <c r="A533" t="str">
        <f t="shared" si="41"/>
        <v>BAR</v>
      </c>
      <c r="B533" t="s">
        <v>539</v>
      </c>
      <c r="C533">
        <v>1.895749409</v>
      </c>
      <c r="D533">
        <v>5.3653622999999998E-2</v>
      </c>
      <c r="E533">
        <v>0.75095976900000005</v>
      </c>
      <c r="F533">
        <v>0.70352908300000006</v>
      </c>
      <c r="G533">
        <v>0.85605921500000004</v>
      </c>
      <c r="H533">
        <v>2.38</v>
      </c>
      <c r="I533">
        <v>2.1020782747431901</v>
      </c>
      <c r="J533">
        <v>2.1839520424116001</v>
      </c>
      <c r="K533">
        <v>2.0637494878471498</v>
      </c>
      <c r="L533">
        <v>1.8656049873231599</v>
      </c>
      <c r="M533">
        <v>2.14301515857739</v>
      </c>
      <c r="N533">
        <v>2.14262412509391</v>
      </c>
      <c r="Q533">
        <f t="shared" si="40"/>
        <v>2.38</v>
      </c>
      <c r="R533">
        <f t="shared" si="42"/>
        <v>2.2689701742830897</v>
      </c>
      <c r="S533">
        <f t="shared" si="43"/>
        <v>0.11102982571691022</v>
      </c>
      <c r="T533">
        <f t="shared" si="44"/>
        <v>1.232762219872746E-2</v>
      </c>
    </row>
    <row r="534" spans="1:20" hidden="1" x14ac:dyDescent="0.25">
      <c r="A534" t="str">
        <f t="shared" si="41"/>
        <v>BAR</v>
      </c>
      <c r="B534" t="s">
        <v>540</v>
      </c>
      <c r="C534">
        <v>1.946573992</v>
      </c>
      <c r="D534">
        <v>5.2881112000000001E-2</v>
      </c>
      <c r="E534">
        <v>0.755540455</v>
      </c>
      <c r="F534">
        <v>0.69908801700000001</v>
      </c>
      <c r="G534">
        <v>0.86204082500000001</v>
      </c>
      <c r="H534">
        <v>2.76</v>
      </c>
      <c r="I534">
        <v>2.0114462194084801</v>
      </c>
      <c r="J534">
        <v>2.1039420627139598</v>
      </c>
      <c r="K534">
        <v>1.91691928038736</v>
      </c>
      <c r="L534">
        <v>1.72086769278967</v>
      </c>
      <c r="M534">
        <v>2.0576941410612202</v>
      </c>
      <c r="N534">
        <v>2.0571743503894999</v>
      </c>
      <c r="Q534">
        <f t="shared" si="40"/>
        <v>2.76</v>
      </c>
      <c r="R534">
        <f t="shared" si="42"/>
        <v>2.1753143517126126</v>
      </c>
      <c r="S534">
        <f t="shared" si="43"/>
        <v>0.58468564828738723</v>
      </c>
      <c r="T534">
        <f t="shared" si="44"/>
        <v>0.34185730731324226</v>
      </c>
    </row>
    <row r="535" spans="1:20" hidden="1" x14ac:dyDescent="0.25">
      <c r="A535" t="str">
        <f t="shared" si="41"/>
        <v>BAR</v>
      </c>
      <c r="B535" t="s">
        <v>541</v>
      </c>
      <c r="C535">
        <v>1.8751303880000001</v>
      </c>
      <c r="D535">
        <v>5.5162841999999997E-2</v>
      </c>
      <c r="E535">
        <v>0.77165113399999996</v>
      </c>
      <c r="F535">
        <v>0.68957879499999997</v>
      </c>
      <c r="G535">
        <v>0.86953651200000004</v>
      </c>
      <c r="H535">
        <v>2.21</v>
      </c>
      <c r="I535">
        <v>2.0891912809592399</v>
      </c>
      <c r="J535">
        <v>2.2066970247287601</v>
      </c>
      <c r="K535">
        <v>2.02545159279263</v>
      </c>
      <c r="L535">
        <v>1.81660529678964</v>
      </c>
      <c r="M535">
        <v>2.147944152844</v>
      </c>
      <c r="N535">
        <v>2.1471404667096201</v>
      </c>
      <c r="Q535">
        <f t="shared" si="40"/>
        <v>2.21</v>
      </c>
      <c r="R535">
        <f t="shared" si="42"/>
        <v>2.2885527278022799</v>
      </c>
      <c r="S535">
        <f t="shared" si="43"/>
        <v>-7.8552727802279954E-2</v>
      </c>
      <c r="T535">
        <f t="shared" si="44"/>
        <v>6.1705310451790861E-3</v>
      </c>
    </row>
    <row r="536" spans="1:20" hidden="1" x14ac:dyDescent="0.25">
      <c r="A536" t="str">
        <f t="shared" si="41"/>
        <v>BAR</v>
      </c>
      <c r="B536" t="s">
        <v>542</v>
      </c>
      <c r="C536">
        <v>1.7951519869999999</v>
      </c>
      <c r="D536">
        <v>5.3786663999999998E-2</v>
      </c>
      <c r="E536">
        <v>0.76816046699999996</v>
      </c>
      <c r="F536">
        <v>0.70281249300000004</v>
      </c>
      <c r="G536">
        <v>0.86590243</v>
      </c>
      <c r="H536">
        <v>2.37</v>
      </c>
      <c r="I536">
        <v>2.1900382450787599</v>
      </c>
      <c r="J536">
        <v>2.30081857618551</v>
      </c>
      <c r="K536">
        <v>2.19590100499875</v>
      </c>
      <c r="L536">
        <v>1.9711633704620899</v>
      </c>
      <c r="M536">
        <v>2.2454284106321398</v>
      </c>
      <c r="N536">
        <v>2.2447451251386901</v>
      </c>
      <c r="Q536">
        <f t="shared" si="40"/>
        <v>2.37</v>
      </c>
      <c r="R536">
        <f t="shared" si="42"/>
        <v>2.4074620908052951</v>
      </c>
      <c r="S536">
        <f t="shared" si="43"/>
        <v>-3.7462090805294945E-2</v>
      </c>
      <c r="T536">
        <f t="shared" si="44"/>
        <v>1.4034082475041642E-3</v>
      </c>
    </row>
    <row r="537" spans="1:20" hidden="1" x14ac:dyDescent="0.25">
      <c r="A537" t="str">
        <f t="shared" si="41"/>
        <v>BAR</v>
      </c>
      <c r="B537" t="s">
        <v>543</v>
      </c>
      <c r="C537">
        <v>1.9169560539999999</v>
      </c>
      <c r="D537">
        <v>5.6527763000000002E-2</v>
      </c>
      <c r="E537">
        <v>0.76334582600000001</v>
      </c>
      <c r="F537">
        <v>0.70468159900000005</v>
      </c>
      <c r="G537">
        <v>0.86303526799999997</v>
      </c>
      <c r="H537">
        <v>2.84</v>
      </c>
      <c r="I537">
        <v>2.1295365407243301</v>
      </c>
      <c r="J537">
        <v>2.24362724981142</v>
      </c>
      <c r="K537">
        <v>2.0561890314713098</v>
      </c>
      <c r="L537">
        <v>1.8425707189088001</v>
      </c>
      <c r="M537">
        <v>2.1865818952678802</v>
      </c>
      <c r="N537">
        <v>2.1858376454435602</v>
      </c>
      <c r="Q537">
        <f t="shared" si="40"/>
        <v>2.84</v>
      </c>
      <c r="R537">
        <f t="shared" si="42"/>
        <v>2.3258323070371159</v>
      </c>
      <c r="S537">
        <f t="shared" si="43"/>
        <v>0.514167692962884</v>
      </c>
      <c r="T537">
        <f t="shared" si="44"/>
        <v>0.26436841648677456</v>
      </c>
    </row>
    <row r="538" spans="1:20" hidden="1" x14ac:dyDescent="0.25">
      <c r="A538" t="str">
        <f t="shared" si="41"/>
        <v>BAR</v>
      </c>
      <c r="B538" t="s">
        <v>544</v>
      </c>
      <c r="C538">
        <v>1.967524343</v>
      </c>
      <c r="D538">
        <v>5.8403437000000002E-2</v>
      </c>
      <c r="E538">
        <v>0.76933699099999997</v>
      </c>
      <c r="F538">
        <v>0.69272386799999996</v>
      </c>
      <c r="G538">
        <v>0.86836419099999995</v>
      </c>
      <c r="H538">
        <v>2.41</v>
      </c>
      <c r="I538">
        <v>2.0733542324280001</v>
      </c>
      <c r="J538">
        <v>2.19875042979415</v>
      </c>
      <c r="K538">
        <v>1.9130966049498499</v>
      </c>
      <c r="L538">
        <v>1.7075832508156601</v>
      </c>
      <c r="M538">
        <v>2.1360523311110802</v>
      </c>
      <c r="N538">
        <v>2.1351319653985299</v>
      </c>
      <c r="Q538">
        <f t="shared" si="40"/>
        <v>2.41</v>
      </c>
      <c r="R538">
        <f t="shared" si="42"/>
        <v>2.2633304631014872</v>
      </c>
      <c r="S538">
        <f t="shared" si="43"/>
        <v>0.14666953689851292</v>
      </c>
      <c r="T538">
        <f t="shared" si="44"/>
        <v>2.1511953054024244E-2</v>
      </c>
    </row>
    <row r="539" spans="1:20" hidden="1" x14ac:dyDescent="0.25">
      <c r="A539" t="str">
        <f t="shared" si="41"/>
        <v>BAR</v>
      </c>
      <c r="B539" t="s">
        <v>545</v>
      </c>
      <c r="C539">
        <v>2.0542554040000001</v>
      </c>
      <c r="D539">
        <v>5.6784807E-2</v>
      </c>
      <c r="E539">
        <v>0.76020800399999999</v>
      </c>
      <c r="F539">
        <v>0.65638804299999998</v>
      </c>
      <c r="G539">
        <v>0.86395470600000002</v>
      </c>
      <c r="H539">
        <v>2.42</v>
      </c>
      <c r="I539">
        <v>1.8452291035795401</v>
      </c>
      <c r="J539">
        <v>1.9318134521762</v>
      </c>
      <c r="K539">
        <v>1.6099947437508799</v>
      </c>
      <c r="L539">
        <v>1.4757969667821</v>
      </c>
      <c r="M539">
        <v>1.8885212778778699</v>
      </c>
      <c r="N539">
        <v>1.8880250010638</v>
      </c>
      <c r="Q539">
        <f t="shared" si="40"/>
        <v>2.42</v>
      </c>
      <c r="R539">
        <f t="shared" si="42"/>
        <v>1.9549730829841794</v>
      </c>
      <c r="S539">
        <f t="shared" si="43"/>
        <v>0.46502691701582055</v>
      </c>
      <c r="T539">
        <f t="shared" si="44"/>
        <v>0.21625003354923886</v>
      </c>
    </row>
    <row r="540" spans="1:20" hidden="1" x14ac:dyDescent="0.25">
      <c r="A540" t="str">
        <f t="shared" si="41"/>
        <v>BAR</v>
      </c>
      <c r="B540" t="s">
        <v>546</v>
      </c>
      <c r="C540">
        <v>2.022561278</v>
      </c>
      <c r="D540">
        <v>4.8996597000000003E-2</v>
      </c>
      <c r="E540">
        <v>0.76784266499999998</v>
      </c>
      <c r="F540">
        <v>0.66024245100000001</v>
      </c>
      <c r="G540">
        <v>0.870053988</v>
      </c>
      <c r="H540">
        <v>2.19</v>
      </c>
      <c r="I540">
        <v>1.7270859227083399</v>
      </c>
      <c r="J540">
        <v>1.81143359549734</v>
      </c>
      <c r="K540">
        <v>1.7016719107416001</v>
      </c>
      <c r="L540">
        <v>1.49309131838654</v>
      </c>
      <c r="M540">
        <v>1.7692597591028401</v>
      </c>
      <c r="N540">
        <v>1.76875703891303</v>
      </c>
      <c r="Q540">
        <f t="shared" si="40"/>
        <v>2.19</v>
      </c>
      <c r="R540">
        <f t="shared" si="42"/>
        <v>1.8419518583757823</v>
      </c>
      <c r="S540">
        <f t="shared" si="43"/>
        <v>0.3480481416242176</v>
      </c>
      <c r="T540">
        <f t="shared" si="44"/>
        <v>0.12113750888807143</v>
      </c>
    </row>
    <row r="541" spans="1:20" hidden="1" x14ac:dyDescent="0.25">
      <c r="A541" t="str">
        <f t="shared" si="41"/>
        <v>BAR</v>
      </c>
      <c r="B541" t="s">
        <v>547</v>
      </c>
      <c r="C541">
        <v>1.807461913</v>
      </c>
      <c r="D541">
        <v>5.1934005999999998E-2</v>
      </c>
      <c r="E541">
        <v>0.76324272800000004</v>
      </c>
      <c r="F541">
        <v>0.67680328899999997</v>
      </c>
      <c r="G541">
        <v>0.86520493399999998</v>
      </c>
      <c r="H541">
        <v>2.17</v>
      </c>
      <c r="I541">
        <v>2.0630484242248301</v>
      </c>
      <c r="J541">
        <v>2.14729497493542</v>
      </c>
      <c r="K541">
        <v>2.08295125160127</v>
      </c>
      <c r="L541">
        <v>1.84879454710554</v>
      </c>
      <c r="M541">
        <v>2.10517169958012</v>
      </c>
      <c r="N541">
        <v>2.1047502261281301</v>
      </c>
      <c r="Q541">
        <f t="shared" si="40"/>
        <v>2.17</v>
      </c>
      <c r="R541">
        <f t="shared" si="42"/>
        <v>2.2347117163891181</v>
      </c>
      <c r="S541">
        <f t="shared" si="43"/>
        <v>-6.4711716389118212E-2</v>
      </c>
      <c r="T541">
        <f t="shared" si="44"/>
        <v>4.1876062380256703E-3</v>
      </c>
    </row>
    <row r="542" spans="1:20" hidden="1" x14ac:dyDescent="0.25">
      <c r="A542" t="str">
        <f t="shared" si="41"/>
        <v>BAR</v>
      </c>
      <c r="B542" t="s">
        <v>548</v>
      </c>
      <c r="C542">
        <v>1.8830435780000001</v>
      </c>
      <c r="D542">
        <v>4.9773128E-2</v>
      </c>
      <c r="E542">
        <v>0.75617618799999997</v>
      </c>
      <c r="F542">
        <v>0.67466236700000004</v>
      </c>
      <c r="G542">
        <v>0.86346089599999998</v>
      </c>
      <c r="H542">
        <v>2.11</v>
      </c>
      <c r="I542">
        <v>1.9398861006953501</v>
      </c>
      <c r="J542">
        <v>2.0106747152056599</v>
      </c>
      <c r="K542">
        <v>1.96797153440441</v>
      </c>
      <c r="L542">
        <v>1.76485858473442</v>
      </c>
      <c r="M542">
        <v>1.9752804079505</v>
      </c>
      <c r="N542">
        <v>1.9749632738476499</v>
      </c>
      <c r="Q542">
        <f t="shared" si="40"/>
        <v>2.11</v>
      </c>
      <c r="R542">
        <f t="shared" si="42"/>
        <v>2.0797879191656619</v>
      </c>
      <c r="S542">
        <f t="shared" si="43"/>
        <v>3.0212080834338018E-2</v>
      </c>
      <c r="T542">
        <f t="shared" si="44"/>
        <v>9.1276982834057453E-4</v>
      </c>
    </row>
    <row r="543" spans="1:20" hidden="1" x14ac:dyDescent="0.25">
      <c r="A543" t="str">
        <f t="shared" si="41"/>
        <v>BAR</v>
      </c>
      <c r="B543" t="s">
        <v>549</v>
      </c>
      <c r="C543">
        <v>1.954336259</v>
      </c>
      <c r="D543">
        <v>4.9935921000000001E-2</v>
      </c>
      <c r="E543">
        <v>0.76325532900000004</v>
      </c>
      <c r="F543">
        <v>0.66969172899999996</v>
      </c>
      <c r="G543">
        <v>0.872425903</v>
      </c>
      <c r="H543">
        <v>2.1</v>
      </c>
      <c r="I543">
        <v>1.8474061958446399</v>
      </c>
      <c r="J543">
        <v>1.93072023042999</v>
      </c>
      <c r="K543">
        <v>1.78694919952334</v>
      </c>
      <c r="L543">
        <v>1.5547155808376201</v>
      </c>
      <c r="M543">
        <v>1.88906321313732</v>
      </c>
      <c r="N543">
        <v>1.8886038536810601</v>
      </c>
      <c r="Q543">
        <f t="shared" si="40"/>
        <v>2.1</v>
      </c>
      <c r="R543">
        <f t="shared" si="42"/>
        <v>1.9817894618984195</v>
      </c>
      <c r="S543">
        <f t="shared" si="43"/>
        <v>0.11821053810158055</v>
      </c>
      <c r="T543">
        <f t="shared" si="44"/>
        <v>1.3973731318265228E-2</v>
      </c>
    </row>
    <row r="544" spans="1:20" hidden="1" x14ac:dyDescent="0.25">
      <c r="A544" t="str">
        <f t="shared" si="41"/>
        <v>BAR</v>
      </c>
      <c r="B544" t="s">
        <v>550</v>
      </c>
      <c r="C544">
        <v>1.8606326630000001</v>
      </c>
      <c r="D544">
        <v>4.9814155999999998E-2</v>
      </c>
      <c r="E544">
        <v>0.76746196499999997</v>
      </c>
      <c r="F544">
        <v>0.68791648100000002</v>
      </c>
      <c r="G544">
        <v>0.87439561300000002</v>
      </c>
      <c r="H544">
        <v>2.37</v>
      </c>
      <c r="I544">
        <v>1.9895088111443899</v>
      </c>
      <c r="J544">
        <v>2.09233740502069</v>
      </c>
      <c r="K544">
        <v>2.0029267603018801</v>
      </c>
      <c r="L544">
        <v>1.7722457827354201</v>
      </c>
      <c r="M544">
        <v>2.0409231080825401</v>
      </c>
      <c r="N544">
        <v>2.0402753988556701</v>
      </c>
      <c r="Q544">
        <f t="shared" si="40"/>
        <v>2.37</v>
      </c>
      <c r="R544">
        <f t="shared" si="42"/>
        <v>2.1747074796051296</v>
      </c>
      <c r="S544">
        <f t="shared" si="43"/>
        <v>0.19529252039487055</v>
      </c>
      <c r="T544">
        <f t="shared" si="44"/>
        <v>3.8139168522180932E-2</v>
      </c>
    </row>
    <row r="545" spans="1:20" hidden="1" x14ac:dyDescent="0.25">
      <c r="A545" t="str">
        <f t="shared" si="41"/>
        <v>BAR</v>
      </c>
      <c r="B545" t="s">
        <v>551</v>
      </c>
      <c r="C545">
        <v>1.718856943</v>
      </c>
      <c r="D545">
        <v>5.4786452999999999E-2</v>
      </c>
      <c r="E545">
        <v>0.77094971199999995</v>
      </c>
      <c r="F545">
        <v>0.53704149300000004</v>
      </c>
      <c r="G545">
        <v>0.868899584</v>
      </c>
      <c r="H545">
        <v>1.91</v>
      </c>
      <c r="I545">
        <v>1.78507791150802</v>
      </c>
      <c r="J545">
        <v>1.7935160000694901</v>
      </c>
      <c r="K545">
        <v>1.7645405633937501</v>
      </c>
      <c r="L545">
        <v>1.58620303729977</v>
      </c>
      <c r="M545">
        <v>1.7892969557887599</v>
      </c>
      <c r="N545">
        <v>1.78929198166769</v>
      </c>
      <c r="Q545">
        <f t="shared" si="40"/>
        <v>1.91</v>
      </c>
      <c r="R545">
        <f t="shared" si="42"/>
        <v>1.8150647217861762</v>
      </c>
      <c r="S545">
        <f t="shared" si="43"/>
        <v>9.4935278213823748E-2</v>
      </c>
      <c r="T545">
        <f t="shared" si="44"/>
        <v>9.0127070495361183E-3</v>
      </c>
    </row>
    <row r="546" spans="1:20" hidden="1" x14ac:dyDescent="0.25">
      <c r="A546" t="str">
        <f t="shared" si="41"/>
        <v>BAR</v>
      </c>
      <c r="B546" t="s">
        <v>552</v>
      </c>
      <c r="C546">
        <v>1.854706851</v>
      </c>
      <c r="D546">
        <v>5.7237412000000001E-2</v>
      </c>
      <c r="E546">
        <v>0.76368312400000005</v>
      </c>
      <c r="F546">
        <v>0.45617450500000001</v>
      </c>
      <c r="G546">
        <v>0.85528712699999998</v>
      </c>
      <c r="H546">
        <v>1.62</v>
      </c>
      <c r="I546">
        <v>1.42165115078222</v>
      </c>
      <c r="J546">
        <v>1.40992365351431</v>
      </c>
      <c r="K546">
        <v>1.28982971475498</v>
      </c>
      <c r="L546">
        <v>1.1507102869861401</v>
      </c>
      <c r="M546">
        <v>1.4157874021482699</v>
      </c>
      <c r="N546">
        <v>1.4157752591897099</v>
      </c>
      <c r="Q546">
        <f t="shared" si="40"/>
        <v>1.62</v>
      </c>
      <c r="R546">
        <f t="shared" si="42"/>
        <v>1.3530733886580801</v>
      </c>
      <c r="S546">
        <f t="shared" si="43"/>
        <v>0.26692661134191997</v>
      </c>
      <c r="T546">
        <f t="shared" si="44"/>
        <v>7.1249815842480399E-2</v>
      </c>
    </row>
    <row r="547" spans="1:20" hidden="1" x14ac:dyDescent="0.25">
      <c r="A547" t="str">
        <f t="shared" si="41"/>
        <v>BAR</v>
      </c>
      <c r="B547" t="s">
        <v>553</v>
      </c>
      <c r="C547">
        <v>1.8804822919999999</v>
      </c>
      <c r="D547">
        <v>6.0212105000000002E-2</v>
      </c>
      <c r="E547">
        <v>0.76270498399999997</v>
      </c>
      <c r="F547">
        <v>0.40664250899999999</v>
      </c>
      <c r="G547">
        <v>0.85338815300000004</v>
      </c>
      <c r="H547">
        <v>1.54</v>
      </c>
      <c r="I547">
        <v>1.28616451863993</v>
      </c>
      <c r="J547">
        <v>1.2712780521597</v>
      </c>
      <c r="K547">
        <v>1.0522471444622701</v>
      </c>
      <c r="L547">
        <v>0.90567528767956795</v>
      </c>
      <c r="M547">
        <v>1.27872128539981</v>
      </c>
      <c r="N547">
        <v>1.27869962227784</v>
      </c>
      <c r="Q547">
        <f t="shared" si="40"/>
        <v>1.54</v>
      </c>
      <c r="R547">
        <f t="shared" si="42"/>
        <v>1.1789204606097363</v>
      </c>
      <c r="S547">
        <f t="shared" si="43"/>
        <v>0.36107953939026372</v>
      </c>
      <c r="T547">
        <f t="shared" si="44"/>
        <v>0.130378433766285</v>
      </c>
    </row>
    <row r="548" spans="1:20" hidden="1" x14ac:dyDescent="0.25">
      <c r="A548" t="str">
        <f t="shared" si="41"/>
        <v>BAR</v>
      </c>
      <c r="B548" t="s">
        <v>554</v>
      </c>
      <c r="C548">
        <v>1.6798244550000001</v>
      </c>
      <c r="D548">
        <v>5.6459620000000002E-2</v>
      </c>
      <c r="E548">
        <v>0.76699817699999995</v>
      </c>
      <c r="F548">
        <v>0.47022852399999998</v>
      </c>
      <c r="G548">
        <v>0.86029502899999999</v>
      </c>
      <c r="H548">
        <v>1.75</v>
      </c>
      <c r="I548">
        <v>1.6461025772732101</v>
      </c>
      <c r="J548">
        <v>1.6216901256736</v>
      </c>
      <c r="K548">
        <v>1.60277884157218</v>
      </c>
      <c r="L548">
        <v>1.4205429383019299</v>
      </c>
      <c r="M548">
        <v>1.6338963514734099</v>
      </c>
      <c r="N548">
        <v>1.63385075677365</v>
      </c>
      <c r="Q548">
        <f t="shared" si="40"/>
        <v>1.75</v>
      </c>
      <c r="R548">
        <f t="shared" si="42"/>
        <v>1.6108165136735746</v>
      </c>
      <c r="S548">
        <f t="shared" si="43"/>
        <v>0.13918348632642541</v>
      </c>
      <c r="T548">
        <f t="shared" si="44"/>
        <v>1.937204286597825E-2</v>
      </c>
    </row>
    <row r="549" spans="1:20" hidden="1" x14ac:dyDescent="0.25">
      <c r="A549" t="str">
        <f t="shared" si="41"/>
        <v>BAR</v>
      </c>
      <c r="B549" t="s">
        <v>555</v>
      </c>
      <c r="C549">
        <v>1.570860393</v>
      </c>
      <c r="D549">
        <v>5.5132261000000002E-2</v>
      </c>
      <c r="E549">
        <v>0.75522802899999997</v>
      </c>
      <c r="F549">
        <v>0.38356976700000001</v>
      </c>
      <c r="G549">
        <v>0.85328948999999998</v>
      </c>
      <c r="H549">
        <v>1.34</v>
      </c>
      <c r="I549">
        <v>1.46683233040054</v>
      </c>
      <c r="J549">
        <v>1.37080243948616</v>
      </c>
      <c r="K549">
        <v>1.4416358477523801</v>
      </c>
      <c r="L549">
        <v>1.19782611874039</v>
      </c>
      <c r="M549">
        <v>1.4188173849433501</v>
      </c>
      <c r="N549">
        <v>1.4180047026826901</v>
      </c>
      <c r="Q549">
        <f t="shared" si="40"/>
        <v>1.34</v>
      </c>
      <c r="R549">
        <f t="shared" si="42"/>
        <v>1.3293966411364369</v>
      </c>
      <c r="S549">
        <f t="shared" si="43"/>
        <v>1.0603358863563228E-2</v>
      </c>
      <c r="T549">
        <f t="shared" si="44"/>
        <v>1.1243121918950487E-4</v>
      </c>
    </row>
    <row r="550" spans="1:20" hidden="1" x14ac:dyDescent="0.25">
      <c r="A550" t="str">
        <f t="shared" si="41"/>
        <v>BAR</v>
      </c>
      <c r="B550" t="s">
        <v>556</v>
      </c>
      <c r="C550">
        <v>1.7060019179999999</v>
      </c>
      <c r="D550">
        <v>5.3690130000000003E-2</v>
      </c>
      <c r="E550">
        <v>0.74555724999999995</v>
      </c>
      <c r="F550">
        <v>0.52760333699999995</v>
      </c>
      <c r="G550">
        <v>0.850838329</v>
      </c>
      <c r="H550">
        <v>1.29</v>
      </c>
      <c r="I550">
        <v>1.75873384341661</v>
      </c>
      <c r="J550">
        <v>1.7233989114925801</v>
      </c>
      <c r="K550">
        <v>1.7822963487224599</v>
      </c>
      <c r="L550">
        <v>1.62071328909976</v>
      </c>
      <c r="M550">
        <v>1.7410663774546</v>
      </c>
      <c r="N550">
        <v>1.7409767348673399</v>
      </c>
      <c r="Q550">
        <f t="shared" si="40"/>
        <v>1.29</v>
      </c>
      <c r="R550">
        <f t="shared" si="42"/>
        <v>1.7408659442804524</v>
      </c>
      <c r="S550">
        <f t="shared" si="43"/>
        <v>-0.45086594428045235</v>
      </c>
      <c r="T550">
        <f t="shared" si="44"/>
        <v>0.20328009971190397</v>
      </c>
    </row>
    <row r="551" spans="1:20" hidden="1" x14ac:dyDescent="0.25">
      <c r="A551" t="str">
        <f t="shared" si="41"/>
        <v>BAR</v>
      </c>
      <c r="B551" t="s">
        <v>557</v>
      </c>
      <c r="C551">
        <v>1.591524425</v>
      </c>
      <c r="D551">
        <v>5.7893561000000003E-2</v>
      </c>
      <c r="E551">
        <v>0.75955578800000001</v>
      </c>
      <c r="F551">
        <v>0.48999954499999998</v>
      </c>
      <c r="G551">
        <v>0.84719869000000003</v>
      </c>
      <c r="H551">
        <v>1.48</v>
      </c>
      <c r="I551">
        <v>1.82804050736739</v>
      </c>
      <c r="J551">
        <v>1.80847498294642</v>
      </c>
      <c r="K551">
        <v>1.84621591334248</v>
      </c>
      <c r="L551">
        <v>1.65302799315533</v>
      </c>
      <c r="M551">
        <v>1.8182577451569</v>
      </c>
      <c r="N551">
        <v>1.8182314278954199</v>
      </c>
      <c r="Q551">
        <f t="shared" si="40"/>
        <v>1.48</v>
      </c>
      <c r="R551">
        <f t="shared" si="42"/>
        <v>1.8286318015229548</v>
      </c>
      <c r="S551">
        <f t="shared" si="43"/>
        <v>-0.34863180152295481</v>
      </c>
      <c r="T551">
        <f t="shared" si="44"/>
        <v>0.12154413303314096</v>
      </c>
    </row>
    <row r="552" spans="1:20" hidden="1" x14ac:dyDescent="0.25">
      <c r="A552" t="str">
        <f t="shared" si="41"/>
        <v>BAR</v>
      </c>
      <c r="B552" t="s">
        <v>558</v>
      </c>
      <c r="C552">
        <v>1.4792967319999999</v>
      </c>
      <c r="D552">
        <v>5.7334686000000003E-2</v>
      </c>
      <c r="E552">
        <v>0.76113330700000004</v>
      </c>
      <c r="F552">
        <v>0.407089335</v>
      </c>
      <c r="G552">
        <v>0.85570681800000004</v>
      </c>
      <c r="H552">
        <v>1.52</v>
      </c>
      <c r="I552">
        <v>1.67971885803632</v>
      </c>
      <c r="J552">
        <v>1.6047980117099701</v>
      </c>
      <c r="K552">
        <v>1.72428032527708</v>
      </c>
      <c r="L552">
        <v>1.45521626825281</v>
      </c>
      <c r="M552">
        <v>1.6422584348731499</v>
      </c>
      <c r="N552">
        <v>1.6418311373611001</v>
      </c>
      <c r="Q552">
        <f t="shared" si="40"/>
        <v>1.52</v>
      </c>
      <c r="R552">
        <f t="shared" si="42"/>
        <v>1.5980251416011899</v>
      </c>
      <c r="S552">
        <f t="shared" si="43"/>
        <v>-7.8025141601189896E-2</v>
      </c>
      <c r="T552">
        <f t="shared" si="44"/>
        <v>6.0879227218857343E-3</v>
      </c>
    </row>
    <row r="553" spans="1:20" hidden="1" x14ac:dyDescent="0.25">
      <c r="A553" t="str">
        <f t="shared" si="41"/>
        <v>BAR</v>
      </c>
      <c r="B553" t="s">
        <v>559</v>
      </c>
      <c r="C553">
        <v>1.6977146400000001</v>
      </c>
      <c r="D553">
        <v>5.6301819000000003E-2</v>
      </c>
      <c r="E553">
        <v>0.75909646200000003</v>
      </c>
      <c r="F553">
        <v>0.50974820700000001</v>
      </c>
      <c r="G553">
        <v>0.85419709700000002</v>
      </c>
      <c r="H553">
        <v>1.37</v>
      </c>
      <c r="I553">
        <v>1.75063887178596</v>
      </c>
      <c r="J553">
        <v>1.7376350806205501</v>
      </c>
      <c r="K553">
        <v>1.7152457509405801</v>
      </c>
      <c r="L553">
        <v>1.54222479046886</v>
      </c>
      <c r="M553">
        <v>1.7441369762032599</v>
      </c>
      <c r="N553">
        <v>1.7441248570882999</v>
      </c>
      <c r="Q553">
        <f t="shared" si="40"/>
        <v>1.37</v>
      </c>
      <c r="R553">
        <f t="shared" si="42"/>
        <v>1.7469058418800172</v>
      </c>
      <c r="S553">
        <f t="shared" si="43"/>
        <v>-0.37690584188001708</v>
      </c>
      <c r="T553">
        <f t="shared" si="44"/>
        <v>0.14205801364328444</v>
      </c>
    </row>
    <row r="554" spans="1:20" hidden="1" x14ac:dyDescent="0.25">
      <c r="A554" t="str">
        <f t="shared" si="41"/>
        <v>BAR</v>
      </c>
      <c r="B554" t="s">
        <v>560</v>
      </c>
      <c r="C554">
        <v>1.6544204950000001</v>
      </c>
      <c r="D554">
        <v>5.7610897000000001E-2</v>
      </c>
      <c r="E554">
        <v>0.75554724600000001</v>
      </c>
      <c r="F554">
        <v>0.40213034800000003</v>
      </c>
      <c r="G554">
        <v>0.86025790999999996</v>
      </c>
      <c r="H554">
        <v>1.72</v>
      </c>
      <c r="I554">
        <v>1.5041223290221299</v>
      </c>
      <c r="J554">
        <v>1.4123194258932601</v>
      </c>
      <c r="K554">
        <v>1.38737342125668</v>
      </c>
      <c r="L554">
        <v>1.1685633056868201</v>
      </c>
      <c r="M554">
        <v>1.4582208774576999</v>
      </c>
      <c r="N554">
        <v>1.4574982621594299</v>
      </c>
      <c r="Q554">
        <f t="shared" si="40"/>
        <v>1.72</v>
      </c>
      <c r="R554">
        <f t="shared" si="42"/>
        <v>1.3649253938254233</v>
      </c>
      <c r="S554">
        <f t="shared" si="43"/>
        <v>0.35507460617457665</v>
      </c>
      <c r="T554">
        <f t="shared" si="44"/>
        <v>0.1260779759500307</v>
      </c>
    </row>
    <row r="555" spans="1:20" hidden="1" x14ac:dyDescent="0.25">
      <c r="A555" t="str">
        <f t="shared" si="41"/>
        <v>BAR</v>
      </c>
      <c r="B555" t="s">
        <v>561</v>
      </c>
      <c r="C555">
        <v>1.661649594</v>
      </c>
      <c r="D555">
        <v>6.1960014000000001E-2</v>
      </c>
      <c r="E555">
        <v>0.75021673499999997</v>
      </c>
      <c r="F555">
        <v>0.45606545599999998</v>
      </c>
      <c r="G555">
        <v>0.84481032</v>
      </c>
      <c r="H555">
        <v>1.1499999999999999</v>
      </c>
      <c r="I555">
        <v>1.7262953233931</v>
      </c>
      <c r="J555">
        <v>1.7005058084171101</v>
      </c>
      <c r="K555">
        <v>1.6124767393700099</v>
      </c>
      <c r="L555">
        <v>1.4352046828331499</v>
      </c>
      <c r="M555">
        <v>1.7134005659051099</v>
      </c>
      <c r="N555">
        <v>1.7133520433563201</v>
      </c>
      <c r="Q555">
        <f t="shared" si="40"/>
        <v>1.1499999999999999</v>
      </c>
      <c r="R555">
        <f t="shared" si="42"/>
        <v>1.6849811906327528</v>
      </c>
      <c r="S555">
        <f t="shared" si="43"/>
        <v>-0.53498119063275285</v>
      </c>
      <c r="T555">
        <f t="shared" si="44"/>
        <v>0.28620487433083786</v>
      </c>
    </row>
    <row r="556" spans="1:20" hidden="1" x14ac:dyDescent="0.25">
      <c r="A556" t="str">
        <f t="shared" si="41"/>
        <v>BAR</v>
      </c>
      <c r="B556" t="s">
        <v>562</v>
      </c>
      <c r="C556">
        <v>1.3567169050000001</v>
      </c>
      <c r="D556">
        <v>6.6387583E-2</v>
      </c>
      <c r="E556">
        <v>0.75312495099999999</v>
      </c>
      <c r="F556">
        <v>0.36299448299999998</v>
      </c>
      <c r="G556">
        <v>0.83360032500000003</v>
      </c>
      <c r="H556">
        <v>1.22</v>
      </c>
      <c r="I556">
        <v>1.8148109566320201</v>
      </c>
      <c r="J556">
        <v>1.77700820768913</v>
      </c>
      <c r="K556">
        <v>1.77964916576891</v>
      </c>
      <c r="L556">
        <v>1.4766545846047301</v>
      </c>
      <c r="M556">
        <v>1.79590958216057</v>
      </c>
      <c r="N556">
        <v>1.7958101139428</v>
      </c>
      <c r="Q556">
        <f t="shared" si="40"/>
        <v>1.22</v>
      </c>
      <c r="R556">
        <f t="shared" si="42"/>
        <v>1.7696189238365052</v>
      </c>
      <c r="S556">
        <f t="shared" si="43"/>
        <v>-0.54961892383650524</v>
      </c>
      <c r="T556">
        <f t="shared" si="44"/>
        <v>0.30208096143919816</v>
      </c>
    </row>
    <row r="557" spans="1:20" hidden="1" x14ac:dyDescent="0.25">
      <c r="A557" t="str">
        <f t="shared" si="41"/>
        <v>BAR</v>
      </c>
      <c r="B557" t="s">
        <v>563</v>
      </c>
      <c r="C557">
        <v>1.562530746</v>
      </c>
      <c r="D557">
        <v>7.2394433999999994E-2</v>
      </c>
      <c r="E557">
        <v>0.76804645100000002</v>
      </c>
      <c r="F557">
        <v>0.35161785200000001</v>
      </c>
      <c r="G557">
        <v>0.84057968599999999</v>
      </c>
      <c r="H557">
        <v>0.91</v>
      </c>
      <c r="I557">
        <v>1.64744354633705</v>
      </c>
      <c r="J557">
        <v>1.70859169604258</v>
      </c>
      <c r="K557">
        <v>1.38097695992934</v>
      </c>
      <c r="L557">
        <v>1.1307230296494699</v>
      </c>
      <c r="M557">
        <v>1.6780176211898199</v>
      </c>
      <c r="N557">
        <v>1.6777390628373701</v>
      </c>
      <c r="Q557">
        <f t="shared" si="40"/>
        <v>0.91</v>
      </c>
      <c r="R557">
        <f t="shared" si="42"/>
        <v>1.6495442085654819</v>
      </c>
      <c r="S557">
        <f t="shared" si="43"/>
        <v>-0.73954420856548186</v>
      </c>
      <c r="T557">
        <f t="shared" si="44"/>
        <v>0.54692563642274494</v>
      </c>
    </row>
    <row r="558" spans="1:20" hidden="1" x14ac:dyDescent="0.25">
      <c r="A558" t="str">
        <f t="shared" si="41"/>
        <v>BAR</v>
      </c>
      <c r="B558" t="s">
        <v>564</v>
      </c>
      <c r="C558">
        <v>1.6329009699999999</v>
      </c>
      <c r="D558">
        <v>5.9309893000000002E-2</v>
      </c>
      <c r="E558">
        <v>0.77245221900000005</v>
      </c>
      <c r="F558">
        <v>0.428841323</v>
      </c>
      <c r="G558">
        <v>0.86221668399999996</v>
      </c>
      <c r="H558">
        <v>0.97</v>
      </c>
      <c r="I558">
        <v>1.6181167851665501</v>
      </c>
      <c r="J558">
        <v>1.5888832904724099</v>
      </c>
      <c r="K558">
        <v>1.55095368598931</v>
      </c>
      <c r="L558">
        <v>1.35161273151186</v>
      </c>
      <c r="M558">
        <v>1.6035000378194799</v>
      </c>
      <c r="N558">
        <v>1.60343341676044</v>
      </c>
      <c r="Q558">
        <f t="shared" si="40"/>
        <v>0.97</v>
      </c>
      <c r="R558">
        <f t="shared" si="42"/>
        <v>1.5633027059837592</v>
      </c>
      <c r="S558">
        <f t="shared" si="43"/>
        <v>-0.59330270598375923</v>
      </c>
      <c r="T558">
        <f t="shared" si="44"/>
        <v>0.35200810092765106</v>
      </c>
    </row>
    <row r="559" spans="1:20" hidden="1" x14ac:dyDescent="0.25">
      <c r="A559" t="str">
        <f t="shared" si="41"/>
        <v>BAR</v>
      </c>
      <c r="B559" t="s">
        <v>565</v>
      </c>
      <c r="C559">
        <v>1.5973262159999999</v>
      </c>
      <c r="D559">
        <v>6.3907389999999994E-2</v>
      </c>
      <c r="E559">
        <v>0.74966509800000003</v>
      </c>
      <c r="F559">
        <v>0.45991594499999999</v>
      </c>
      <c r="G559">
        <v>0.84183284999999997</v>
      </c>
      <c r="H559">
        <v>1.52</v>
      </c>
      <c r="I559">
        <v>1.84654282219468</v>
      </c>
      <c r="J559">
        <v>1.8260182727189</v>
      </c>
      <c r="K559">
        <v>1.7397848641175999</v>
      </c>
      <c r="L559">
        <v>1.54021906719612</v>
      </c>
      <c r="M559">
        <v>1.83628054745679</v>
      </c>
      <c r="N559">
        <v>1.83625187125443</v>
      </c>
      <c r="Q559">
        <f t="shared" si="40"/>
        <v>1.52</v>
      </c>
      <c r="R559">
        <f t="shared" si="42"/>
        <v>1.8266436509654564</v>
      </c>
      <c r="S559">
        <f t="shared" si="43"/>
        <v>-0.30664365096545643</v>
      </c>
      <c r="T559">
        <f t="shared" si="44"/>
        <v>9.4030328677424668E-2</v>
      </c>
    </row>
    <row r="560" spans="1:20" hidden="1" x14ac:dyDescent="0.25">
      <c r="A560" t="str">
        <f t="shared" si="41"/>
        <v>BAR</v>
      </c>
      <c r="B560" t="s">
        <v>566</v>
      </c>
      <c r="C560">
        <v>1.613750005</v>
      </c>
      <c r="D560">
        <v>6.2999039000000007E-2</v>
      </c>
      <c r="E560">
        <v>0.72862121000000002</v>
      </c>
      <c r="F560">
        <v>0.37676980100000002</v>
      </c>
      <c r="G560">
        <v>0.82022829600000002</v>
      </c>
      <c r="H560">
        <v>0.93</v>
      </c>
      <c r="I560">
        <v>1.5077836809534</v>
      </c>
      <c r="J560">
        <v>1.4590116458498099</v>
      </c>
      <c r="K560">
        <v>1.4308026186454299</v>
      </c>
      <c r="L560">
        <v>1.0223865605079401</v>
      </c>
      <c r="M560">
        <v>1.4833976634016099</v>
      </c>
      <c r="N560">
        <v>1.48319720534166</v>
      </c>
      <c r="Q560">
        <f t="shared" si="40"/>
        <v>0.93</v>
      </c>
      <c r="R560">
        <f t="shared" si="42"/>
        <v>1.4043363916768381</v>
      </c>
      <c r="S560">
        <f t="shared" si="43"/>
        <v>-0.47433639167683805</v>
      </c>
      <c r="T560">
        <f t="shared" si="44"/>
        <v>0.22499501246900272</v>
      </c>
    </row>
    <row r="561" spans="1:20" hidden="1" x14ac:dyDescent="0.25">
      <c r="A561" t="str">
        <f t="shared" si="41"/>
        <v>BAR</v>
      </c>
      <c r="B561" t="s">
        <v>567</v>
      </c>
      <c r="C561">
        <v>1.5470135350000001</v>
      </c>
      <c r="D561">
        <v>6.3080058999999994E-2</v>
      </c>
      <c r="E561">
        <v>0.72915807200000005</v>
      </c>
      <c r="F561">
        <v>0.33618263700000001</v>
      </c>
      <c r="G561">
        <v>0.821029966</v>
      </c>
      <c r="H561">
        <v>1.19</v>
      </c>
      <c r="I561">
        <v>1.4409241838462801</v>
      </c>
      <c r="J561">
        <v>1.3792257138397499</v>
      </c>
      <c r="K561">
        <v>1.3462381321854899</v>
      </c>
      <c r="L561">
        <v>0.84519310833678796</v>
      </c>
      <c r="M561">
        <v>1.41007494884302</v>
      </c>
      <c r="N561">
        <v>1.4097374528806299</v>
      </c>
      <c r="Q561">
        <f t="shared" si="40"/>
        <v>1.19</v>
      </c>
      <c r="R561">
        <f t="shared" si="42"/>
        <v>1.3139313538049247</v>
      </c>
      <c r="S561">
        <f t="shared" si="43"/>
        <v>-0.1239313538049247</v>
      </c>
      <c r="T561">
        <f t="shared" si="44"/>
        <v>1.5358980455921425E-2</v>
      </c>
    </row>
    <row r="562" spans="1:20" hidden="1" x14ac:dyDescent="0.25">
      <c r="A562" t="str">
        <f t="shared" si="41"/>
        <v>BAR</v>
      </c>
      <c r="B562" t="s">
        <v>568</v>
      </c>
      <c r="C562">
        <v>1.7360297680000001</v>
      </c>
      <c r="D562">
        <v>6.5856328000000006E-2</v>
      </c>
      <c r="E562">
        <v>0.73016609200000004</v>
      </c>
      <c r="F562">
        <v>0.41947877099999997</v>
      </c>
      <c r="G562">
        <v>0.82534177099999995</v>
      </c>
      <c r="H562">
        <v>1.22</v>
      </c>
      <c r="I562">
        <v>1.58664528083752</v>
      </c>
      <c r="J562">
        <v>1.56550948697881</v>
      </c>
      <c r="K562">
        <v>1.3992580568049999</v>
      </c>
      <c r="L562">
        <v>1.16074906279095</v>
      </c>
      <c r="M562">
        <v>1.5760773839081601</v>
      </c>
      <c r="N562">
        <v>1.5760419536361601</v>
      </c>
      <c r="Q562">
        <f t="shared" si="40"/>
        <v>1.22</v>
      </c>
      <c r="R562">
        <f t="shared" si="42"/>
        <v>1.5108667826926476</v>
      </c>
      <c r="S562">
        <f t="shared" si="43"/>
        <v>-0.29086678269264765</v>
      </c>
      <c r="T562">
        <f t="shared" si="44"/>
        <v>8.4603485273971907E-2</v>
      </c>
    </row>
    <row r="563" spans="1:20" hidden="1" x14ac:dyDescent="0.25">
      <c r="A563" t="str">
        <f t="shared" si="41"/>
        <v>BAR</v>
      </c>
      <c r="B563" t="s">
        <v>569</v>
      </c>
      <c r="C563">
        <v>1.664766819</v>
      </c>
      <c r="D563">
        <v>6.3067884000000005E-2</v>
      </c>
      <c r="E563">
        <v>0.74977015499999999</v>
      </c>
      <c r="F563">
        <v>0.415651141</v>
      </c>
      <c r="G563">
        <v>0.84602506</v>
      </c>
      <c r="H563">
        <v>1.32</v>
      </c>
      <c r="I563">
        <v>1.6154192899287001</v>
      </c>
      <c r="J563">
        <v>1.5754497568238199</v>
      </c>
      <c r="K563">
        <v>1.4300590734393701</v>
      </c>
      <c r="L563">
        <v>1.1152621275549901</v>
      </c>
      <c r="M563">
        <v>1.5954345233762599</v>
      </c>
      <c r="N563">
        <v>1.5953093516577499</v>
      </c>
      <c r="Q563">
        <f t="shared" si="40"/>
        <v>1.32</v>
      </c>
      <c r="R563">
        <f t="shared" si="42"/>
        <v>1.5344851671560908</v>
      </c>
      <c r="S563">
        <f t="shared" si="43"/>
        <v>-0.21448516715609078</v>
      </c>
      <c r="T563">
        <f t="shared" si="44"/>
        <v>4.6003886929976208E-2</v>
      </c>
    </row>
    <row r="564" spans="1:20" hidden="1" x14ac:dyDescent="0.25">
      <c r="A564" t="str">
        <f t="shared" si="41"/>
        <v>BAR</v>
      </c>
      <c r="B564" t="s">
        <v>570</v>
      </c>
      <c r="C564">
        <v>1.754903841</v>
      </c>
      <c r="D564">
        <v>6.0171025000000003E-2</v>
      </c>
      <c r="E564">
        <v>0.76004764999999996</v>
      </c>
      <c r="F564">
        <v>0.54330468200000004</v>
      </c>
      <c r="G564">
        <v>0.85392686500000003</v>
      </c>
      <c r="H564">
        <v>1.85</v>
      </c>
      <c r="I564">
        <v>1.8725218837440101</v>
      </c>
      <c r="J564">
        <v>1.89502548786298</v>
      </c>
      <c r="K564">
        <v>1.73956402318175</v>
      </c>
      <c r="L564">
        <v>1.59509181198793</v>
      </c>
      <c r="M564">
        <v>1.8837736858034899</v>
      </c>
      <c r="N564">
        <v>1.8837400819317101</v>
      </c>
      <c r="Q564">
        <f t="shared" si="40"/>
        <v>1.85</v>
      </c>
      <c r="R564">
        <f t="shared" si="42"/>
        <v>1.9132918760518041</v>
      </c>
      <c r="S564">
        <f t="shared" si="43"/>
        <v>-6.3291876051803975E-2</v>
      </c>
      <c r="T564">
        <f t="shared" si="44"/>
        <v>4.0058615741569176E-3</v>
      </c>
    </row>
    <row r="565" spans="1:20" hidden="1" x14ac:dyDescent="0.25">
      <c r="A565" t="str">
        <f t="shared" si="41"/>
        <v>BAR</v>
      </c>
      <c r="B565" t="s">
        <v>571</v>
      </c>
      <c r="C565">
        <v>1.69652527</v>
      </c>
      <c r="D565">
        <v>7.0512942999999995E-2</v>
      </c>
      <c r="E565">
        <v>0.73463751300000002</v>
      </c>
      <c r="F565">
        <v>0.43519383699999997</v>
      </c>
      <c r="G565">
        <v>0.83336746799999994</v>
      </c>
      <c r="H565">
        <v>1.39</v>
      </c>
      <c r="I565">
        <v>1.8041232345892599</v>
      </c>
      <c r="J565">
        <v>1.7886285788390499</v>
      </c>
      <c r="K565">
        <v>1.4971300098454201</v>
      </c>
      <c r="L565">
        <v>1.2370203527952599</v>
      </c>
      <c r="M565">
        <v>1.79637590671416</v>
      </c>
      <c r="N565">
        <v>1.79635920047576</v>
      </c>
      <c r="Q565">
        <f t="shared" si="40"/>
        <v>1.39</v>
      </c>
      <c r="R565">
        <f t="shared" si="42"/>
        <v>1.7514532777152843</v>
      </c>
      <c r="S565">
        <f t="shared" si="43"/>
        <v>-0.36145327771528435</v>
      </c>
      <c r="T565">
        <f t="shared" si="44"/>
        <v>0.13064847197112248</v>
      </c>
    </row>
    <row r="566" spans="1:20" hidden="1" x14ac:dyDescent="0.25">
      <c r="A566" t="str">
        <f t="shared" si="41"/>
        <v>BAR</v>
      </c>
      <c r="B566" t="s">
        <v>572</v>
      </c>
      <c r="C566">
        <v>1.51382102</v>
      </c>
      <c r="D566">
        <v>6.6750807999999995E-2</v>
      </c>
      <c r="E566">
        <v>0.71650315099999995</v>
      </c>
      <c r="F566">
        <v>0.37472351700000001</v>
      </c>
      <c r="G566">
        <v>0.81238983399999998</v>
      </c>
      <c r="H566">
        <v>1.23</v>
      </c>
      <c r="I566">
        <v>1.69018843558431</v>
      </c>
      <c r="J566">
        <v>1.63015945894096</v>
      </c>
      <c r="K566">
        <v>1.58402191708449</v>
      </c>
      <c r="L566">
        <v>1.1308308001837999</v>
      </c>
      <c r="M566">
        <v>1.66017394726264</v>
      </c>
      <c r="N566">
        <v>1.6599026072816401</v>
      </c>
      <c r="Q566">
        <f t="shared" si="40"/>
        <v>1.23</v>
      </c>
      <c r="R566">
        <f t="shared" si="42"/>
        <v>1.5949581442860401</v>
      </c>
      <c r="S566">
        <f t="shared" si="43"/>
        <v>-0.36495814428604012</v>
      </c>
      <c r="T566">
        <f t="shared" si="44"/>
        <v>0.13319444708071007</v>
      </c>
    </row>
    <row r="567" spans="1:20" hidden="1" x14ac:dyDescent="0.25">
      <c r="A567" t="str">
        <f t="shared" si="41"/>
        <v>BAR</v>
      </c>
      <c r="B567" t="s">
        <v>573</v>
      </c>
      <c r="C567">
        <v>1.7828892759999999</v>
      </c>
      <c r="D567">
        <v>7.0766817999999995E-2</v>
      </c>
      <c r="E567">
        <v>0.74277768700000002</v>
      </c>
      <c r="F567">
        <v>0.44551311199999999</v>
      </c>
      <c r="G567">
        <v>0.83385702299999997</v>
      </c>
      <c r="H567">
        <v>1.31</v>
      </c>
      <c r="I567">
        <v>1.72795332653254</v>
      </c>
      <c r="J567">
        <v>1.75691946771602</v>
      </c>
      <c r="K567">
        <v>1.46215361853044</v>
      </c>
      <c r="L567">
        <v>1.3388257626370399</v>
      </c>
      <c r="M567">
        <v>1.74243639712428</v>
      </c>
      <c r="N567">
        <v>1.7423762046956699</v>
      </c>
      <c r="Q567">
        <f t="shared" si="40"/>
        <v>1.31</v>
      </c>
      <c r="R567">
        <f t="shared" si="42"/>
        <v>1.7078675175125841</v>
      </c>
      <c r="S567">
        <f t="shared" si="43"/>
        <v>-0.39786751751258409</v>
      </c>
      <c r="T567">
        <f t="shared" si="44"/>
        <v>0.15829856149162641</v>
      </c>
    </row>
    <row r="568" spans="1:20" hidden="1" x14ac:dyDescent="0.25">
      <c r="A568" t="str">
        <f t="shared" si="41"/>
        <v>BAR</v>
      </c>
      <c r="B568" t="s">
        <v>574</v>
      </c>
      <c r="C568">
        <v>1.5896453189999999</v>
      </c>
      <c r="D568">
        <v>6.7056927000000002E-2</v>
      </c>
      <c r="E568">
        <v>0.72132581900000003</v>
      </c>
      <c r="F568">
        <v>0.35727736900000001</v>
      </c>
      <c r="G568">
        <v>0.80756560399999999</v>
      </c>
      <c r="H568">
        <v>1.1200000000000001</v>
      </c>
      <c r="I568">
        <v>1.52213800541997</v>
      </c>
      <c r="J568">
        <v>1.50354098285185</v>
      </c>
      <c r="K568">
        <v>1.40793928337128</v>
      </c>
      <c r="L568">
        <v>0.96998802004868701</v>
      </c>
      <c r="M568">
        <v>1.51283949413591</v>
      </c>
      <c r="N568">
        <v>1.5128109176976801</v>
      </c>
      <c r="Q568">
        <f t="shared" si="40"/>
        <v>1.1200000000000001</v>
      </c>
      <c r="R568">
        <f t="shared" si="42"/>
        <v>1.4415657752253559</v>
      </c>
      <c r="S568">
        <f t="shared" si="43"/>
        <v>-0.32156577522535579</v>
      </c>
      <c r="T568">
        <f t="shared" si="44"/>
        <v>0.10340454779628404</v>
      </c>
    </row>
    <row r="569" spans="1:20" hidden="1" x14ac:dyDescent="0.25">
      <c r="A569" t="str">
        <f t="shared" si="41"/>
        <v>BAR</v>
      </c>
      <c r="B569" t="s">
        <v>575</v>
      </c>
      <c r="C569">
        <v>1.6184737090000001</v>
      </c>
      <c r="D569">
        <v>6.2536286999999996E-2</v>
      </c>
      <c r="E569">
        <v>0.730168225</v>
      </c>
      <c r="F569">
        <v>0.36516501800000001</v>
      </c>
      <c r="G569">
        <v>0.82866267900000001</v>
      </c>
      <c r="H569">
        <v>1.3</v>
      </c>
      <c r="I569">
        <v>1.4719427419954201</v>
      </c>
      <c r="J569">
        <v>1.4022075432993899</v>
      </c>
      <c r="K569">
        <v>1.3561533675502599</v>
      </c>
      <c r="L569">
        <v>0.93960071230314601</v>
      </c>
      <c r="M569">
        <v>1.43707514264741</v>
      </c>
      <c r="N569">
        <v>1.43665208597307</v>
      </c>
      <c r="Q569">
        <f t="shared" si="40"/>
        <v>1.3</v>
      </c>
      <c r="R569">
        <f t="shared" si="42"/>
        <v>1.3394457658329484</v>
      </c>
      <c r="S569">
        <f t="shared" si="43"/>
        <v>-3.9445765832948343E-2</v>
      </c>
      <c r="T569">
        <f t="shared" si="44"/>
        <v>1.555968442147795E-3</v>
      </c>
    </row>
    <row r="570" spans="1:20" hidden="1" x14ac:dyDescent="0.25">
      <c r="A570" t="str">
        <f t="shared" si="41"/>
        <v>BAR</v>
      </c>
      <c r="B570" t="s">
        <v>576</v>
      </c>
      <c r="C570">
        <v>1.8045403369999999</v>
      </c>
      <c r="D570">
        <v>6.718971E-2</v>
      </c>
      <c r="E570">
        <v>0.75075728900000005</v>
      </c>
      <c r="F570">
        <v>0.57004478199999997</v>
      </c>
      <c r="G570">
        <v>0.84769645900000001</v>
      </c>
      <c r="H570">
        <v>1.28</v>
      </c>
      <c r="I570">
        <v>2.0662126856997798</v>
      </c>
      <c r="J570">
        <v>2.1075178385368201</v>
      </c>
      <c r="K570">
        <v>1.74629065799633</v>
      </c>
      <c r="L570">
        <v>1.62575294278882</v>
      </c>
      <c r="M570">
        <v>2.0868652621182999</v>
      </c>
      <c r="N570">
        <v>2.0867630659285101</v>
      </c>
      <c r="Q570">
        <f t="shared" si="40"/>
        <v>1.28</v>
      </c>
      <c r="R570">
        <f t="shared" si="42"/>
        <v>2.1312746210653395</v>
      </c>
      <c r="S570">
        <f t="shared" si="43"/>
        <v>-0.85127462106533947</v>
      </c>
      <c r="T570">
        <f t="shared" si="44"/>
        <v>0.72466848046993726</v>
      </c>
    </row>
    <row r="571" spans="1:20" hidden="1" x14ac:dyDescent="0.25">
      <c r="A571" t="str">
        <f t="shared" si="41"/>
        <v>BAR</v>
      </c>
      <c r="B571" t="s">
        <v>577</v>
      </c>
      <c r="C571">
        <v>1.5345242349999999</v>
      </c>
      <c r="D571">
        <v>6.9106238E-2</v>
      </c>
      <c r="E571">
        <v>0.71809249399999997</v>
      </c>
      <c r="F571">
        <v>0.35713992100000003</v>
      </c>
      <c r="G571">
        <v>0.81425928800000003</v>
      </c>
      <c r="H571">
        <v>1.39</v>
      </c>
      <c r="I571">
        <v>1.6525854355984699</v>
      </c>
      <c r="J571">
        <v>1.6069065898352</v>
      </c>
      <c r="K571">
        <v>1.4702969600817</v>
      </c>
      <c r="L571">
        <v>0.95443804289130096</v>
      </c>
      <c r="M571">
        <v>1.62974601271683</v>
      </c>
      <c r="N571">
        <v>1.6295859678853599</v>
      </c>
      <c r="Q571">
        <f t="shared" si="40"/>
        <v>1.39</v>
      </c>
      <c r="R571">
        <f t="shared" si="42"/>
        <v>1.5561553558092502</v>
      </c>
      <c r="S571">
        <f t="shared" si="43"/>
        <v>-0.16615535580925034</v>
      </c>
      <c r="T571">
        <f t="shared" si="44"/>
        <v>2.7607602264098582E-2</v>
      </c>
    </row>
    <row r="572" spans="1:20" hidden="1" x14ac:dyDescent="0.25">
      <c r="A572" t="str">
        <f t="shared" si="41"/>
        <v>BAR</v>
      </c>
      <c r="B572" t="s">
        <v>578</v>
      </c>
      <c r="C572">
        <v>1.785753057</v>
      </c>
      <c r="D572">
        <v>7.0623838999999994E-2</v>
      </c>
      <c r="E572">
        <v>0.74103769500000005</v>
      </c>
      <c r="F572">
        <v>0.50393198500000003</v>
      </c>
      <c r="G572">
        <v>0.833931015</v>
      </c>
      <c r="H572">
        <v>1.36</v>
      </c>
      <c r="I572">
        <v>1.93156020688972</v>
      </c>
      <c r="J572">
        <v>1.9626208287743001</v>
      </c>
      <c r="K572">
        <v>1.67189992675843</v>
      </c>
      <c r="L572">
        <v>1.61710886502336</v>
      </c>
      <c r="M572">
        <v>1.9470905178320099</v>
      </c>
      <c r="N572">
        <v>1.9470285807027501</v>
      </c>
      <c r="Q572">
        <f t="shared" si="40"/>
        <v>1.36</v>
      </c>
      <c r="R572">
        <f t="shared" si="42"/>
        <v>1.9487779891146184</v>
      </c>
      <c r="S572">
        <f t="shared" si="43"/>
        <v>-0.58877798911461832</v>
      </c>
      <c r="T572">
        <f t="shared" si="44"/>
        <v>0.34665952046585363</v>
      </c>
    </row>
    <row r="573" spans="1:20" hidden="1" x14ac:dyDescent="0.25">
      <c r="A573" t="str">
        <f t="shared" si="41"/>
        <v>BAR</v>
      </c>
      <c r="B573" t="s">
        <v>579</v>
      </c>
      <c r="C573">
        <v>1.6828333559999999</v>
      </c>
      <c r="D573">
        <v>7.2642014000000005E-2</v>
      </c>
      <c r="E573">
        <v>0.72551520899999999</v>
      </c>
      <c r="F573">
        <v>0.40295976900000002</v>
      </c>
      <c r="G573">
        <v>0.81124850800000003</v>
      </c>
      <c r="H573">
        <v>1.1499999999999999</v>
      </c>
      <c r="I573">
        <v>1.70039179707194</v>
      </c>
      <c r="J573">
        <v>1.7305726365359</v>
      </c>
      <c r="K573">
        <v>1.4270214710097699</v>
      </c>
      <c r="L573">
        <v>1.1186982383173101</v>
      </c>
      <c r="M573">
        <v>1.7154822168039201</v>
      </c>
      <c r="N573">
        <v>1.7154158432877999</v>
      </c>
      <c r="Q573">
        <f t="shared" si="40"/>
        <v>1.1499999999999999</v>
      </c>
      <c r="R573">
        <f t="shared" si="42"/>
        <v>1.6754712862478516</v>
      </c>
      <c r="S573">
        <f t="shared" si="43"/>
        <v>-0.52547128624785167</v>
      </c>
      <c r="T573">
        <f t="shared" si="44"/>
        <v>0.27612007267097166</v>
      </c>
    </row>
    <row r="574" spans="1:20" hidden="1" x14ac:dyDescent="0.25">
      <c r="A574" t="str">
        <f t="shared" si="41"/>
        <v>BAR</v>
      </c>
      <c r="B574" t="s">
        <v>580</v>
      </c>
      <c r="C574">
        <v>1.5198948379999999</v>
      </c>
      <c r="D574">
        <v>6.6347656000000005E-2</v>
      </c>
      <c r="E574">
        <v>0.68903870700000003</v>
      </c>
      <c r="F574">
        <v>0.34581777000000002</v>
      </c>
      <c r="G574">
        <v>0.77126848699999995</v>
      </c>
      <c r="H574">
        <v>1.1599999999999999</v>
      </c>
      <c r="I574">
        <v>1.51718573701579</v>
      </c>
      <c r="J574">
        <v>1.4764122817083301</v>
      </c>
      <c r="K574">
        <v>1.4719059630843601</v>
      </c>
      <c r="L574">
        <v>0.92469982881355095</v>
      </c>
      <c r="M574">
        <v>1.49679900936206</v>
      </c>
      <c r="N574">
        <v>1.49666016709299</v>
      </c>
      <c r="Q574">
        <f t="shared" si="40"/>
        <v>1.1599999999999999</v>
      </c>
      <c r="R574">
        <f t="shared" si="42"/>
        <v>1.4211851616626754</v>
      </c>
      <c r="S574">
        <f t="shared" si="43"/>
        <v>-0.26118516166267547</v>
      </c>
      <c r="T574">
        <f t="shared" si="44"/>
        <v>6.8217688672757917E-2</v>
      </c>
    </row>
    <row r="575" spans="1:20" hidden="1" x14ac:dyDescent="0.25">
      <c r="A575" t="str">
        <f t="shared" si="41"/>
        <v>BAR</v>
      </c>
      <c r="B575" t="s">
        <v>581</v>
      </c>
      <c r="C575">
        <v>2.1953931240000002</v>
      </c>
      <c r="D575">
        <v>6.9520863000000002E-2</v>
      </c>
      <c r="E575">
        <v>0.73471637000000001</v>
      </c>
      <c r="F575">
        <v>0.575169865</v>
      </c>
      <c r="G575">
        <v>0.81460338499999996</v>
      </c>
      <c r="H575">
        <v>1.62</v>
      </c>
      <c r="I575">
        <v>1.6678221482109801</v>
      </c>
      <c r="J575">
        <v>1.77751472005317</v>
      </c>
      <c r="K575">
        <v>1.4039299685056701</v>
      </c>
      <c r="L575">
        <v>1.6379893410594799</v>
      </c>
      <c r="M575">
        <v>1.7226684341320799</v>
      </c>
      <c r="N575">
        <v>1.72179511524331</v>
      </c>
      <c r="Q575">
        <f t="shared" si="40"/>
        <v>1.62</v>
      </c>
      <c r="R575">
        <f t="shared" si="42"/>
        <v>1.7198294885088861</v>
      </c>
      <c r="S575">
        <f t="shared" si="43"/>
        <v>-9.9829488508885955E-2</v>
      </c>
      <c r="T575">
        <f t="shared" si="44"/>
        <v>9.9659267759457937E-3</v>
      </c>
    </row>
    <row r="576" spans="1:20" hidden="1" x14ac:dyDescent="0.25">
      <c r="A576" t="str">
        <f t="shared" si="41"/>
        <v>BAR</v>
      </c>
      <c r="B576" t="s">
        <v>582</v>
      </c>
      <c r="C576">
        <v>2.1164813159999998</v>
      </c>
      <c r="D576">
        <v>6.5389710000000004E-2</v>
      </c>
      <c r="E576">
        <v>0.74720871200000005</v>
      </c>
      <c r="F576">
        <v>0.57996647700000004</v>
      </c>
      <c r="G576">
        <v>0.82699572099999996</v>
      </c>
      <c r="H576">
        <v>1.68</v>
      </c>
      <c r="I576">
        <v>1.6879791733888501</v>
      </c>
      <c r="J576">
        <v>1.78203335429643</v>
      </c>
      <c r="K576">
        <v>1.50570303190977</v>
      </c>
      <c r="L576">
        <v>1.61225677291212</v>
      </c>
      <c r="M576">
        <v>1.73500626384264</v>
      </c>
      <c r="N576">
        <v>1.7343688155454799</v>
      </c>
      <c r="Q576">
        <f t="shared" si="40"/>
        <v>1.68</v>
      </c>
      <c r="R576">
        <f t="shared" si="42"/>
        <v>1.7452024046497079</v>
      </c>
      <c r="S576">
        <f t="shared" si="43"/>
        <v>-6.5202404649707946E-2</v>
      </c>
      <c r="T576">
        <f t="shared" si="44"/>
        <v>4.2513535721042566E-3</v>
      </c>
    </row>
    <row r="577" spans="1:20" hidden="1" x14ac:dyDescent="0.25">
      <c r="A577" t="str">
        <f t="shared" si="41"/>
        <v>BAR</v>
      </c>
      <c r="B577" t="s">
        <v>583</v>
      </c>
      <c r="C577">
        <v>2.0257614610000001</v>
      </c>
      <c r="D577">
        <v>6.7996074000000004E-2</v>
      </c>
      <c r="E577">
        <v>0.73402115000000001</v>
      </c>
      <c r="F577">
        <v>0.541969696</v>
      </c>
      <c r="G577">
        <v>0.810529469</v>
      </c>
      <c r="H577">
        <v>1.28</v>
      </c>
      <c r="I577">
        <v>1.7128493221187699</v>
      </c>
      <c r="J577">
        <v>1.78452955168137</v>
      </c>
      <c r="K577">
        <v>1.5635061513233599</v>
      </c>
      <c r="L577">
        <v>1.71356658775608</v>
      </c>
      <c r="M577">
        <v>1.7486894369000701</v>
      </c>
      <c r="N577">
        <v>1.7483221193185099</v>
      </c>
      <c r="Q577">
        <f t="shared" ref="Q577:Q640" si="45">H577</f>
        <v>1.28</v>
      </c>
      <c r="R577">
        <f t="shared" si="42"/>
        <v>1.743004228315999</v>
      </c>
      <c r="S577">
        <f t="shared" si="43"/>
        <v>-0.46300422831599897</v>
      </c>
      <c r="T577">
        <f t="shared" si="44"/>
        <v>0.21437291543849371</v>
      </c>
    </row>
    <row r="578" spans="1:20" hidden="1" x14ac:dyDescent="0.25">
      <c r="A578" t="str">
        <f t="shared" si="41"/>
        <v>BAR</v>
      </c>
      <c r="B578" t="s">
        <v>584</v>
      </c>
      <c r="C578">
        <v>1.906312104</v>
      </c>
      <c r="D578">
        <v>6.7423836000000001E-2</v>
      </c>
      <c r="E578">
        <v>0.74382136700000001</v>
      </c>
      <c r="F578">
        <v>0.58468456000000002</v>
      </c>
      <c r="G578">
        <v>0.82222390599999995</v>
      </c>
      <c r="H578">
        <v>1.4</v>
      </c>
      <c r="I578">
        <v>1.9963847418329399</v>
      </c>
      <c r="J578">
        <v>2.0575120291342199</v>
      </c>
      <c r="K578">
        <v>1.8958176572349901</v>
      </c>
      <c r="L578">
        <v>2.01289374963762</v>
      </c>
      <c r="M578">
        <v>2.0269483854835801</v>
      </c>
      <c r="N578">
        <v>2.0267179431537299</v>
      </c>
      <c r="Q578">
        <f t="shared" si="45"/>
        <v>1.4</v>
      </c>
      <c r="R578">
        <f t="shared" si="42"/>
        <v>2.06819957073371</v>
      </c>
      <c r="S578">
        <f t="shared" si="43"/>
        <v>-0.66819957073371006</v>
      </c>
      <c r="T578">
        <f t="shared" si="44"/>
        <v>0.44649066632871437</v>
      </c>
    </row>
    <row r="579" spans="1:20" hidden="1" x14ac:dyDescent="0.25">
      <c r="A579" t="str">
        <f t="shared" ref="A579:A642" si="46">LEFT(B579,3)</f>
        <v>BAR</v>
      </c>
      <c r="B579" t="s">
        <v>585</v>
      </c>
      <c r="C579">
        <v>1.8892395310000001</v>
      </c>
      <c r="D579">
        <v>6.6460923000000005E-2</v>
      </c>
      <c r="E579">
        <v>0.75242226099999998</v>
      </c>
      <c r="F579">
        <v>0.63431574199999996</v>
      </c>
      <c r="G579">
        <v>0.83940018800000005</v>
      </c>
      <c r="H579">
        <v>1.57</v>
      </c>
      <c r="I579">
        <v>2.1621175459492399</v>
      </c>
      <c r="J579">
        <v>2.2420198237509199</v>
      </c>
      <c r="K579">
        <v>2.0668041661907401</v>
      </c>
      <c r="L579">
        <v>2.1570298232596801</v>
      </c>
      <c r="M579">
        <v>2.2020686848500799</v>
      </c>
      <c r="N579">
        <v>2.2017062472768498</v>
      </c>
      <c r="Q579">
        <f t="shared" si="45"/>
        <v>1.57</v>
      </c>
      <c r="R579">
        <f t="shared" ref="R579:R642" si="47">$X$2*F579+$X$3*D579*E579+($X$4/(D579-$X$5))-$X$6*C579</f>
        <v>2.2872484001485445</v>
      </c>
      <c r="S579">
        <f t="shared" ref="S579:S642" si="48">Q579-R579</f>
        <v>-0.71724840014854441</v>
      </c>
      <c r="T579">
        <f t="shared" ref="T579:T642" si="49">S579^2</f>
        <v>0.51444526751564645</v>
      </c>
    </row>
    <row r="580" spans="1:20" hidden="1" x14ac:dyDescent="0.25">
      <c r="A580" t="str">
        <f t="shared" si="46"/>
        <v>BAR</v>
      </c>
      <c r="B580" t="s">
        <v>586</v>
      </c>
      <c r="C580">
        <v>1.9240830739999999</v>
      </c>
      <c r="D580">
        <v>7.0387377000000001E-2</v>
      </c>
      <c r="E580">
        <v>0.70983046299999997</v>
      </c>
      <c r="F580">
        <v>0.42833362400000002</v>
      </c>
      <c r="G580">
        <v>0.76200104700000004</v>
      </c>
      <c r="H580">
        <v>1.42</v>
      </c>
      <c r="I580">
        <v>1.4064760590330401</v>
      </c>
      <c r="J580">
        <v>1.5024043053835801</v>
      </c>
      <c r="K580">
        <v>1.3142981317107501</v>
      </c>
      <c r="L580">
        <v>1.3655743504461699</v>
      </c>
      <c r="M580">
        <v>1.45444018220831</v>
      </c>
      <c r="N580">
        <v>1.4536490933200401</v>
      </c>
      <c r="Q580">
        <f t="shared" si="45"/>
        <v>1.42</v>
      </c>
      <c r="R580">
        <f t="shared" si="47"/>
        <v>1.4114085881556906</v>
      </c>
      <c r="S580">
        <f t="shared" si="48"/>
        <v>8.5914118443093379E-3</v>
      </c>
      <c r="T580">
        <f t="shared" si="49"/>
        <v>7.3812357478538786E-5</v>
      </c>
    </row>
    <row r="581" spans="1:20" hidden="1" x14ac:dyDescent="0.25">
      <c r="A581" t="str">
        <f t="shared" si="46"/>
        <v>BAR</v>
      </c>
      <c r="B581" t="s">
        <v>587</v>
      </c>
      <c r="C581">
        <v>1.8846398900000001</v>
      </c>
      <c r="D581">
        <v>7.1897269999999999E-2</v>
      </c>
      <c r="E581">
        <v>0.70294177899999999</v>
      </c>
      <c r="F581">
        <v>0.39458183200000002</v>
      </c>
      <c r="G581">
        <v>0.75780786</v>
      </c>
      <c r="H581">
        <v>1.1599999999999999</v>
      </c>
      <c r="I581">
        <v>1.32946362010207</v>
      </c>
      <c r="J581">
        <v>1.44960273643462</v>
      </c>
      <c r="K581">
        <v>1.19196096825869</v>
      </c>
      <c r="L581">
        <v>1.1332615449344901</v>
      </c>
      <c r="M581">
        <v>1.38953317826835</v>
      </c>
      <c r="N581">
        <v>1.38823416673494</v>
      </c>
      <c r="Q581">
        <f t="shared" si="45"/>
        <v>1.1599999999999999</v>
      </c>
      <c r="R581">
        <f t="shared" si="47"/>
        <v>1.3455658289191428</v>
      </c>
      <c r="S581">
        <f t="shared" si="48"/>
        <v>-0.18556582891914286</v>
      </c>
      <c r="T581">
        <f t="shared" si="49"/>
        <v>3.4434676862448596E-2</v>
      </c>
    </row>
    <row r="582" spans="1:20" hidden="1" x14ac:dyDescent="0.25">
      <c r="A582" t="str">
        <f t="shared" si="46"/>
        <v>BAR</v>
      </c>
      <c r="B582" t="s">
        <v>588</v>
      </c>
      <c r="C582">
        <v>1.966971426</v>
      </c>
      <c r="D582">
        <v>6.9578206000000004E-2</v>
      </c>
      <c r="E582">
        <v>0.72518645100000001</v>
      </c>
      <c r="F582">
        <v>0.42434281600000001</v>
      </c>
      <c r="G582">
        <v>0.78068095400000004</v>
      </c>
      <c r="H582">
        <v>1.33</v>
      </c>
      <c r="I582">
        <v>1.3187464290099999</v>
      </c>
      <c r="J582">
        <v>1.44209000401465</v>
      </c>
      <c r="K582">
        <v>1.17757596878862</v>
      </c>
      <c r="L582">
        <v>1.2135598277965001</v>
      </c>
      <c r="M582">
        <v>1.38041821651233</v>
      </c>
      <c r="N582">
        <v>1.3790398990258901</v>
      </c>
      <c r="Q582">
        <f t="shared" si="45"/>
        <v>1.33</v>
      </c>
      <c r="R582">
        <f t="shared" si="47"/>
        <v>1.3402923501620738</v>
      </c>
      <c r="S582">
        <f t="shared" si="48"/>
        <v>-1.0292350162073749E-2</v>
      </c>
      <c r="T582">
        <f t="shared" si="49"/>
        <v>1.0593247185873953E-4</v>
      </c>
    </row>
    <row r="583" spans="1:20" hidden="1" x14ac:dyDescent="0.25">
      <c r="A583" t="str">
        <f t="shared" si="46"/>
        <v>BAR</v>
      </c>
      <c r="B583" t="s">
        <v>589</v>
      </c>
      <c r="C583">
        <v>1.893201889</v>
      </c>
      <c r="D583">
        <v>6.8518624E-2</v>
      </c>
      <c r="E583">
        <v>0.73004886800000002</v>
      </c>
      <c r="F583">
        <v>0.50842109599999996</v>
      </c>
      <c r="G583">
        <v>0.804414081</v>
      </c>
      <c r="H583">
        <v>1.43</v>
      </c>
      <c r="I583">
        <v>1.75452271389078</v>
      </c>
      <c r="J583">
        <v>1.8027446366352999</v>
      </c>
      <c r="K583">
        <v>1.6401580749276401</v>
      </c>
      <c r="L583">
        <v>1.7162157412843599</v>
      </c>
      <c r="M583">
        <v>1.7786336752630401</v>
      </c>
      <c r="N583">
        <v>1.7784702449918699</v>
      </c>
      <c r="Q583">
        <f t="shared" si="45"/>
        <v>1.43</v>
      </c>
      <c r="R583">
        <f t="shared" si="47"/>
        <v>1.7687296033412219</v>
      </c>
      <c r="S583">
        <f t="shared" si="48"/>
        <v>-0.33872960334122193</v>
      </c>
      <c r="T583">
        <f t="shared" si="49"/>
        <v>0.11473774417970155</v>
      </c>
    </row>
    <row r="584" spans="1:20" hidden="1" x14ac:dyDescent="0.25">
      <c r="A584" t="str">
        <f t="shared" si="46"/>
        <v>BAR</v>
      </c>
      <c r="B584" t="s">
        <v>590</v>
      </c>
      <c r="C584">
        <v>1.9038533150000001</v>
      </c>
      <c r="D584">
        <v>6.7954758000000004E-2</v>
      </c>
      <c r="E584">
        <v>0.73152393500000001</v>
      </c>
      <c r="F584">
        <v>0.56919894599999998</v>
      </c>
      <c r="G584">
        <v>0.80672742900000005</v>
      </c>
      <c r="H584">
        <v>1.25</v>
      </c>
      <c r="I584">
        <v>1.96756992077155</v>
      </c>
      <c r="J584">
        <v>2.0024466524575399</v>
      </c>
      <c r="K584">
        <v>1.8907518361519</v>
      </c>
      <c r="L584">
        <v>2.0552700719975299</v>
      </c>
      <c r="M584">
        <v>1.98500828661454</v>
      </c>
      <c r="N584">
        <v>1.9849316868157301</v>
      </c>
      <c r="Q584">
        <f t="shared" si="45"/>
        <v>1.25</v>
      </c>
      <c r="R584">
        <f t="shared" si="47"/>
        <v>2.0036073492603288</v>
      </c>
      <c r="S584">
        <f t="shared" si="48"/>
        <v>-0.7536073492603288</v>
      </c>
      <c r="T584">
        <f t="shared" si="49"/>
        <v>0.56792403685917914</v>
      </c>
    </row>
    <row r="585" spans="1:20" hidden="1" x14ac:dyDescent="0.25">
      <c r="A585" t="str">
        <f t="shared" si="46"/>
        <v>BAR</v>
      </c>
      <c r="B585" t="s">
        <v>591</v>
      </c>
      <c r="C585">
        <v>1.943684288</v>
      </c>
      <c r="D585">
        <v>6.9700936000000005E-2</v>
      </c>
      <c r="E585">
        <v>0.71446781299999995</v>
      </c>
      <c r="F585">
        <v>0.403294875</v>
      </c>
      <c r="G585">
        <v>0.76482693899999998</v>
      </c>
      <c r="H585">
        <v>1.06</v>
      </c>
      <c r="I585">
        <v>1.25099392749516</v>
      </c>
      <c r="J585">
        <v>1.37842476468288</v>
      </c>
      <c r="K585">
        <v>1.14713651123946</v>
      </c>
      <c r="L585">
        <v>1.15063382732893</v>
      </c>
      <c r="M585">
        <v>1.31470934608902</v>
      </c>
      <c r="N585">
        <v>1.31316450231006</v>
      </c>
      <c r="Q585">
        <f t="shared" si="45"/>
        <v>1.06</v>
      </c>
      <c r="R585">
        <f t="shared" si="47"/>
        <v>1.2682364250079501</v>
      </c>
      <c r="S585">
        <f t="shared" si="48"/>
        <v>-0.20823642500795003</v>
      </c>
      <c r="T585">
        <f t="shared" si="49"/>
        <v>4.3362408700091601E-2</v>
      </c>
    </row>
    <row r="586" spans="1:20" hidden="1" x14ac:dyDescent="0.25">
      <c r="A586" t="str">
        <f t="shared" si="46"/>
        <v>BAR</v>
      </c>
      <c r="B586" t="s">
        <v>592</v>
      </c>
      <c r="C586">
        <v>1.860899761</v>
      </c>
      <c r="D586">
        <v>7.0975773000000006E-2</v>
      </c>
      <c r="E586">
        <v>0.69741323099999997</v>
      </c>
      <c r="F586">
        <v>0.386927044</v>
      </c>
      <c r="G586">
        <v>0.74705336899999997</v>
      </c>
      <c r="H586">
        <v>1.05</v>
      </c>
      <c r="I586">
        <v>1.3027176771968301</v>
      </c>
      <c r="J586">
        <v>1.4138952565065801</v>
      </c>
      <c r="K586">
        <v>1.2127329909648199</v>
      </c>
      <c r="L586">
        <v>1.1365167787183099</v>
      </c>
      <c r="M586">
        <v>1.35830646685171</v>
      </c>
      <c r="N586">
        <v>1.35716850256549</v>
      </c>
      <c r="Q586">
        <f t="shared" si="45"/>
        <v>1.05</v>
      </c>
      <c r="R586">
        <f t="shared" si="47"/>
        <v>1.3103244536913525</v>
      </c>
      <c r="S586">
        <f t="shared" si="48"/>
        <v>-0.26032445369135249</v>
      </c>
      <c r="T586">
        <f t="shared" si="49"/>
        <v>6.7768821189701123E-2</v>
      </c>
    </row>
    <row r="587" spans="1:20" hidden="1" x14ac:dyDescent="0.25">
      <c r="A587" t="str">
        <f t="shared" si="46"/>
        <v>BAR</v>
      </c>
      <c r="B587" t="s">
        <v>593</v>
      </c>
      <c r="C587">
        <v>1.82812526</v>
      </c>
      <c r="D587">
        <v>7.0855579000000002E-2</v>
      </c>
      <c r="E587">
        <v>0.69334635899999997</v>
      </c>
      <c r="F587">
        <v>0.39639606300000002</v>
      </c>
      <c r="G587">
        <v>0.73719789000000002</v>
      </c>
      <c r="H587">
        <v>0.87</v>
      </c>
      <c r="I587">
        <v>1.38733045574741</v>
      </c>
      <c r="J587">
        <v>1.47331036140397</v>
      </c>
      <c r="K587">
        <v>1.3417646192698101</v>
      </c>
      <c r="L587">
        <v>1.2830640197807499</v>
      </c>
      <c r="M587">
        <v>1.43032040857569</v>
      </c>
      <c r="N587">
        <v>1.42967420594482</v>
      </c>
      <c r="Q587">
        <f t="shared" si="45"/>
        <v>0.87</v>
      </c>
      <c r="R587">
        <f t="shared" si="47"/>
        <v>1.3824324695363419</v>
      </c>
      <c r="S587">
        <f t="shared" si="48"/>
        <v>-0.51243246953634192</v>
      </c>
      <c r="T587">
        <f t="shared" si="49"/>
        <v>0.262587035835114</v>
      </c>
    </row>
    <row r="588" spans="1:20" hidden="1" x14ac:dyDescent="0.25">
      <c r="A588" t="str">
        <f t="shared" si="46"/>
        <v>BAR</v>
      </c>
      <c r="B588" t="s">
        <v>594</v>
      </c>
      <c r="C588">
        <v>1.8444841830000001</v>
      </c>
      <c r="D588">
        <v>7.0509260000000004E-2</v>
      </c>
      <c r="E588">
        <v>0.70979262799999998</v>
      </c>
      <c r="F588">
        <v>0.374458332</v>
      </c>
      <c r="G588">
        <v>0.75625531199999996</v>
      </c>
      <c r="H588">
        <v>1.1000000000000001</v>
      </c>
      <c r="I588">
        <v>1.2541196333369999</v>
      </c>
      <c r="J588">
        <v>1.3873082531013301</v>
      </c>
      <c r="K588">
        <v>1.1587301966494801</v>
      </c>
      <c r="L588">
        <v>1.03890741857946</v>
      </c>
      <c r="M588">
        <v>1.3207139432191699</v>
      </c>
      <c r="N588">
        <v>1.31903393349255</v>
      </c>
      <c r="Q588">
        <f t="shared" si="45"/>
        <v>1.1000000000000001</v>
      </c>
      <c r="R588">
        <f t="shared" si="47"/>
        <v>1.2802323680211272</v>
      </c>
      <c r="S588">
        <f t="shared" si="48"/>
        <v>-0.18023236802112708</v>
      </c>
      <c r="T588">
        <f t="shared" si="49"/>
        <v>3.248370648250299E-2</v>
      </c>
    </row>
    <row r="589" spans="1:20" hidden="1" x14ac:dyDescent="0.25">
      <c r="A589" t="str">
        <f t="shared" si="46"/>
        <v>BAR</v>
      </c>
      <c r="B589" t="s">
        <v>595</v>
      </c>
      <c r="C589">
        <v>1.8509118369999999</v>
      </c>
      <c r="D589">
        <v>7.1199678000000002E-2</v>
      </c>
      <c r="E589">
        <v>0.725121664</v>
      </c>
      <c r="F589">
        <v>0.41122171899999999</v>
      </c>
      <c r="G589">
        <v>0.78168202899999994</v>
      </c>
      <c r="H589">
        <v>1</v>
      </c>
      <c r="I589">
        <v>1.43953681202564</v>
      </c>
      <c r="J589">
        <v>1.5530392637611301</v>
      </c>
      <c r="K589">
        <v>1.29104018552499</v>
      </c>
      <c r="L589">
        <v>1.22015014777035</v>
      </c>
      <c r="M589">
        <v>1.4962880378933801</v>
      </c>
      <c r="N589">
        <v>1.4952114200691999</v>
      </c>
      <c r="Q589">
        <f t="shared" si="45"/>
        <v>1</v>
      </c>
      <c r="R589">
        <f t="shared" si="47"/>
        <v>1.4675600695272157</v>
      </c>
      <c r="S589">
        <f t="shared" si="48"/>
        <v>-0.46756006952721574</v>
      </c>
      <c r="T589">
        <f t="shared" si="49"/>
        <v>0.21861241861629482</v>
      </c>
    </row>
    <row r="590" spans="1:20" hidden="1" x14ac:dyDescent="0.25">
      <c r="A590" t="str">
        <f t="shared" si="46"/>
        <v>BAR</v>
      </c>
      <c r="B590" t="s">
        <v>596</v>
      </c>
      <c r="C590">
        <v>1.9907343909999999</v>
      </c>
      <c r="D590">
        <v>6.2118670000000001E-2</v>
      </c>
      <c r="E590">
        <v>0.74384337099999998</v>
      </c>
      <c r="F590">
        <v>0.59419813200000005</v>
      </c>
      <c r="G590">
        <v>0.834568215</v>
      </c>
      <c r="H590">
        <v>1.52</v>
      </c>
      <c r="I590">
        <v>1.82624617324219</v>
      </c>
      <c r="J590">
        <v>1.87574455964613</v>
      </c>
      <c r="K590">
        <v>1.80600125838424</v>
      </c>
      <c r="L590">
        <v>1.7864536582083499</v>
      </c>
      <c r="M590">
        <v>1.8509953664441601</v>
      </c>
      <c r="N590">
        <v>1.85082990143168</v>
      </c>
      <c r="Q590">
        <f t="shared" si="45"/>
        <v>1.52</v>
      </c>
      <c r="R590">
        <f t="shared" si="47"/>
        <v>1.8744142112869047</v>
      </c>
      <c r="S590">
        <f t="shared" si="48"/>
        <v>-0.35441421128690465</v>
      </c>
      <c r="T590">
        <f t="shared" si="49"/>
        <v>0.1256094331621187</v>
      </c>
    </row>
    <row r="591" spans="1:20" hidden="1" x14ac:dyDescent="0.25">
      <c r="A591" t="str">
        <f t="shared" si="46"/>
        <v>BAR</v>
      </c>
      <c r="B591" t="s">
        <v>597</v>
      </c>
      <c r="C591">
        <v>1.8724711599999999</v>
      </c>
      <c r="D591">
        <v>6.3173861999999997E-2</v>
      </c>
      <c r="E591">
        <v>0.72865329000000001</v>
      </c>
      <c r="F591">
        <v>0.511067771</v>
      </c>
      <c r="G591">
        <v>0.81514845899999999</v>
      </c>
      <c r="H591">
        <v>1.53</v>
      </c>
      <c r="I591">
        <v>1.6946994852208199</v>
      </c>
      <c r="J591">
        <v>1.69777153238256</v>
      </c>
      <c r="K591">
        <v>1.6752710976860901</v>
      </c>
      <c r="L591">
        <v>1.6435582996123199</v>
      </c>
      <c r="M591">
        <v>1.6962355088016901</v>
      </c>
      <c r="N591">
        <v>1.6962348133295999</v>
      </c>
      <c r="Q591">
        <f t="shared" si="45"/>
        <v>1.53</v>
      </c>
      <c r="R591">
        <f t="shared" si="47"/>
        <v>1.670200650777669</v>
      </c>
      <c r="S591">
        <f t="shared" si="48"/>
        <v>-0.14020065077766897</v>
      </c>
      <c r="T591">
        <f t="shared" si="49"/>
        <v>1.965622247848189E-2</v>
      </c>
    </row>
    <row r="592" spans="1:20" hidden="1" x14ac:dyDescent="0.25">
      <c r="A592" t="str">
        <f t="shared" si="46"/>
        <v>BAR</v>
      </c>
      <c r="B592" t="s">
        <v>598</v>
      </c>
      <c r="C592">
        <v>1.785902178</v>
      </c>
      <c r="D592">
        <v>6.5265236000000004E-2</v>
      </c>
      <c r="E592">
        <v>0.72580369499999997</v>
      </c>
      <c r="F592">
        <v>0.46311963900000003</v>
      </c>
      <c r="G592">
        <v>0.81063539200000001</v>
      </c>
      <c r="H592">
        <v>1.24</v>
      </c>
      <c r="I592">
        <v>1.6563443924638299</v>
      </c>
      <c r="J592">
        <v>1.65625951395834</v>
      </c>
      <c r="K592">
        <v>1.6753211174632401</v>
      </c>
      <c r="L592">
        <v>1.6614503385582999</v>
      </c>
      <c r="M592">
        <v>1.6563019532110901</v>
      </c>
      <c r="N592">
        <v>1.6563019526673799</v>
      </c>
      <c r="Q592">
        <f t="shared" si="45"/>
        <v>1.24</v>
      </c>
      <c r="R592">
        <f t="shared" si="47"/>
        <v>1.6176151978049269</v>
      </c>
      <c r="S592">
        <f t="shared" si="48"/>
        <v>-0.37761519780492692</v>
      </c>
      <c r="T592">
        <f t="shared" si="49"/>
        <v>0.14259323761325407</v>
      </c>
    </row>
    <row r="593" spans="1:20" hidden="1" x14ac:dyDescent="0.25">
      <c r="A593" t="str">
        <f t="shared" si="46"/>
        <v>BAR</v>
      </c>
      <c r="B593" t="s">
        <v>599</v>
      </c>
      <c r="C593">
        <v>1.7866913440000001</v>
      </c>
      <c r="D593">
        <v>6.1219217999999999E-2</v>
      </c>
      <c r="E593">
        <v>0.74426849900000003</v>
      </c>
      <c r="F593">
        <v>0.57119134199999999</v>
      </c>
      <c r="G593">
        <v>0.83864211399999999</v>
      </c>
      <c r="H593">
        <v>1.56</v>
      </c>
      <c r="I593">
        <v>1.95916225136116</v>
      </c>
      <c r="J593">
        <v>1.9741596784020099</v>
      </c>
      <c r="K593">
        <v>1.94665596105396</v>
      </c>
      <c r="L593">
        <v>1.8252030161906501</v>
      </c>
      <c r="M593">
        <v>1.96666096488158</v>
      </c>
      <c r="N593">
        <v>1.96664666884637</v>
      </c>
      <c r="Q593">
        <f t="shared" si="45"/>
        <v>1.56</v>
      </c>
      <c r="R593">
        <f t="shared" si="47"/>
        <v>2.0022966177723363</v>
      </c>
      <c r="S593">
        <f t="shared" si="48"/>
        <v>-0.4422966177723362</v>
      </c>
      <c r="T593">
        <f t="shared" si="49"/>
        <v>0.19562629809284807</v>
      </c>
    </row>
    <row r="594" spans="1:20" hidden="1" x14ac:dyDescent="0.25">
      <c r="A594" t="str">
        <f t="shared" si="46"/>
        <v>BAR</v>
      </c>
      <c r="B594" t="s">
        <v>600</v>
      </c>
      <c r="C594">
        <v>1.7409555729999999</v>
      </c>
      <c r="D594">
        <v>6.3845625000000003E-2</v>
      </c>
      <c r="E594">
        <v>0.75038058900000004</v>
      </c>
      <c r="F594">
        <v>0.48408278999999999</v>
      </c>
      <c r="G594">
        <v>0.84097799399999995</v>
      </c>
      <c r="H594">
        <v>1.57</v>
      </c>
      <c r="I594">
        <v>1.76304126432109</v>
      </c>
      <c r="J594">
        <v>1.77040376504907</v>
      </c>
      <c r="K594">
        <v>1.6799937042794399</v>
      </c>
      <c r="L594">
        <v>1.5739257756594001</v>
      </c>
      <c r="M594">
        <v>1.76672251468508</v>
      </c>
      <c r="N594">
        <v>1.7667186794424701</v>
      </c>
      <c r="Q594">
        <f t="shared" si="45"/>
        <v>1.57</v>
      </c>
      <c r="R594">
        <f t="shared" si="47"/>
        <v>1.7551769174056426</v>
      </c>
      <c r="S594">
        <f t="shared" si="48"/>
        <v>-0.18517691740564257</v>
      </c>
      <c r="T594">
        <f t="shared" si="49"/>
        <v>3.4290490739856169E-2</v>
      </c>
    </row>
    <row r="595" spans="1:20" hidden="1" x14ac:dyDescent="0.25">
      <c r="A595" t="str">
        <f t="shared" si="46"/>
        <v>BAR</v>
      </c>
      <c r="B595" t="s">
        <v>601</v>
      </c>
      <c r="C595">
        <v>1.9082423449999999</v>
      </c>
      <c r="D595">
        <v>6.3798584000000005E-2</v>
      </c>
      <c r="E595">
        <v>0.735783674</v>
      </c>
      <c r="F595">
        <v>0.57194580699999997</v>
      </c>
      <c r="G595">
        <v>0.82040127799999996</v>
      </c>
      <c r="H595">
        <v>1.69</v>
      </c>
      <c r="I595">
        <v>1.8825996415087101</v>
      </c>
      <c r="J595">
        <v>1.9085839089328001</v>
      </c>
      <c r="K595">
        <v>1.8707509485719001</v>
      </c>
      <c r="L595">
        <v>1.85552484138457</v>
      </c>
      <c r="M595">
        <v>1.8955917752207601</v>
      </c>
      <c r="N595">
        <v>1.89554725152031</v>
      </c>
      <c r="Q595">
        <f t="shared" si="45"/>
        <v>1.69</v>
      </c>
      <c r="R595">
        <f t="shared" si="47"/>
        <v>1.9109827863363371</v>
      </c>
      <c r="S595">
        <f t="shared" si="48"/>
        <v>-0.22098278633633717</v>
      </c>
      <c r="T595">
        <f t="shared" si="49"/>
        <v>4.8833391856971248E-2</v>
      </c>
    </row>
    <row r="596" spans="1:20" hidden="1" x14ac:dyDescent="0.25">
      <c r="A596" t="str">
        <f t="shared" si="46"/>
        <v>BAR</v>
      </c>
      <c r="B596" t="s">
        <v>602</v>
      </c>
      <c r="C596">
        <v>1.9133826679999999</v>
      </c>
      <c r="D596">
        <v>6.4111488999999994E-2</v>
      </c>
      <c r="E596">
        <v>0.73387395700000002</v>
      </c>
      <c r="F596">
        <v>0.46518344299999997</v>
      </c>
      <c r="G596">
        <v>0.81709599600000005</v>
      </c>
      <c r="H596">
        <v>1.63</v>
      </c>
      <c r="I596">
        <v>1.4900347877389499</v>
      </c>
      <c r="J596">
        <v>1.51691063307463</v>
      </c>
      <c r="K596">
        <v>1.4220788553466399</v>
      </c>
      <c r="L596">
        <v>1.3962390378874801</v>
      </c>
      <c r="M596">
        <v>1.50347271040679</v>
      </c>
      <c r="N596">
        <v>1.5034126556512399</v>
      </c>
      <c r="Q596">
        <f t="shared" si="45"/>
        <v>1.63</v>
      </c>
      <c r="R596">
        <f t="shared" si="47"/>
        <v>1.4526175259153677</v>
      </c>
      <c r="S596">
        <f t="shared" si="48"/>
        <v>0.17738247408463215</v>
      </c>
      <c r="T596">
        <f t="shared" si="49"/>
        <v>3.1464542112385196E-2</v>
      </c>
    </row>
    <row r="597" spans="1:20" hidden="1" x14ac:dyDescent="0.25">
      <c r="A597" t="str">
        <f t="shared" si="46"/>
        <v>BAR</v>
      </c>
      <c r="B597" t="s">
        <v>603</v>
      </c>
      <c r="C597">
        <v>1.88711831</v>
      </c>
      <c r="D597">
        <v>6.7105494000000002E-2</v>
      </c>
      <c r="E597">
        <v>0.73921732900000003</v>
      </c>
      <c r="F597">
        <v>0.54997319</v>
      </c>
      <c r="G597">
        <v>0.82168317899999999</v>
      </c>
      <c r="H597">
        <v>1.36</v>
      </c>
      <c r="I597">
        <v>1.88900026062507</v>
      </c>
      <c r="J597">
        <v>1.9356964794781999</v>
      </c>
      <c r="K597">
        <v>1.8173281148754501</v>
      </c>
      <c r="L597">
        <v>1.7683800597980299</v>
      </c>
      <c r="M597">
        <v>1.9123483700516299</v>
      </c>
      <c r="N597">
        <v>1.91220583469075</v>
      </c>
      <c r="Q597">
        <f t="shared" si="45"/>
        <v>1.36</v>
      </c>
      <c r="R597">
        <f t="shared" si="47"/>
        <v>1.929050086772647</v>
      </c>
      <c r="S597">
        <f t="shared" si="48"/>
        <v>-0.5690500867726469</v>
      </c>
      <c r="T597">
        <f t="shared" si="49"/>
        <v>0.32381800125595694</v>
      </c>
    </row>
    <row r="598" spans="1:20" hidden="1" x14ac:dyDescent="0.25">
      <c r="A598" t="str">
        <f t="shared" si="46"/>
        <v>BAR</v>
      </c>
      <c r="B598" t="s">
        <v>604</v>
      </c>
      <c r="C598">
        <v>1.8615773179999999</v>
      </c>
      <c r="D598">
        <v>6.5028781999999993E-2</v>
      </c>
      <c r="E598">
        <v>0.73733417400000001</v>
      </c>
      <c r="F598">
        <v>0.45217090599999998</v>
      </c>
      <c r="G598">
        <v>0.82172881900000005</v>
      </c>
      <c r="H598">
        <v>1.29</v>
      </c>
      <c r="I598">
        <v>1.5221599068726599</v>
      </c>
      <c r="J598">
        <v>1.54745334362741</v>
      </c>
      <c r="K598">
        <v>1.4553449553604101</v>
      </c>
      <c r="L598">
        <v>1.4283222477058</v>
      </c>
      <c r="M598">
        <v>1.5348066252500301</v>
      </c>
      <c r="N598">
        <v>1.53475452024931</v>
      </c>
      <c r="Q598">
        <f t="shared" si="45"/>
        <v>1.29</v>
      </c>
      <c r="R598">
        <f t="shared" si="47"/>
        <v>1.4863483510330888</v>
      </c>
      <c r="S598">
        <f t="shared" si="48"/>
        <v>-0.19634835103308879</v>
      </c>
      <c r="T598">
        <f t="shared" si="49"/>
        <v>3.8552674953413059E-2</v>
      </c>
    </row>
    <row r="599" spans="1:20" hidden="1" x14ac:dyDescent="0.25">
      <c r="A599" t="str">
        <f t="shared" si="46"/>
        <v>BAR</v>
      </c>
      <c r="B599" t="s">
        <v>605</v>
      </c>
      <c r="C599">
        <v>1.8062158580000001</v>
      </c>
      <c r="D599">
        <v>6.5392209000000007E-2</v>
      </c>
      <c r="E599">
        <v>0.736939715</v>
      </c>
      <c r="F599">
        <v>0.46414378499999998</v>
      </c>
      <c r="G599">
        <v>0.81948802200000004</v>
      </c>
      <c r="H599">
        <v>1.36</v>
      </c>
      <c r="I599">
        <v>1.63481379544717</v>
      </c>
      <c r="J599">
        <v>1.6554109495235301</v>
      </c>
      <c r="K599">
        <v>1.57000430942222</v>
      </c>
      <c r="L599">
        <v>1.5139860597555601</v>
      </c>
      <c r="M599">
        <v>1.64511237248535</v>
      </c>
      <c r="N599">
        <v>1.6450801370800701</v>
      </c>
      <c r="Q599">
        <f t="shared" si="45"/>
        <v>1.36</v>
      </c>
      <c r="R599">
        <f t="shared" si="47"/>
        <v>1.6134567581584291</v>
      </c>
      <c r="S599">
        <f t="shared" si="48"/>
        <v>-0.25345675815842905</v>
      </c>
      <c r="T599">
        <f t="shared" si="49"/>
        <v>6.4240328256180396E-2</v>
      </c>
    </row>
    <row r="600" spans="1:20" hidden="1" x14ac:dyDescent="0.25">
      <c r="A600" t="str">
        <f t="shared" si="46"/>
        <v>BAR</v>
      </c>
      <c r="B600" t="s">
        <v>606</v>
      </c>
      <c r="C600">
        <v>1.8941399800000001</v>
      </c>
      <c r="D600">
        <v>6.4655647999999996E-2</v>
      </c>
      <c r="E600">
        <v>0.74324928700000004</v>
      </c>
      <c r="F600">
        <v>0.58330255099999995</v>
      </c>
      <c r="G600">
        <v>0.82981256400000003</v>
      </c>
      <c r="H600">
        <v>1.41</v>
      </c>
      <c r="I600">
        <v>1.9491868394798599</v>
      </c>
      <c r="J600">
        <v>1.9938143763127201</v>
      </c>
      <c r="K600">
        <v>1.9426337989273901</v>
      </c>
      <c r="L600">
        <v>1.9211921265876</v>
      </c>
      <c r="M600">
        <v>1.97150060789629</v>
      </c>
      <c r="N600">
        <v>1.9713743283999901</v>
      </c>
      <c r="Q600">
        <f t="shared" si="45"/>
        <v>1.41</v>
      </c>
      <c r="R600">
        <f t="shared" si="47"/>
        <v>2.00645416839212</v>
      </c>
      <c r="S600">
        <f t="shared" si="48"/>
        <v>-0.59645416839212007</v>
      </c>
      <c r="T600">
        <f t="shared" si="49"/>
        <v>0.35575757499233551</v>
      </c>
    </row>
    <row r="601" spans="1:20" hidden="1" x14ac:dyDescent="0.25">
      <c r="A601" t="str">
        <f t="shared" si="46"/>
        <v>BAR</v>
      </c>
      <c r="B601" t="s">
        <v>607</v>
      </c>
      <c r="C601">
        <v>1.833775344</v>
      </c>
      <c r="D601">
        <v>6.5593402999999995E-2</v>
      </c>
      <c r="E601">
        <v>0.746194315</v>
      </c>
      <c r="F601">
        <v>0.55629361899999996</v>
      </c>
      <c r="G601">
        <v>0.83102562800000002</v>
      </c>
      <c r="H601">
        <v>1.57</v>
      </c>
      <c r="I601">
        <v>1.93912659229344</v>
      </c>
      <c r="J601">
        <v>1.98178704393425</v>
      </c>
      <c r="K601">
        <v>1.9187875237368699</v>
      </c>
      <c r="L601">
        <v>1.86710395300669</v>
      </c>
      <c r="M601">
        <v>1.96045681811385</v>
      </c>
      <c r="N601">
        <v>1.9603407757722899</v>
      </c>
      <c r="Q601">
        <f t="shared" si="45"/>
        <v>1.57</v>
      </c>
      <c r="R601">
        <f t="shared" si="47"/>
        <v>1.9908241285148454</v>
      </c>
      <c r="S601">
        <f t="shared" si="48"/>
        <v>-0.4208241285148453</v>
      </c>
      <c r="T601">
        <f t="shared" si="49"/>
        <v>0.17709294714027904</v>
      </c>
    </row>
    <row r="602" spans="1:20" hidden="1" x14ac:dyDescent="0.25">
      <c r="A602" t="str">
        <f t="shared" si="46"/>
        <v>BAR</v>
      </c>
      <c r="B602" t="s">
        <v>608</v>
      </c>
      <c r="C602">
        <v>1.940937377</v>
      </c>
      <c r="D602">
        <v>6.4637375999999996E-2</v>
      </c>
      <c r="E602">
        <v>0.75279235099999997</v>
      </c>
      <c r="F602">
        <v>0.550763895</v>
      </c>
      <c r="G602">
        <v>0.83895523800000005</v>
      </c>
      <c r="H602">
        <v>1.49</v>
      </c>
      <c r="I602">
        <v>1.7745398786795199</v>
      </c>
      <c r="J602">
        <v>1.83769580041796</v>
      </c>
      <c r="K602">
        <v>1.6781272972743699</v>
      </c>
      <c r="L602">
        <v>1.6466704560240599</v>
      </c>
      <c r="M602">
        <v>1.8061178395487401</v>
      </c>
      <c r="N602">
        <v>1.8058417656936501</v>
      </c>
      <c r="Q602">
        <f t="shared" si="45"/>
        <v>1.49</v>
      </c>
      <c r="R602">
        <f t="shared" si="47"/>
        <v>1.8207112373743528</v>
      </c>
      <c r="S602">
        <f t="shared" si="48"/>
        <v>-0.33071123737435282</v>
      </c>
      <c r="T602">
        <f t="shared" si="49"/>
        <v>0.10936992252567554</v>
      </c>
    </row>
    <row r="603" spans="1:20" hidden="1" x14ac:dyDescent="0.25">
      <c r="A603" t="str">
        <f t="shared" si="46"/>
        <v>BAR</v>
      </c>
      <c r="B603" t="s">
        <v>609</v>
      </c>
      <c r="C603">
        <v>1.7921874280000001</v>
      </c>
      <c r="D603">
        <v>6.4380409999999999E-2</v>
      </c>
      <c r="E603">
        <v>0.74299325699999996</v>
      </c>
      <c r="F603">
        <v>0.55791743299999996</v>
      </c>
      <c r="G603">
        <v>0.82868484600000003</v>
      </c>
      <c r="H603">
        <v>1.69</v>
      </c>
      <c r="I603">
        <v>1.9709578230426399</v>
      </c>
      <c r="J603">
        <v>1.9954174340034101</v>
      </c>
      <c r="K603">
        <v>1.9403341826910101</v>
      </c>
      <c r="L603">
        <v>1.8449563282136601</v>
      </c>
      <c r="M603">
        <v>1.9831876285230201</v>
      </c>
      <c r="N603">
        <v>1.98314991913992</v>
      </c>
      <c r="Q603">
        <f t="shared" si="45"/>
        <v>1.69</v>
      </c>
      <c r="R603">
        <f t="shared" si="47"/>
        <v>2.0142746262861264</v>
      </c>
      <c r="S603">
        <f t="shared" si="48"/>
        <v>-0.32427462628612647</v>
      </c>
      <c r="T603">
        <f t="shared" si="49"/>
        <v>0.10515403325300698</v>
      </c>
    </row>
    <row r="604" spans="1:20" hidden="1" x14ac:dyDescent="0.25">
      <c r="A604" t="str">
        <f t="shared" si="46"/>
        <v>BAR</v>
      </c>
      <c r="B604" t="s">
        <v>610</v>
      </c>
      <c r="C604">
        <v>1.9162710679999999</v>
      </c>
      <c r="D604">
        <v>6.1160988999999999E-2</v>
      </c>
      <c r="E604">
        <v>0.74285041100000004</v>
      </c>
      <c r="F604">
        <v>0.41342005900000001</v>
      </c>
      <c r="G604">
        <v>0.83549142600000004</v>
      </c>
      <c r="H604">
        <v>1.33</v>
      </c>
      <c r="I604">
        <v>1.2726865754532499</v>
      </c>
      <c r="J604">
        <v>1.26226090500197</v>
      </c>
      <c r="K604">
        <v>1.14072592236931</v>
      </c>
      <c r="L604">
        <v>1.05786517264764</v>
      </c>
      <c r="M604">
        <v>1.2674737402276099</v>
      </c>
      <c r="N604">
        <v>1.2674630205712101</v>
      </c>
      <c r="Q604">
        <f t="shared" si="45"/>
        <v>1.33</v>
      </c>
      <c r="R604">
        <f t="shared" si="47"/>
        <v>1.1658150009394217</v>
      </c>
      <c r="S604">
        <f t="shared" si="48"/>
        <v>0.16418499906057837</v>
      </c>
      <c r="T604">
        <f t="shared" si="49"/>
        <v>2.6956713916522122E-2</v>
      </c>
    </row>
    <row r="605" spans="1:20" hidden="1" x14ac:dyDescent="0.25">
      <c r="A605" t="str">
        <f t="shared" si="46"/>
        <v>BAR</v>
      </c>
      <c r="B605" t="s">
        <v>611</v>
      </c>
      <c r="C605">
        <v>1.9465520009999999</v>
      </c>
      <c r="D605">
        <v>7.0693538E-2</v>
      </c>
      <c r="E605">
        <v>0.72199201099999999</v>
      </c>
      <c r="F605">
        <v>0.44854849699999999</v>
      </c>
      <c r="G605">
        <v>0.79174675000000005</v>
      </c>
      <c r="H605">
        <v>1.43</v>
      </c>
      <c r="I605">
        <v>1.4865104044055799</v>
      </c>
      <c r="J605">
        <v>1.57708649716974</v>
      </c>
      <c r="K605">
        <v>1.32240598856964</v>
      </c>
      <c r="L605">
        <v>1.39158344843445</v>
      </c>
      <c r="M605">
        <v>1.5317984507876601</v>
      </c>
      <c r="N605">
        <v>1.53112882759432</v>
      </c>
      <c r="Q605">
        <f t="shared" si="45"/>
        <v>1.43</v>
      </c>
      <c r="R605">
        <f t="shared" si="47"/>
        <v>1.49409188731055</v>
      </c>
      <c r="S605">
        <f t="shared" si="48"/>
        <v>-6.4091887310550044E-2</v>
      </c>
      <c r="T605">
        <f t="shared" si="49"/>
        <v>4.1077700190282462E-3</v>
      </c>
    </row>
    <row r="606" spans="1:20" hidden="1" x14ac:dyDescent="0.25">
      <c r="A606" t="str">
        <f t="shared" si="46"/>
        <v>BAR</v>
      </c>
      <c r="B606" t="s">
        <v>612</v>
      </c>
      <c r="C606">
        <v>2.023790896</v>
      </c>
      <c r="D606">
        <v>6.9397744999999997E-2</v>
      </c>
      <c r="E606">
        <v>0.72871141399999995</v>
      </c>
      <c r="F606">
        <v>0.44593544499999999</v>
      </c>
      <c r="G606">
        <v>0.80035009800000001</v>
      </c>
      <c r="H606">
        <v>1.25</v>
      </c>
      <c r="I606">
        <v>1.3597423477089401</v>
      </c>
      <c r="J606">
        <v>1.46405096057366</v>
      </c>
      <c r="K606">
        <v>1.1457860527729899</v>
      </c>
      <c r="L606">
        <v>1.21705020488119</v>
      </c>
      <c r="M606">
        <v>1.4118966541413001</v>
      </c>
      <c r="N606">
        <v>1.41093305663166</v>
      </c>
      <c r="Q606">
        <f t="shared" si="45"/>
        <v>1.25</v>
      </c>
      <c r="R606">
        <f t="shared" si="47"/>
        <v>1.3635362101145794</v>
      </c>
      <c r="S606">
        <f t="shared" si="48"/>
        <v>-0.11353621011457937</v>
      </c>
      <c r="T606">
        <f t="shared" si="49"/>
        <v>1.2890471007181915E-2</v>
      </c>
    </row>
    <row r="607" spans="1:20" hidden="1" x14ac:dyDescent="0.25">
      <c r="A607" t="str">
        <f t="shared" si="46"/>
        <v>BAR</v>
      </c>
      <c r="B607" t="s">
        <v>613</v>
      </c>
      <c r="C607">
        <v>1.985497946</v>
      </c>
      <c r="D607">
        <v>7.0835306000000001E-2</v>
      </c>
      <c r="E607">
        <v>0.72612320699999999</v>
      </c>
      <c r="F607">
        <v>0.42805107599999997</v>
      </c>
      <c r="G607">
        <v>0.79171612999999996</v>
      </c>
      <c r="H607">
        <v>1.04</v>
      </c>
      <c r="I607">
        <v>1.34814163251722</v>
      </c>
      <c r="J607">
        <v>1.4716937354566699</v>
      </c>
      <c r="K607">
        <v>1.1392848900182699</v>
      </c>
      <c r="L607">
        <v>1.16538174676618</v>
      </c>
      <c r="M607">
        <v>1.4099176839869401</v>
      </c>
      <c r="N607">
        <v>1.4085636638377099</v>
      </c>
      <c r="Q607">
        <f t="shared" si="45"/>
        <v>1.04</v>
      </c>
      <c r="R607">
        <f t="shared" si="47"/>
        <v>1.3679174079259888</v>
      </c>
      <c r="S607">
        <f t="shared" si="48"/>
        <v>-0.32791740792598878</v>
      </c>
      <c r="T607">
        <f t="shared" si="49"/>
        <v>0.10752982642089932</v>
      </c>
    </row>
    <row r="608" spans="1:20" hidden="1" x14ac:dyDescent="0.25">
      <c r="A608" t="str">
        <f t="shared" si="46"/>
        <v>BAR</v>
      </c>
      <c r="B608" t="s">
        <v>614</v>
      </c>
      <c r="C608">
        <v>1.9939352539999999</v>
      </c>
      <c r="D608">
        <v>7.2735384E-2</v>
      </c>
      <c r="E608">
        <v>0.72274781499999996</v>
      </c>
      <c r="F608">
        <v>0.49263217399999998</v>
      </c>
      <c r="G608">
        <v>0.78879353299999999</v>
      </c>
      <c r="H608">
        <v>1.38</v>
      </c>
      <c r="I608">
        <v>1.6449772326229599</v>
      </c>
      <c r="J608">
        <v>1.74790897257955</v>
      </c>
      <c r="K608">
        <v>1.4592199284657199</v>
      </c>
      <c r="L608">
        <v>1.6566571207165901</v>
      </c>
      <c r="M608">
        <v>1.6964431026012501</v>
      </c>
      <c r="N608">
        <v>1.6956622495623199</v>
      </c>
      <c r="Q608">
        <f t="shared" si="45"/>
        <v>1.38</v>
      </c>
      <c r="R608">
        <f t="shared" si="47"/>
        <v>1.6811720521771512</v>
      </c>
      <c r="S608">
        <f t="shared" si="48"/>
        <v>-0.30117205217715126</v>
      </c>
      <c r="T608">
        <f t="shared" si="49"/>
        <v>9.0704605012596723E-2</v>
      </c>
    </row>
    <row r="609" spans="1:20" hidden="1" x14ac:dyDescent="0.25">
      <c r="A609" t="str">
        <f t="shared" si="46"/>
        <v>BAR</v>
      </c>
      <c r="B609" t="s">
        <v>615</v>
      </c>
      <c r="C609">
        <v>2.0601568270000001</v>
      </c>
      <c r="D609">
        <v>6.8996023000000004E-2</v>
      </c>
      <c r="E609">
        <v>0.73439465000000004</v>
      </c>
      <c r="F609">
        <v>0.51695713300000001</v>
      </c>
      <c r="G609">
        <v>0.80594052100000002</v>
      </c>
      <c r="H609">
        <v>1.29</v>
      </c>
      <c r="I609">
        <v>1.5889983958087699</v>
      </c>
      <c r="J609">
        <v>1.68475286714976</v>
      </c>
      <c r="K609">
        <v>1.3959136924573901</v>
      </c>
      <c r="L609">
        <v>1.5752441259127601</v>
      </c>
      <c r="M609">
        <v>1.6368756314792601</v>
      </c>
      <c r="N609">
        <v>1.63617529722068</v>
      </c>
      <c r="Q609">
        <f t="shared" si="45"/>
        <v>1.29</v>
      </c>
      <c r="R609">
        <f t="shared" si="47"/>
        <v>1.620357059160614</v>
      </c>
      <c r="S609">
        <f t="shared" si="48"/>
        <v>-0.33035705916061398</v>
      </c>
      <c r="T609">
        <f t="shared" si="49"/>
        <v>0.1091357865372494</v>
      </c>
    </row>
    <row r="610" spans="1:20" hidden="1" x14ac:dyDescent="0.25">
      <c r="A610" t="str">
        <f t="shared" si="46"/>
        <v>BAR</v>
      </c>
      <c r="B610" t="s">
        <v>616</v>
      </c>
      <c r="C610">
        <v>1.906670691</v>
      </c>
      <c r="D610">
        <v>6.7854328000000005E-2</v>
      </c>
      <c r="E610">
        <v>0.72589428199999995</v>
      </c>
      <c r="F610">
        <v>0.43799005600000002</v>
      </c>
      <c r="G610">
        <v>0.79676420199999998</v>
      </c>
      <c r="H610">
        <v>1.1599999999999999</v>
      </c>
      <c r="I610">
        <v>1.4428931568310399</v>
      </c>
      <c r="J610">
        <v>1.5085738039480501</v>
      </c>
      <c r="K610">
        <v>1.3227626991760399</v>
      </c>
      <c r="L610">
        <v>1.32561877075995</v>
      </c>
      <c r="M610">
        <v>1.4757334803895401</v>
      </c>
      <c r="N610">
        <v>1.4753680280835699</v>
      </c>
      <c r="Q610">
        <f t="shared" si="45"/>
        <v>1.1599999999999999</v>
      </c>
      <c r="R610">
        <f t="shared" si="47"/>
        <v>1.4284087263561247</v>
      </c>
      <c r="S610">
        <f t="shared" si="48"/>
        <v>-0.26840872635612478</v>
      </c>
      <c r="T610">
        <f t="shared" si="49"/>
        <v>7.2043244384117078E-2</v>
      </c>
    </row>
    <row r="611" spans="1:20" hidden="1" x14ac:dyDescent="0.25">
      <c r="A611" t="str">
        <f t="shared" si="46"/>
        <v>BAR</v>
      </c>
      <c r="B611" t="s">
        <v>617</v>
      </c>
      <c r="C611">
        <v>2.022652447</v>
      </c>
      <c r="D611">
        <v>6.3408434E-2</v>
      </c>
      <c r="E611">
        <v>0.74127410000000005</v>
      </c>
      <c r="F611">
        <v>0.508589917</v>
      </c>
      <c r="G611">
        <v>0.81787841400000005</v>
      </c>
      <c r="H611">
        <v>1.37</v>
      </c>
      <c r="I611">
        <v>1.5005953353307599</v>
      </c>
      <c r="J611">
        <v>1.55796588047624</v>
      </c>
      <c r="K611">
        <v>1.38070917187362</v>
      </c>
      <c r="L611">
        <v>1.4958882095530099</v>
      </c>
      <c r="M611">
        <v>1.5292806079035</v>
      </c>
      <c r="N611">
        <v>1.5290115541902001</v>
      </c>
      <c r="Q611">
        <f t="shared" si="45"/>
        <v>1.37</v>
      </c>
      <c r="R611">
        <f t="shared" si="47"/>
        <v>1.4972190328196544</v>
      </c>
      <c r="S611">
        <f t="shared" si="48"/>
        <v>-0.1272190328196543</v>
      </c>
      <c r="T611">
        <f t="shared" si="49"/>
        <v>1.6184682311568277E-2</v>
      </c>
    </row>
    <row r="612" spans="1:20" hidden="1" x14ac:dyDescent="0.25">
      <c r="A612" t="str">
        <f t="shared" si="46"/>
        <v>BAR</v>
      </c>
      <c r="B612" t="s">
        <v>618</v>
      </c>
      <c r="C612">
        <v>2.0143042279999999</v>
      </c>
      <c r="D612">
        <v>6.3284903000000003E-2</v>
      </c>
      <c r="E612">
        <v>0.75094269999999996</v>
      </c>
      <c r="F612">
        <v>0.43886999500000001</v>
      </c>
      <c r="G612">
        <v>0.81940985200000005</v>
      </c>
      <c r="H612">
        <v>1.37</v>
      </c>
      <c r="I612">
        <v>1.2344787012548599</v>
      </c>
      <c r="J612">
        <v>1.3177902289728201</v>
      </c>
      <c r="K612">
        <v>1.0907716859819601</v>
      </c>
      <c r="L612">
        <v>1.11147328781579</v>
      </c>
      <c r="M612">
        <v>1.27613446511384</v>
      </c>
      <c r="N612">
        <v>1.2754544172132201</v>
      </c>
      <c r="Q612">
        <f t="shared" si="45"/>
        <v>1.37</v>
      </c>
      <c r="R612">
        <f t="shared" si="47"/>
        <v>1.216386994186327</v>
      </c>
      <c r="S612">
        <f t="shared" si="48"/>
        <v>0.1536130058136731</v>
      </c>
      <c r="T612">
        <f t="shared" si="49"/>
        <v>2.3596955555111564E-2</v>
      </c>
    </row>
    <row r="613" spans="1:20" hidden="1" x14ac:dyDescent="0.25">
      <c r="A613" t="str">
        <f t="shared" si="46"/>
        <v>BAR</v>
      </c>
      <c r="B613" t="s">
        <v>619</v>
      </c>
      <c r="C613">
        <v>1.9327240670000001</v>
      </c>
      <c r="D613">
        <v>6.9807736999999995E-2</v>
      </c>
      <c r="E613">
        <v>0.74362708700000002</v>
      </c>
      <c r="F613">
        <v>0.47250885300000001</v>
      </c>
      <c r="G613">
        <v>0.82297420700000001</v>
      </c>
      <c r="H613">
        <v>1.4</v>
      </c>
      <c r="I613">
        <v>1.59768641795257</v>
      </c>
      <c r="J613">
        <v>1.68147404199314</v>
      </c>
      <c r="K613">
        <v>1.3673145303274099</v>
      </c>
      <c r="L613">
        <v>1.3825320547733</v>
      </c>
      <c r="M613">
        <v>1.6395802299728599</v>
      </c>
      <c r="N613">
        <v>1.63904491672201</v>
      </c>
      <c r="Q613">
        <f t="shared" si="45"/>
        <v>1.4</v>
      </c>
      <c r="R613">
        <f t="shared" si="47"/>
        <v>1.6172332641351059</v>
      </c>
      <c r="S613">
        <f t="shared" si="48"/>
        <v>-0.21723326413510602</v>
      </c>
      <c r="T613">
        <f t="shared" si="49"/>
        <v>4.7190291046792739E-2</v>
      </c>
    </row>
    <row r="614" spans="1:20" hidden="1" x14ac:dyDescent="0.25">
      <c r="A614" t="str">
        <f t="shared" si="46"/>
        <v>BAR</v>
      </c>
      <c r="B614" t="s">
        <v>620</v>
      </c>
      <c r="C614">
        <v>2.0598918249999998</v>
      </c>
      <c r="D614">
        <v>7.0612957000000004E-2</v>
      </c>
      <c r="E614">
        <v>0.74220716600000003</v>
      </c>
      <c r="F614">
        <v>0.54288999299999996</v>
      </c>
      <c r="G614">
        <v>0.82009158299999996</v>
      </c>
      <c r="H614">
        <v>1.47</v>
      </c>
      <c r="I614">
        <v>1.72308020353936</v>
      </c>
      <c r="J614">
        <v>1.8326902066911599</v>
      </c>
      <c r="K614">
        <v>1.4366620592005199</v>
      </c>
      <c r="L614">
        <v>1.58051451244434</v>
      </c>
      <c r="M614">
        <v>1.77788520511526</v>
      </c>
      <c r="N614">
        <v>1.77704029621447</v>
      </c>
      <c r="Q614">
        <f t="shared" si="45"/>
        <v>1.47</v>
      </c>
      <c r="R614">
        <f t="shared" si="47"/>
        <v>1.7841920815576868</v>
      </c>
      <c r="S614">
        <f t="shared" si="48"/>
        <v>-0.31419208155768685</v>
      </c>
      <c r="T614">
        <f t="shared" si="49"/>
        <v>9.8716664113552149E-2</v>
      </c>
    </row>
    <row r="615" spans="1:20" hidden="1" x14ac:dyDescent="0.25">
      <c r="A615" t="str">
        <f t="shared" si="46"/>
        <v>BAR</v>
      </c>
      <c r="B615" t="s">
        <v>621</v>
      </c>
      <c r="C615">
        <v>2.0102559850000001</v>
      </c>
      <c r="D615">
        <v>6.8718989999999994E-2</v>
      </c>
      <c r="E615">
        <v>0.71813080500000004</v>
      </c>
      <c r="F615">
        <v>0.37841524799999998</v>
      </c>
      <c r="G615">
        <v>0.78566863200000003</v>
      </c>
      <c r="H615">
        <v>0.98</v>
      </c>
      <c r="I615">
        <v>1.0744671259202201</v>
      </c>
      <c r="J615">
        <v>1.19931975452926</v>
      </c>
      <c r="K615">
        <v>0.89568293472865101</v>
      </c>
      <c r="L615">
        <v>0.89139232629494203</v>
      </c>
      <c r="M615">
        <v>1.1368934402247399</v>
      </c>
      <c r="N615">
        <v>1.13517824578715</v>
      </c>
      <c r="Q615">
        <f t="shared" si="45"/>
        <v>0.98</v>
      </c>
      <c r="R615">
        <f t="shared" si="47"/>
        <v>1.0599909958759381</v>
      </c>
      <c r="S615">
        <f t="shared" si="48"/>
        <v>-7.9990995875938165E-2</v>
      </c>
      <c r="T615">
        <f t="shared" si="49"/>
        <v>6.3985594212243565E-3</v>
      </c>
    </row>
    <row r="616" spans="1:20" hidden="1" x14ac:dyDescent="0.25">
      <c r="A616" t="str">
        <f t="shared" si="46"/>
        <v>BAR</v>
      </c>
      <c r="B616" t="s">
        <v>622</v>
      </c>
      <c r="C616">
        <v>1.9169847250000001</v>
      </c>
      <c r="D616">
        <v>7.2664357999999998E-2</v>
      </c>
      <c r="E616">
        <v>0.70996108700000005</v>
      </c>
      <c r="F616">
        <v>0.37207510399999999</v>
      </c>
      <c r="G616">
        <v>0.76646359600000002</v>
      </c>
      <c r="H616">
        <v>1.1299999999999999</v>
      </c>
      <c r="I616">
        <v>1.20003139531162</v>
      </c>
      <c r="J616">
        <v>1.36412251347597</v>
      </c>
      <c r="K616">
        <v>1.01622831190407</v>
      </c>
      <c r="L616">
        <v>0.92802312053228098</v>
      </c>
      <c r="M616">
        <v>1.2820769543938</v>
      </c>
      <c r="N616">
        <v>1.2794490389314299</v>
      </c>
      <c r="Q616">
        <f t="shared" si="45"/>
        <v>1.1299999999999999</v>
      </c>
      <c r="R616">
        <f t="shared" si="47"/>
        <v>1.2393538911872288</v>
      </c>
      <c r="S616">
        <f t="shared" si="48"/>
        <v>-0.10935389118722894</v>
      </c>
      <c r="T616">
        <f t="shared" si="49"/>
        <v>1.1958273517788305E-2</v>
      </c>
    </row>
    <row r="617" spans="1:20" hidden="1" x14ac:dyDescent="0.25">
      <c r="A617" t="str">
        <f t="shared" si="46"/>
        <v>BAR</v>
      </c>
      <c r="B617" t="s">
        <v>623</v>
      </c>
      <c r="C617">
        <v>1.8251389090000001</v>
      </c>
      <c r="D617">
        <v>6.9693056000000003E-2</v>
      </c>
      <c r="E617">
        <v>0.73272665400000003</v>
      </c>
      <c r="F617">
        <v>0.36012133000000002</v>
      </c>
      <c r="G617">
        <v>0.79471265599999996</v>
      </c>
      <c r="H617">
        <v>0.83</v>
      </c>
      <c r="I617">
        <v>1.24165236275421</v>
      </c>
      <c r="J617">
        <v>1.3601445416192399</v>
      </c>
      <c r="K617">
        <v>1.1061071726117599</v>
      </c>
      <c r="L617">
        <v>0.93384109186744901</v>
      </c>
      <c r="M617">
        <v>1.3008984521867299</v>
      </c>
      <c r="N617">
        <v>1.2995486461801899</v>
      </c>
      <c r="Q617">
        <f t="shared" si="45"/>
        <v>0.83</v>
      </c>
      <c r="R617">
        <f t="shared" si="47"/>
        <v>1.2495303017487345</v>
      </c>
      <c r="S617">
        <f t="shared" si="48"/>
        <v>-0.41953030174873451</v>
      </c>
      <c r="T617">
        <f t="shared" si="49"/>
        <v>0.17600567408538423</v>
      </c>
    </row>
    <row r="618" spans="1:20" hidden="1" x14ac:dyDescent="0.25">
      <c r="A618" t="str">
        <f t="shared" si="46"/>
        <v>BAR</v>
      </c>
      <c r="B618" t="s">
        <v>624</v>
      </c>
      <c r="C618">
        <v>1.9664278049999999</v>
      </c>
      <c r="D618">
        <v>6.9172349999999994E-2</v>
      </c>
      <c r="E618">
        <v>0.74441058800000004</v>
      </c>
      <c r="F618">
        <v>0.46620847300000001</v>
      </c>
      <c r="G618">
        <v>0.81195765099999995</v>
      </c>
      <c r="H618">
        <v>1.27</v>
      </c>
      <c r="I618">
        <v>1.4991803812108699</v>
      </c>
      <c r="J618">
        <v>1.6086780105204399</v>
      </c>
      <c r="K618">
        <v>1.32568894235167</v>
      </c>
      <c r="L618">
        <v>1.4297325636429199</v>
      </c>
      <c r="M618">
        <v>1.55392919586566</v>
      </c>
      <c r="N618">
        <v>1.55296442749265</v>
      </c>
      <c r="Q618">
        <f t="shared" si="45"/>
        <v>1.27</v>
      </c>
      <c r="R618">
        <f t="shared" si="47"/>
        <v>1.5335345169942589</v>
      </c>
      <c r="S618">
        <f t="shared" si="48"/>
        <v>-0.26353451699425889</v>
      </c>
      <c r="T618">
        <f t="shared" si="49"/>
        <v>6.9450441647397332E-2</v>
      </c>
    </row>
    <row r="619" spans="1:20" hidden="1" x14ac:dyDescent="0.25">
      <c r="A619" t="str">
        <f t="shared" si="46"/>
        <v>BAR</v>
      </c>
      <c r="B619" t="s">
        <v>625</v>
      </c>
      <c r="C619">
        <v>1.946375043</v>
      </c>
      <c r="D619">
        <v>6.8323974999999995E-2</v>
      </c>
      <c r="E619">
        <v>0.740528144</v>
      </c>
      <c r="F619">
        <v>0.49235272200000002</v>
      </c>
      <c r="G619">
        <v>0.81532636199999997</v>
      </c>
      <c r="H619">
        <v>1.27</v>
      </c>
      <c r="I619">
        <v>1.6194400799864599</v>
      </c>
      <c r="J619">
        <v>1.6978540756746401</v>
      </c>
      <c r="K619">
        <v>1.4572388736533299</v>
      </c>
      <c r="L619">
        <v>1.5817226914445699</v>
      </c>
      <c r="M619">
        <v>1.65864707783055</v>
      </c>
      <c r="N619">
        <v>1.6581836267783701</v>
      </c>
      <c r="Q619">
        <f t="shared" si="45"/>
        <v>1.27</v>
      </c>
      <c r="R619">
        <f t="shared" si="47"/>
        <v>1.6430499489763211</v>
      </c>
      <c r="S619">
        <f t="shared" si="48"/>
        <v>-0.37304994897632104</v>
      </c>
      <c r="T619">
        <f t="shared" si="49"/>
        <v>0.13916626443123573</v>
      </c>
    </row>
    <row r="620" spans="1:20" hidden="1" x14ac:dyDescent="0.25">
      <c r="A620" t="str">
        <f t="shared" si="46"/>
        <v>BAR</v>
      </c>
      <c r="B620" t="s">
        <v>626</v>
      </c>
      <c r="C620">
        <v>1.913748081</v>
      </c>
      <c r="D620">
        <v>6.2581187999999996E-2</v>
      </c>
      <c r="E620">
        <v>0.73764536800000002</v>
      </c>
      <c r="F620">
        <v>0.49795139700000002</v>
      </c>
      <c r="G620">
        <v>0.81827274800000005</v>
      </c>
      <c r="H620">
        <v>1.33</v>
      </c>
      <c r="I620">
        <v>1.5791313844847501</v>
      </c>
      <c r="J620">
        <v>1.6037532129890399</v>
      </c>
      <c r="K620">
        <v>1.5524489311084499</v>
      </c>
      <c r="L620">
        <v>1.5690735613092299</v>
      </c>
      <c r="M620">
        <v>1.5914422987368999</v>
      </c>
      <c r="N620">
        <v>1.5913946812777899</v>
      </c>
      <c r="Q620">
        <f t="shared" si="45"/>
        <v>1.33</v>
      </c>
      <c r="R620">
        <f t="shared" si="47"/>
        <v>1.5596161779999256</v>
      </c>
      <c r="S620">
        <f t="shared" si="48"/>
        <v>-0.22961617799992551</v>
      </c>
      <c r="T620">
        <f t="shared" si="49"/>
        <v>5.2723589199293472E-2</v>
      </c>
    </row>
    <row r="621" spans="1:20" hidden="1" x14ac:dyDescent="0.25">
      <c r="A621" t="str">
        <f t="shared" si="46"/>
        <v>BAR</v>
      </c>
      <c r="B621" t="s">
        <v>627</v>
      </c>
      <c r="C621">
        <v>1.823749211</v>
      </c>
      <c r="D621">
        <v>6.2703094000000001E-2</v>
      </c>
      <c r="E621">
        <v>0.73394393099999999</v>
      </c>
      <c r="F621">
        <v>0.49887707799999997</v>
      </c>
      <c r="G621">
        <v>0.81600539299999997</v>
      </c>
      <c r="H621">
        <v>1.23</v>
      </c>
      <c r="I621">
        <v>1.69277378314562</v>
      </c>
      <c r="J621">
        <v>1.6960962008204801</v>
      </c>
      <c r="K621">
        <v>1.72499870565754</v>
      </c>
      <c r="L621">
        <v>1.71879554296627</v>
      </c>
      <c r="M621">
        <v>1.6944349919830499</v>
      </c>
      <c r="N621">
        <v>1.6944341776657399</v>
      </c>
      <c r="Q621">
        <f t="shared" si="45"/>
        <v>1.23</v>
      </c>
      <c r="R621">
        <f t="shared" si="47"/>
        <v>1.6716418817744314</v>
      </c>
      <c r="S621">
        <f t="shared" si="48"/>
        <v>-0.44164188177443142</v>
      </c>
      <c r="T621">
        <f t="shared" si="49"/>
        <v>0.19504755173726085</v>
      </c>
    </row>
    <row r="622" spans="1:20" hidden="1" x14ac:dyDescent="0.25">
      <c r="A622" t="str">
        <f t="shared" si="46"/>
        <v>BAR</v>
      </c>
      <c r="B622" t="s">
        <v>628</v>
      </c>
      <c r="C622">
        <v>1.9347212549999999</v>
      </c>
      <c r="D622">
        <v>6.0827085000000003E-2</v>
      </c>
      <c r="E622">
        <v>0.72609797200000004</v>
      </c>
      <c r="F622">
        <v>0.55833961799999998</v>
      </c>
      <c r="G622">
        <v>0.81135264600000001</v>
      </c>
      <c r="H622">
        <v>1.35</v>
      </c>
      <c r="I622">
        <v>1.75607138869128</v>
      </c>
      <c r="J622">
        <v>1.75053264901237</v>
      </c>
      <c r="K622">
        <v>1.75725840499641</v>
      </c>
      <c r="L622">
        <v>1.7130946744629101</v>
      </c>
      <c r="M622">
        <v>1.75330201885182</v>
      </c>
      <c r="N622">
        <v>1.7532998317174899</v>
      </c>
      <c r="Q622">
        <f t="shared" si="45"/>
        <v>1.35</v>
      </c>
      <c r="R622">
        <f t="shared" si="47"/>
        <v>1.7384747539243275</v>
      </c>
      <c r="S622">
        <f t="shared" si="48"/>
        <v>-0.3884747539243274</v>
      </c>
      <c r="T622">
        <f t="shared" si="49"/>
        <v>0.15091263443656672</v>
      </c>
    </row>
    <row r="623" spans="1:20" hidden="1" x14ac:dyDescent="0.25">
      <c r="A623" t="str">
        <f t="shared" si="46"/>
        <v>BAR</v>
      </c>
      <c r="B623" t="s">
        <v>629</v>
      </c>
      <c r="C623">
        <v>2.0137971280000002</v>
      </c>
      <c r="D623">
        <v>6.0341132999999998E-2</v>
      </c>
      <c r="E623">
        <v>0.72952319799999998</v>
      </c>
      <c r="F623">
        <v>0.52153233499999996</v>
      </c>
      <c r="G623">
        <v>0.81870985699999999</v>
      </c>
      <c r="H623">
        <v>1.08</v>
      </c>
      <c r="I623">
        <v>1.51866020075426</v>
      </c>
      <c r="J623">
        <v>1.52847609003755</v>
      </c>
      <c r="K623">
        <v>1.47741573893168</v>
      </c>
      <c r="L623">
        <v>1.49348469679604</v>
      </c>
      <c r="M623">
        <v>1.5235681453959</v>
      </c>
      <c r="N623">
        <v>1.5235602402742401</v>
      </c>
      <c r="Q623">
        <f t="shared" si="45"/>
        <v>1.08</v>
      </c>
      <c r="R623">
        <f t="shared" si="47"/>
        <v>1.4770008452834946</v>
      </c>
      <c r="S623">
        <f t="shared" si="48"/>
        <v>-0.39700084528349455</v>
      </c>
      <c r="T623">
        <f t="shared" si="49"/>
        <v>0.15760967115580918</v>
      </c>
    </row>
    <row r="624" spans="1:20" hidden="1" x14ac:dyDescent="0.25">
      <c r="A624" t="str">
        <f t="shared" si="46"/>
        <v>BAR</v>
      </c>
      <c r="B624" t="s">
        <v>630</v>
      </c>
      <c r="C624">
        <v>1.783187554</v>
      </c>
      <c r="D624">
        <v>5.8750828999999997E-2</v>
      </c>
      <c r="E624">
        <v>0.72297008299999999</v>
      </c>
      <c r="F624">
        <v>0.47635427499999999</v>
      </c>
      <c r="G624">
        <v>0.82360856800000004</v>
      </c>
      <c r="H624">
        <v>1.21</v>
      </c>
      <c r="I624">
        <v>1.60222748938854</v>
      </c>
      <c r="J624">
        <v>1.5496768075876399</v>
      </c>
      <c r="K624">
        <v>1.63771960023142</v>
      </c>
      <c r="L624">
        <v>1.5686311112196301</v>
      </c>
      <c r="M624">
        <v>1.5759521484880901</v>
      </c>
      <c r="N624">
        <v>1.57573309312993</v>
      </c>
      <c r="Q624">
        <f t="shared" si="45"/>
        <v>1.21</v>
      </c>
      <c r="R624">
        <f t="shared" si="47"/>
        <v>1.5193929394376546</v>
      </c>
      <c r="S624">
        <f t="shared" si="48"/>
        <v>-0.30939293943765467</v>
      </c>
      <c r="T624">
        <f t="shared" si="49"/>
        <v>9.5723990973872256E-2</v>
      </c>
    </row>
    <row r="625" spans="1:20" hidden="1" x14ac:dyDescent="0.25">
      <c r="A625" t="str">
        <f t="shared" si="46"/>
        <v>BAR</v>
      </c>
      <c r="B625" t="s">
        <v>631</v>
      </c>
      <c r="C625">
        <v>1.7920833270000001</v>
      </c>
      <c r="D625">
        <v>6.2177860000000001E-2</v>
      </c>
      <c r="E625">
        <v>0.72838502100000002</v>
      </c>
      <c r="F625">
        <v>0.448321845</v>
      </c>
      <c r="G625">
        <v>0.80853204000000001</v>
      </c>
      <c r="H625">
        <v>1.23</v>
      </c>
      <c r="I625">
        <v>1.53165233099313</v>
      </c>
      <c r="J625">
        <v>1.5235034817147</v>
      </c>
      <c r="K625">
        <v>1.5721968128325501</v>
      </c>
      <c r="L625">
        <v>1.53229363325152</v>
      </c>
      <c r="M625">
        <v>1.5275779063539101</v>
      </c>
      <c r="N625">
        <v>1.5275724725997299</v>
      </c>
      <c r="Q625">
        <f t="shared" si="45"/>
        <v>1.23</v>
      </c>
      <c r="R625">
        <f t="shared" si="47"/>
        <v>1.4745805251947575</v>
      </c>
      <c r="S625">
        <f t="shared" si="48"/>
        <v>-0.24458052519475748</v>
      </c>
      <c r="T625">
        <f t="shared" si="49"/>
        <v>5.9819633304543401E-2</v>
      </c>
    </row>
    <row r="626" spans="1:20" hidden="1" x14ac:dyDescent="0.25">
      <c r="A626" t="str">
        <f t="shared" si="46"/>
        <v>BAR</v>
      </c>
      <c r="B626" t="s">
        <v>632</v>
      </c>
      <c r="C626">
        <v>1.791754855</v>
      </c>
      <c r="D626">
        <v>6.4362445000000004E-2</v>
      </c>
      <c r="E626">
        <v>0.72895036700000004</v>
      </c>
      <c r="F626">
        <v>0.39536465199999998</v>
      </c>
      <c r="G626">
        <v>0.80861147700000002</v>
      </c>
      <c r="H626">
        <v>1.1100000000000001</v>
      </c>
      <c r="I626">
        <v>1.3682974744363501</v>
      </c>
      <c r="J626">
        <v>1.38282643909831</v>
      </c>
      <c r="K626">
        <v>1.33669242746367</v>
      </c>
      <c r="L626">
        <v>1.23769415221662</v>
      </c>
      <c r="M626">
        <v>1.3755619567673301</v>
      </c>
      <c r="N626">
        <v>1.3755427743992701</v>
      </c>
      <c r="Q626">
        <f t="shared" si="45"/>
        <v>1.1100000000000001</v>
      </c>
      <c r="R626">
        <f t="shared" si="47"/>
        <v>1.3015057144057853</v>
      </c>
      <c r="S626">
        <f t="shared" si="48"/>
        <v>-0.19150571440578523</v>
      </c>
      <c r="T626">
        <f t="shared" si="49"/>
        <v>3.6674438650070175E-2</v>
      </c>
    </row>
    <row r="627" spans="1:20" hidden="1" x14ac:dyDescent="0.25">
      <c r="A627" t="str">
        <f t="shared" si="46"/>
        <v>BAR</v>
      </c>
      <c r="B627" t="s">
        <v>633</v>
      </c>
      <c r="C627">
        <v>1.7680594919999999</v>
      </c>
      <c r="D627">
        <v>6.3187597999999998E-2</v>
      </c>
      <c r="E627">
        <v>0.73156110200000002</v>
      </c>
      <c r="F627">
        <v>0.46933251799999998</v>
      </c>
      <c r="G627">
        <v>0.80799755299999998</v>
      </c>
      <c r="H627">
        <v>1.28</v>
      </c>
      <c r="I627">
        <v>1.65489677821846</v>
      </c>
      <c r="J627">
        <v>1.6524054779602599</v>
      </c>
      <c r="K627">
        <v>1.7356599436078599</v>
      </c>
      <c r="L627">
        <v>1.7266062679015</v>
      </c>
      <c r="M627">
        <v>1.65365112808936</v>
      </c>
      <c r="N627">
        <v>1.65365065893222</v>
      </c>
      <c r="Q627">
        <f t="shared" si="45"/>
        <v>1.28</v>
      </c>
      <c r="R627">
        <f t="shared" si="47"/>
        <v>1.6216503076020379</v>
      </c>
      <c r="S627">
        <f t="shared" si="48"/>
        <v>-0.34165030760203785</v>
      </c>
      <c r="T627">
        <f t="shared" si="49"/>
        <v>0.11672493268456709</v>
      </c>
    </row>
    <row r="628" spans="1:20" hidden="1" x14ac:dyDescent="0.25">
      <c r="A628" t="str">
        <f t="shared" si="46"/>
        <v>BAR</v>
      </c>
      <c r="B628" t="s">
        <v>634</v>
      </c>
      <c r="C628">
        <v>1.899036913</v>
      </c>
      <c r="D628">
        <v>6.1198104000000003E-2</v>
      </c>
      <c r="E628">
        <v>0.73738713700000003</v>
      </c>
      <c r="F628">
        <v>0.57796728399999997</v>
      </c>
      <c r="G628">
        <v>0.81815260700000003</v>
      </c>
      <c r="H628">
        <v>1.31</v>
      </c>
      <c r="I628">
        <v>1.8662779941216201</v>
      </c>
      <c r="J628">
        <v>1.8789345448311601</v>
      </c>
      <c r="K628">
        <v>1.9027187142764901</v>
      </c>
      <c r="L628">
        <v>1.88120665918931</v>
      </c>
      <c r="M628">
        <v>1.8726062694763901</v>
      </c>
      <c r="N628">
        <v>1.87259557657635</v>
      </c>
      <c r="Q628">
        <f t="shared" si="45"/>
        <v>1.31</v>
      </c>
      <c r="R628">
        <f t="shared" si="47"/>
        <v>1.8869689323989971</v>
      </c>
      <c r="S628">
        <f t="shared" si="48"/>
        <v>-0.57696893239899705</v>
      </c>
      <c r="T628">
        <f t="shared" si="49"/>
        <v>0.33289314895363842</v>
      </c>
    </row>
    <row r="629" spans="1:20" hidden="1" x14ac:dyDescent="0.25">
      <c r="A629" t="str">
        <f t="shared" si="46"/>
        <v>BAR</v>
      </c>
      <c r="B629" t="s">
        <v>635</v>
      </c>
      <c r="C629">
        <v>1.963070002</v>
      </c>
      <c r="D629">
        <v>6.0595562999999998E-2</v>
      </c>
      <c r="E629">
        <v>0.72961697800000003</v>
      </c>
      <c r="F629">
        <v>0.53876857600000005</v>
      </c>
      <c r="G629">
        <v>0.818983774</v>
      </c>
      <c r="H629">
        <v>1.19</v>
      </c>
      <c r="I629">
        <v>1.6437597505064401</v>
      </c>
      <c r="J629">
        <v>1.6485608212673699</v>
      </c>
      <c r="K629">
        <v>1.61440729121392</v>
      </c>
      <c r="L629">
        <v>1.5979929601948799</v>
      </c>
      <c r="M629">
        <v>1.6461602858869</v>
      </c>
      <c r="N629">
        <v>1.6461585355794699</v>
      </c>
      <c r="Q629">
        <f t="shared" si="45"/>
        <v>1.19</v>
      </c>
      <c r="R629">
        <f t="shared" si="47"/>
        <v>1.6185341680878294</v>
      </c>
      <c r="S629">
        <f t="shared" si="48"/>
        <v>-0.4285341680878294</v>
      </c>
      <c r="T629">
        <f t="shared" si="49"/>
        <v>0.18364153321872803</v>
      </c>
    </row>
    <row r="630" spans="1:20" hidden="1" x14ac:dyDescent="0.25">
      <c r="A630" t="str">
        <f t="shared" si="46"/>
        <v>BAR</v>
      </c>
      <c r="B630" t="s">
        <v>636</v>
      </c>
      <c r="C630">
        <v>1.675890224</v>
      </c>
      <c r="D630">
        <v>6.6961819000000006E-2</v>
      </c>
      <c r="E630">
        <v>0.71550476600000001</v>
      </c>
      <c r="F630">
        <v>0.39561391600000001</v>
      </c>
      <c r="G630">
        <v>0.78310189200000002</v>
      </c>
      <c r="H630">
        <v>1.01</v>
      </c>
      <c r="I630">
        <v>1.53422401031616</v>
      </c>
      <c r="J630">
        <v>1.54896632095169</v>
      </c>
      <c r="K630">
        <v>1.57387945940615</v>
      </c>
      <c r="L630">
        <v>1.4492028995039901</v>
      </c>
      <c r="M630">
        <v>1.54159516563393</v>
      </c>
      <c r="N630">
        <v>1.5415775429005101</v>
      </c>
      <c r="Q630">
        <f t="shared" si="45"/>
        <v>1.01</v>
      </c>
      <c r="R630">
        <f t="shared" si="47"/>
        <v>1.4918692799413966</v>
      </c>
      <c r="S630">
        <f t="shared" si="48"/>
        <v>-0.48186927994139661</v>
      </c>
      <c r="T630">
        <f t="shared" si="49"/>
        <v>0.23219800295124005</v>
      </c>
    </row>
    <row r="631" spans="1:20" hidden="1" x14ac:dyDescent="0.25">
      <c r="A631" t="str">
        <f t="shared" si="46"/>
        <v>BAR</v>
      </c>
      <c r="B631" t="s">
        <v>637</v>
      </c>
      <c r="C631">
        <v>1.804158621</v>
      </c>
      <c r="D631">
        <v>6.4923589000000004E-2</v>
      </c>
      <c r="E631">
        <v>0.73250716900000001</v>
      </c>
      <c r="F631">
        <v>0.452803658</v>
      </c>
      <c r="G631">
        <v>0.80875668899999997</v>
      </c>
      <c r="H631">
        <v>1.01</v>
      </c>
      <c r="I631">
        <v>1.57901061190535</v>
      </c>
      <c r="J631">
        <v>1.5991754984868001</v>
      </c>
      <c r="K631">
        <v>1.6012044869005599</v>
      </c>
      <c r="L631">
        <v>1.6018617362918099</v>
      </c>
      <c r="M631">
        <v>1.58909305519608</v>
      </c>
      <c r="N631">
        <v>1.5890610694399701</v>
      </c>
      <c r="Q631">
        <f t="shared" si="45"/>
        <v>1.01</v>
      </c>
      <c r="R631">
        <f t="shared" si="47"/>
        <v>1.550562488852357</v>
      </c>
      <c r="S631">
        <f t="shared" si="48"/>
        <v>-0.54056248885235703</v>
      </c>
      <c r="T631">
        <f t="shared" si="49"/>
        <v>0.29220780435425464</v>
      </c>
    </row>
    <row r="632" spans="1:20" hidden="1" x14ac:dyDescent="0.25">
      <c r="A632" t="str">
        <f t="shared" si="46"/>
        <v>BAR</v>
      </c>
      <c r="B632" t="s">
        <v>638</v>
      </c>
      <c r="C632">
        <v>1.786534659</v>
      </c>
      <c r="D632">
        <v>6.5165498000000002E-2</v>
      </c>
      <c r="E632">
        <v>0.73546051899999998</v>
      </c>
      <c r="F632">
        <v>0.50873046799999999</v>
      </c>
      <c r="G632">
        <v>0.81379807400000004</v>
      </c>
      <c r="H632">
        <v>1.03</v>
      </c>
      <c r="I632">
        <v>1.8176334087225601</v>
      </c>
      <c r="J632">
        <v>1.8315191969967599</v>
      </c>
      <c r="K632">
        <v>1.8523972544156799</v>
      </c>
      <c r="L632">
        <v>1.8663057043347899</v>
      </c>
      <c r="M632">
        <v>1.82457630285966</v>
      </c>
      <c r="N632">
        <v>1.8245630932302701</v>
      </c>
      <c r="Q632">
        <f t="shared" si="45"/>
        <v>1.03</v>
      </c>
      <c r="R632">
        <f t="shared" si="47"/>
        <v>1.8210936572539493</v>
      </c>
      <c r="S632">
        <f t="shared" si="48"/>
        <v>-0.79109365725394931</v>
      </c>
      <c r="T632">
        <f t="shared" si="49"/>
        <v>0.62582917454742903</v>
      </c>
    </row>
    <row r="633" spans="1:20" hidden="1" x14ac:dyDescent="0.25">
      <c r="A633" t="str">
        <f t="shared" si="46"/>
        <v>BAR</v>
      </c>
      <c r="B633" t="s">
        <v>639</v>
      </c>
      <c r="C633">
        <v>1.938417335</v>
      </c>
      <c r="D633">
        <v>6.1285231000000003E-2</v>
      </c>
      <c r="E633">
        <v>0.73648333700000002</v>
      </c>
      <c r="F633">
        <v>0.522941867</v>
      </c>
      <c r="G633">
        <v>0.819896823</v>
      </c>
      <c r="H633">
        <v>1.23</v>
      </c>
      <c r="I633">
        <v>1.6207201578155801</v>
      </c>
      <c r="J633">
        <v>1.63858202585374</v>
      </c>
      <c r="K633">
        <v>1.6088532675891001</v>
      </c>
      <c r="L633">
        <v>1.6270854358534601</v>
      </c>
      <c r="M633">
        <v>1.6296510918346601</v>
      </c>
      <c r="N633">
        <v>1.6296266196695</v>
      </c>
      <c r="Q633">
        <f t="shared" si="45"/>
        <v>1.23</v>
      </c>
      <c r="R633">
        <f t="shared" si="47"/>
        <v>1.6044021086694888</v>
      </c>
      <c r="S633">
        <f t="shared" si="48"/>
        <v>-0.37440210866948886</v>
      </c>
      <c r="T633">
        <f t="shared" si="49"/>
        <v>0.14017693897615974</v>
      </c>
    </row>
    <row r="634" spans="1:20" hidden="1" x14ac:dyDescent="0.25">
      <c r="A634" t="str">
        <f t="shared" si="46"/>
        <v>BAR</v>
      </c>
      <c r="B634" t="s">
        <v>640</v>
      </c>
      <c r="C634">
        <v>1.7672469719999999</v>
      </c>
      <c r="D634">
        <v>6.0307511000000001E-2</v>
      </c>
      <c r="E634">
        <v>0.74044026600000001</v>
      </c>
      <c r="F634">
        <v>0.48584529399999998</v>
      </c>
      <c r="G634">
        <v>0.83523444599999996</v>
      </c>
      <c r="H634">
        <v>1.2</v>
      </c>
      <c r="I634">
        <v>1.67449803561759</v>
      </c>
      <c r="J634">
        <v>1.65452708606621</v>
      </c>
      <c r="K634">
        <v>1.7103410924942399</v>
      </c>
      <c r="L634">
        <v>1.66343662572554</v>
      </c>
      <c r="M634">
        <v>1.6645125608419</v>
      </c>
      <c r="N634">
        <v>1.6644826089490901</v>
      </c>
      <c r="Q634">
        <f t="shared" si="45"/>
        <v>1.2</v>
      </c>
      <c r="R634">
        <f t="shared" si="47"/>
        <v>1.6342359516606004</v>
      </c>
      <c r="S634">
        <f t="shared" si="48"/>
        <v>-0.43423595166060047</v>
      </c>
      <c r="T634">
        <f t="shared" si="49"/>
        <v>0.18856086171458736</v>
      </c>
    </row>
    <row r="635" spans="1:20" hidden="1" x14ac:dyDescent="0.25">
      <c r="A635" t="str">
        <f t="shared" si="46"/>
        <v>BAR</v>
      </c>
      <c r="B635" t="s">
        <v>641</v>
      </c>
      <c r="C635">
        <v>1.9911919119999999</v>
      </c>
      <c r="D635">
        <v>6.4283350000000003E-2</v>
      </c>
      <c r="E635">
        <v>0.71527112199999998</v>
      </c>
      <c r="F635">
        <v>0.45448069099999999</v>
      </c>
      <c r="G635">
        <v>0.79160705899999995</v>
      </c>
      <c r="H635">
        <v>0.84</v>
      </c>
      <c r="I635">
        <v>1.3527172745899401</v>
      </c>
      <c r="J635">
        <v>1.3833985635758399</v>
      </c>
      <c r="K635">
        <v>1.24148139213232</v>
      </c>
      <c r="L635">
        <v>1.3497861877714601</v>
      </c>
      <c r="M635">
        <v>1.3680579190828901</v>
      </c>
      <c r="N635">
        <v>1.36797190562962</v>
      </c>
      <c r="Q635">
        <f t="shared" si="45"/>
        <v>0.84</v>
      </c>
      <c r="R635">
        <f t="shared" si="47"/>
        <v>1.2952192253431027</v>
      </c>
      <c r="S635">
        <f t="shared" si="48"/>
        <v>-0.45521922534310277</v>
      </c>
      <c r="T635">
        <f t="shared" si="49"/>
        <v>0.20722454312197458</v>
      </c>
    </row>
    <row r="636" spans="1:20" hidden="1" x14ac:dyDescent="0.25">
      <c r="A636" t="str">
        <f t="shared" si="46"/>
        <v>BAR</v>
      </c>
      <c r="B636" t="s">
        <v>642</v>
      </c>
      <c r="C636">
        <v>2.0748958399999999</v>
      </c>
      <c r="D636">
        <v>5.6486989000000001E-2</v>
      </c>
      <c r="E636">
        <v>0.73110123999999999</v>
      </c>
      <c r="F636">
        <v>0.614828979</v>
      </c>
      <c r="G636">
        <v>0.82869239699999997</v>
      </c>
      <c r="H636">
        <v>1.37</v>
      </c>
      <c r="I636">
        <v>1.7075759346442201</v>
      </c>
      <c r="J636">
        <v>1.7233507779011199</v>
      </c>
      <c r="K636">
        <v>1.56240317737756</v>
      </c>
      <c r="L636">
        <v>1.58263773794617</v>
      </c>
      <c r="M636">
        <v>1.71546335627267</v>
      </c>
      <c r="N636">
        <v>1.7154452236356501</v>
      </c>
      <c r="Q636">
        <f t="shared" si="45"/>
        <v>1.37</v>
      </c>
      <c r="R636">
        <f t="shared" si="47"/>
        <v>1.7156037015384049</v>
      </c>
      <c r="S636">
        <f t="shared" si="48"/>
        <v>-0.34560370153840481</v>
      </c>
      <c r="T636">
        <f t="shared" si="49"/>
        <v>0.11944191851704679</v>
      </c>
    </row>
    <row r="637" spans="1:20" hidden="1" x14ac:dyDescent="0.25">
      <c r="A637" t="str">
        <f t="shared" si="46"/>
        <v>BAR</v>
      </c>
      <c r="B637" t="s">
        <v>643</v>
      </c>
      <c r="C637">
        <v>1.9756124829999999</v>
      </c>
      <c r="D637">
        <v>6.3503499000000005E-2</v>
      </c>
      <c r="E637">
        <v>0.72287668400000005</v>
      </c>
      <c r="F637">
        <v>0.53753006299999995</v>
      </c>
      <c r="G637">
        <v>0.80861455900000001</v>
      </c>
      <c r="H637">
        <v>1.23</v>
      </c>
      <c r="I637">
        <v>1.68272074058882</v>
      </c>
      <c r="J637">
        <v>1.6934747754617001</v>
      </c>
      <c r="K637">
        <v>1.5163624247696501</v>
      </c>
      <c r="L637">
        <v>1.5707656415946101</v>
      </c>
      <c r="M637">
        <v>1.6880977580252601</v>
      </c>
      <c r="N637">
        <v>1.6880891944246901</v>
      </c>
      <c r="Q637">
        <f t="shared" si="45"/>
        <v>1.23</v>
      </c>
      <c r="R637">
        <f t="shared" si="47"/>
        <v>1.6598842830737213</v>
      </c>
      <c r="S637">
        <f t="shared" si="48"/>
        <v>-0.42988428307372129</v>
      </c>
      <c r="T637">
        <f t="shared" si="49"/>
        <v>0.18480049683380734</v>
      </c>
    </row>
    <row r="638" spans="1:20" hidden="1" x14ac:dyDescent="0.25">
      <c r="A638" t="str">
        <f t="shared" si="46"/>
        <v>BAR</v>
      </c>
      <c r="B638" t="s">
        <v>644</v>
      </c>
      <c r="C638">
        <v>2.0799505329999999</v>
      </c>
      <c r="D638">
        <v>6.2064376999999997E-2</v>
      </c>
      <c r="E638">
        <v>0.72997239700000005</v>
      </c>
      <c r="F638">
        <v>0.50302132099999997</v>
      </c>
      <c r="G638">
        <v>0.81289597000000002</v>
      </c>
      <c r="H638">
        <v>1.0900000000000001</v>
      </c>
      <c r="I638">
        <v>1.39914764479803</v>
      </c>
      <c r="J638">
        <v>1.4355180505654901</v>
      </c>
      <c r="K638">
        <v>1.2337214584059599</v>
      </c>
      <c r="L638">
        <v>1.35326038735969</v>
      </c>
      <c r="M638">
        <v>1.4173328476817599</v>
      </c>
      <c r="N638">
        <v>1.41721617952723</v>
      </c>
      <c r="Q638">
        <f t="shared" si="45"/>
        <v>1.0900000000000001</v>
      </c>
      <c r="R638">
        <f t="shared" si="47"/>
        <v>1.3586665988456263</v>
      </c>
      <c r="S638">
        <f t="shared" si="48"/>
        <v>-0.26866659884562627</v>
      </c>
      <c r="T638">
        <f t="shared" si="49"/>
        <v>7.2181741335276675E-2</v>
      </c>
    </row>
    <row r="639" spans="1:20" hidden="1" x14ac:dyDescent="0.25">
      <c r="A639" t="str">
        <f t="shared" si="46"/>
        <v>BAR</v>
      </c>
      <c r="B639" t="s">
        <v>645</v>
      </c>
      <c r="C639">
        <v>2.2690387869999999</v>
      </c>
      <c r="D639">
        <v>5.8202193999999999E-2</v>
      </c>
      <c r="E639">
        <v>0.73193283799999997</v>
      </c>
      <c r="F639">
        <v>0.59236380200000005</v>
      </c>
      <c r="G639">
        <v>0.82790454599999996</v>
      </c>
      <c r="H639">
        <v>1.1399999999999999</v>
      </c>
      <c r="I639">
        <v>1.4444294497793599</v>
      </c>
      <c r="J639">
        <v>1.48637895636124</v>
      </c>
      <c r="K639">
        <v>1.25783462400114</v>
      </c>
      <c r="L639">
        <v>1.4909316234583001</v>
      </c>
      <c r="M639">
        <v>1.4654042030703001</v>
      </c>
      <c r="N639">
        <v>1.4652540865326</v>
      </c>
      <c r="Q639">
        <f t="shared" si="45"/>
        <v>1.1399999999999999</v>
      </c>
      <c r="R639">
        <f t="shared" si="47"/>
        <v>1.4236349956892069</v>
      </c>
      <c r="S639">
        <f t="shared" si="48"/>
        <v>-0.28363499568920703</v>
      </c>
      <c r="T639">
        <f t="shared" si="49"/>
        <v>8.0448810779616492E-2</v>
      </c>
    </row>
    <row r="640" spans="1:20" hidden="1" x14ac:dyDescent="0.25">
      <c r="A640" t="str">
        <f t="shared" si="46"/>
        <v>BAR</v>
      </c>
      <c r="B640" t="s">
        <v>646</v>
      </c>
      <c r="C640">
        <v>2.3541418310000002</v>
      </c>
      <c r="D640">
        <v>6.6612114E-2</v>
      </c>
      <c r="E640">
        <v>0.72549989999999998</v>
      </c>
      <c r="F640">
        <v>0.63199095400000005</v>
      </c>
      <c r="G640">
        <v>0.81130157700000005</v>
      </c>
      <c r="H640">
        <v>1.22</v>
      </c>
      <c r="I640">
        <v>1.6497871042545</v>
      </c>
      <c r="J640">
        <v>1.7415376440354</v>
      </c>
      <c r="K640">
        <v>1.2598463819997301</v>
      </c>
      <c r="L640">
        <v>1.49874951658666</v>
      </c>
      <c r="M640">
        <v>1.6956623741449499</v>
      </c>
      <c r="N640">
        <v>1.6950416946799201</v>
      </c>
      <c r="Q640">
        <f t="shared" si="45"/>
        <v>1.22</v>
      </c>
      <c r="R640">
        <f t="shared" si="47"/>
        <v>1.6849081047075205</v>
      </c>
      <c r="S640">
        <f t="shared" si="48"/>
        <v>-0.46490810470752053</v>
      </c>
      <c r="T640">
        <f t="shared" si="49"/>
        <v>0.21613954582273887</v>
      </c>
    </row>
    <row r="641" spans="1:20" hidden="1" x14ac:dyDescent="0.25">
      <c r="A641" t="str">
        <f t="shared" si="46"/>
        <v>BAR</v>
      </c>
      <c r="B641" t="s">
        <v>647</v>
      </c>
      <c r="C641">
        <v>2.127018423</v>
      </c>
      <c r="D641">
        <v>6.7398718999999996E-2</v>
      </c>
      <c r="E641">
        <v>0.73057418100000004</v>
      </c>
      <c r="F641">
        <v>0.59532382100000003</v>
      </c>
      <c r="G641">
        <v>0.80778066000000004</v>
      </c>
      <c r="H641">
        <v>1.29</v>
      </c>
      <c r="I641">
        <v>1.7893308431091299</v>
      </c>
      <c r="J641">
        <v>1.8598370577471599</v>
      </c>
      <c r="K641">
        <v>1.4682792064257399</v>
      </c>
      <c r="L641">
        <v>1.5850254250731399</v>
      </c>
      <c r="M641">
        <v>1.82458395042814</v>
      </c>
      <c r="N641">
        <v>1.82424335289575</v>
      </c>
      <c r="Q641">
        <f t="shared" ref="Q641:Q704" si="50">H641</f>
        <v>1.29</v>
      </c>
      <c r="R641">
        <f t="shared" si="47"/>
        <v>1.8293617466293872</v>
      </c>
      <c r="S641">
        <f t="shared" si="48"/>
        <v>-0.53936174662938718</v>
      </c>
      <c r="T641">
        <f t="shared" si="49"/>
        <v>0.29091109372710328</v>
      </c>
    </row>
    <row r="642" spans="1:20" hidden="1" x14ac:dyDescent="0.25">
      <c r="A642" t="str">
        <f t="shared" si="46"/>
        <v>BAR</v>
      </c>
      <c r="B642" t="s">
        <v>648</v>
      </c>
      <c r="C642">
        <v>2.4000323300000002</v>
      </c>
      <c r="D642">
        <v>6.4266825999999999E-2</v>
      </c>
      <c r="E642">
        <v>0.73173069099999999</v>
      </c>
      <c r="F642">
        <v>0.571625826</v>
      </c>
      <c r="G642">
        <v>0.80307548500000003</v>
      </c>
      <c r="H642">
        <v>1.21</v>
      </c>
      <c r="I642">
        <v>1.30911540411907</v>
      </c>
      <c r="J642">
        <v>1.4226250509114899</v>
      </c>
      <c r="K642">
        <v>1.01207150060339</v>
      </c>
      <c r="L642">
        <v>1.36528506777909</v>
      </c>
      <c r="M642">
        <v>1.3658702275152801</v>
      </c>
      <c r="N642">
        <v>1.3646905760771999</v>
      </c>
      <c r="Q642">
        <f t="shared" si="50"/>
        <v>1.21</v>
      </c>
      <c r="R642">
        <f t="shared" si="47"/>
        <v>1.3195236666821271</v>
      </c>
      <c r="S642">
        <f t="shared" si="48"/>
        <v>-0.1095236666821271</v>
      </c>
      <c r="T642">
        <f t="shared" si="49"/>
        <v>1.1995433563497677E-2</v>
      </c>
    </row>
    <row r="643" spans="1:20" hidden="1" x14ac:dyDescent="0.25">
      <c r="A643" t="str">
        <f t="shared" ref="A643:A706" si="51">LEFT(B643,3)</f>
        <v>BAR</v>
      </c>
      <c r="B643" t="s">
        <v>649</v>
      </c>
      <c r="C643">
        <v>2.1677427530000002</v>
      </c>
      <c r="D643">
        <v>5.9497242999999998E-2</v>
      </c>
      <c r="E643">
        <v>0.74016112700000003</v>
      </c>
      <c r="F643">
        <v>0.59696767900000003</v>
      </c>
      <c r="G643">
        <v>0.81834358500000004</v>
      </c>
      <c r="H643">
        <v>1.3</v>
      </c>
      <c r="I643">
        <v>1.5901109346666</v>
      </c>
      <c r="J643">
        <v>1.64285268998387</v>
      </c>
      <c r="K643">
        <v>1.4151088668987799</v>
      </c>
      <c r="L643">
        <v>1.5802618487370601</v>
      </c>
      <c r="M643">
        <v>1.61648181232524</v>
      </c>
      <c r="N643">
        <v>1.6162666940792301</v>
      </c>
      <c r="Q643">
        <f t="shared" si="50"/>
        <v>1.3</v>
      </c>
      <c r="R643">
        <f t="shared" ref="R643:R706" si="52">$X$2*F643+$X$3*D643*E643+($X$4/(D643-$X$5))-$X$6*C643</f>
        <v>1.6050325353107207</v>
      </c>
      <c r="S643">
        <f t="shared" ref="S643:S706" si="53">Q643-R643</f>
        <v>-0.30503253531072061</v>
      </c>
      <c r="T643">
        <f t="shared" ref="T643:T706" si="54">S643^2</f>
        <v>9.3044847598086011E-2</v>
      </c>
    </row>
    <row r="644" spans="1:20" hidden="1" x14ac:dyDescent="0.25">
      <c r="A644" t="str">
        <f t="shared" si="51"/>
        <v>BAR</v>
      </c>
      <c r="B644" t="s">
        <v>650</v>
      </c>
      <c r="C644">
        <v>2.5314720300000002</v>
      </c>
      <c r="D644">
        <v>5.7383351999999999E-2</v>
      </c>
      <c r="E644">
        <v>0.74956451599999996</v>
      </c>
      <c r="F644">
        <v>0.60808094300000004</v>
      </c>
      <c r="G644">
        <v>0.834501877</v>
      </c>
      <c r="H644">
        <v>1.3</v>
      </c>
      <c r="I644">
        <v>1.1677867140062299</v>
      </c>
      <c r="J644">
        <v>1.2804697279794801</v>
      </c>
      <c r="K644">
        <v>0.862881765560091</v>
      </c>
      <c r="L644">
        <v>1.1703916938333401</v>
      </c>
      <c r="M644">
        <v>1.2241282209928599</v>
      </c>
      <c r="N644">
        <v>1.22283095153076</v>
      </c>
      <c r="Q644">
        <f t="shared" si="50"/>
        <v>1.3</v>
      </c>
      <c r="R644">
        <f t="shared" si="52"/>
        <v>1.1717117133685413</v>
      </c>
      <c r="S644">
        <f t="shared" si="53"/>
        <v>0.12828828663145875</v>
      </c>
      <c r="T644">
        <f t="shared" si="54"/>
        <v>1.6457884486835318E-2</v>
      </c>
    </row>
    <row r="645" spans="1:20" hidden="1" x14ac:dyDescent="0.25">
      <c r="A645" t="str">
        <f t="shared" si="51"/>
        <v>BAR</v>
      </c>
      <c r="B645" t="s">
        <v>651</v>
      </c>
      <c r="C645">
        <v>1.976498777</v>
      </c>
      <c r="D645">
        <v>6.8018393999999996E-2</v>
      </c>
      <c r="E645">
        <v>0.73085988000000002</v>
      </c>
      <c r="F645">
        <v>0.59181920300000002</v>
      </c>
      <c r="G645">
        <v>0.82857818000000005</v>
      </c>
      <c r="H645">
        <v>1.85</v>
      </c>
      <c r="I645">
        <v>1.97323364981173</v>
      </c>
      <c r="J645">
        <v>2.0137402353909799</v>
      </c>
      <c r="K645">
        <v>1.57690203075875</v>
      </c>
      <c r="L645">
        <v>1.5252936000286399</v>
      </c>
      <c r="M645">
        <v>1.9934869426013599</v>
      </c>
      <c r="N645">
        <v>1.9933840559343501</v>
      </c>
      <c r="Q645">
        <f t="shared" si="50"/>
        <v>1.85</v>
      </c>
      <c r="R645">
        <f t="shared" si="52"/>
        <v>2.0132147926228341</v>
      </c>
      <c r="S645">
        <f t="shared" si="53"/>
        <v>-0.163214792622834</v>
      </c>
      <c r="T645">
        <f t="shared" si="54"/>
        <v>2.663906853091471E-2</v>
      </c>
    </row>
    <row r="646" spans="1:20" hidden="1" x14ac:dyDescent="0.25">
      <c r="A646" t="str">
        <f t="shared" si="51"/>
        <v>BAR</v>
      </c>
      <c r="B646" t="s">
        <v>652</v>
      </c>
      <c r="C646">
        <v>2.1048886609999999</v>
      </c>
      <c r="D646">
        <v>6.7977179999999998E-2</v>
      </c>
      <c r="E646">
        <v>0.73713186799999997</v>
      </c>
      <c r="F646">
        <v>0.62076247200000001</v>
      </c>
      <c r="G646">
        <v>0.83091719500000005</v>
      </c>
      <c r="H646">
        <v>1.6</v>
      </c>
      <c r="I646">
        <v>1.9192447381814099</v>
      </c>
      <c r="J646">
        <v>1.99793576176444</v>
      </c>
      <c r="K646">
        <v>1.5199531666234201</v>
      </c>
      <c r="L646">
        <v>1.57675131718259</v>
      </c>
      <c r="M646">
        <v>1.95859024997292</v>
      </c>
      <c r="N646">
        <v>1.95819501020477</v>
      </c>
      <c r="Q646">
        <f t="shared" si="50"/>
        <v>1.6</v>
      </c>
      <c r="R646">
        <f t="shared" si="52"/>
        <v>1.9879701431215153</v>
      </c>
      <c r="S646">
        <f t="shared" si="53"/>
        <v>-0.38797014312151523</v>
      </c>
      <c r="T646">
        <f t="shared" si="54"/>
        <v>0.15052083195372901</v>
      </c>
    </row>
    <row r="647" spans="1:20" hidden="1" x14ac:dyDescent="0.25">
      <c r="A647" t="str">
        <f t="shared" si="51"/>
        <v>BAR</v>
      </c>
      <c r="B647" t="s">
        <v>653</v>
      </c>
      <c r="C647">
        <v>1.9949899209999999</v>
      </c>
      <c r="D647">
        <v>6.7299664999999995E-2</v>
      </c>
      <c r="E647">
        <v>0.72941486499999997</v>
      </c>
      <c r="F647">
        <v>0.58587308599999999</v>
      </c>
      <c r="G647">
        <v>0.814571555</v>
      </c>
      <c r="H647">
        <v>1.52</v>
      </c>
      <c r="I647">
        <v>1.9088819601840501</v>
      </c>
      <c r="J647">
        <v>1.9532793507909101</v>
      </c>
      <c r="K647">
        <v>1.6097061806647199</v>
      </c>
      <c r="L647">
        <v>1.63257419299019</v>
      </c>
      <c r="M647">
        <v>1.93108065548748</v>
      </c>
      <c r="N647">
        <v>1.93095305896461</v>
      </c>
      <c r="Q647">
        <f t="shared" si="50"/>
        <v>1.52</v>
      </c>
      <c r="R647">
        <f t="shared" si="52"/>
        <v>1.945202322919374</v>
      </c>
      <c r="S647">
        <f t="shared" si="53"/>
        <v>-0.42520232291937399</v>
      </c>
      <c r="T647">
        <f t="shared" si="54"/>
        <v>0.1807970154160316</v>
      </c>
    </row>
    <row r="648" spans="1:20" hidden="1" x14ac:dyDescent="0.25">
      <c r="A648" t="str">
        <f t="shared" si="51"/>
        <v>BAR</v>
      </c>
      <c r="B648" t="s">
        <v>654</v>
      </c>
      <c r="C648">
        <v>2.5068921039999998</v>
      </c>
      <c r="D648">
        <v>6.5933829999999999E-2</v>
      </c>
      <c r="E648">
        <v>0.72349386500000001</v>
      </c>
      <c r="F648">
        <v>0.548954041</v>
      </c>
      <c r="G648">
        <v>0.80670504499999995</v>
      </c>
      <c r="H648">
        <v>1.18</v>
      </c>
      <c r="I648">
        <v>1.1403542752670199</v>
      </c>
      <c r="J648">
        <v>1.2645172978867001</v>
      </c>
      <c r="K648">
        <v>0.73992523689701195</v>
      </c>
      <c r="L648">
        <v>1.16484137611781</v>
      </c>
      <c r="M648">
        <v>1.20243578657686</v>
      </c>
      <c r="N648">
        <v>1.2008320893422999</v>
      </c>
      <c r="Q648">
        <f t="shared" si="50"/>
        <v>1.18</v>
      </c>
      <c r="R648">
        <f t="shared" si="52"/>
        <v>1.1242596551266328</v>
      </c>
      <c r="S648">
        <f t="shared" si="53"/>
        <v>5.5740344873367098E-2</v>
      </c>
      <c r="T648">
        <f t="shared" si="54"/>
        <v>3.1069860466019015E-3</v>
      </c>
    </row>
    <row r="649" spans="1:20" hidden="1" x14ac:dyDescent="0.25">
      <c r="A649" t="str">
        <f t="shared" si="51"/>
        <v>BAR</v>
      </c>
      <c r="B649" t="s">
        <v>655</v>
      </c>
      <c r="C649">
        <v>2.054168797</v>
      </c>
      <c r="D649">
        <v>6.3586502000000003E-2</v>
      </c>
      <c r="E649">
        <v>0.74047282199999997</v>
      </c>
      <c r="F649">
        <v>0.59093538000000001</v>
      </c>
      <c r="G649">
        <v>0.822052271</v>
      </c>
      <c r="H649">
        <v>1.22</v>
      </c>
      <c r="I649">
        <v>1.77325253055219</v>
      </c>
      <c r="J649">
        <v>1.8323545725824499</v>
      </c>
      <c r="K649">
        <v>1.54783351959384</v>
      </c>
      <c r="L649">
        <v>1.6208398519001701</v>
      </c>
      <c r="M649">
        <v>1.80280355156732</v>
      </c>
      <c r="N649">
        <v>1.8025613395112801</v>
      </c>
      <c r="Q649">
        <f t="shared" si="50"/>
        <v>1.22</v>
      </c>
      <c r="R649">
        <f t="shared" si="52"/>
        <v>1.8153765966440893</v>
      </c>
      <c r="S649">
        <f t="shared" si="53"/>
        <v>-0.59537659664408937</v>
      </c>
      <c r="T649">
        <f t="shared" si="54"/>
        <v>0.35447329183149867</v>
      </c>
    </row>
    <row r="650" spans="1:20" hidden="1" x14ac:dyDescent="0.25">
      <c r="A650" t="str">
        <f t="shared" si="51"/>
        <v>BAR</v>
      </c>
      <c r="B650" t="s">
        <v>656</v>
      </c>
      <c r="C650">
        <v>1.8848732319999999</v>
      </c>
      <c r="D650">
        <v>5.0084546000000001E-2</v>
      </c>
      <c r="E650">
        <v>0.75821956499999998</v>
      </c>
      <c r="F650">
        <v>0.72246309600000003</v>
      </c>
      <c r="G650">
        <v>0.86854846600000002</v>
      </c>
      <c r="H650">
        <v>2.4</v>
      </c>
      <c r="I650">
        <v>2.08071466253985</v>
      </c>
      <c r="J650">
        <v>2.19286016653944</v>
      </c>
      <c r="K650">
        <v>2.17093005930028</v>
      </c>
      <c r="L650">
        <v>1.8999494354065201</v>
      </c>
      <c r="M650">
        <v>2.1367874145396399</v>
      </c>
      <c r="N650">
        <v>2.1360515680615402</v>
      </c>
      <c r="Q650">
        <f t="shared" si="50"/>
        <v>2.4</v>
      </c>
      <c r="R650">
        <f t="shared" si="52"/>
        <v>2.2910690923075303</v>
      </c>
      <c r="S650">
        <f t="shared" si="53"/>
        <v>0.1089309076924696</v>
      </c>
      <c r="T650">
        <f t="shared" si="54"/>
        <v>1.1865942650705332E-2</v>
      </c>
    </row>
    <row r="651" spans="1:20" hidden="1" x14ac:dyDescent="0.25">
      <c r="A651" t="str">
        <f t="shared" si="51"/>
        <v>BAR</v>
      </c>
      <c r="B651" t="s">
        <v>657</v>
      </c>
      <c r="C651">
        <v>1.9611412939999999</v>
      </c>
      <c r="D651">
        <v>5.1168893999999999E-2</v>
      </c>
      <c r="E651">
        <v>0.75419127600000002</v>
      </c>
      <c r="F651">
        <v>0.65513568300000002</v>
      </c>
      <c r="G651">
        <v>0.86197294899999999</v>
      </c>
      <c r="H651">
        <v>1.94</v>
      </c>
      <c r="I651">
        <v>1.8298685767605101</v>
      </c>
      <c r="J651">
        <v>1.8892690380641799</v>
      </c>
      <c r="K651">
        <v>1.8028462070065301</v>
      </c>
      <c r="L651">
        <v>1.60854628712807</v>
      </c>
      <c r="M651">
        <v>1.85956880741234</v>
      </c>
      <c r="N651">
        <v>1.85933161265015</v>
      </c>
      <c r="Q651">
        <f t="shared" si="50"/>
        <v>1.94</v>
      </c>
      <c r="R651">
        <f t="shared" si="52"/>
        <v>1.9300523387417305</v>
      </c>
      <c r="S651">
        <f t="shared" si="53"/>
        <v>9.9476612582694024E-3</v>
      </c>
      <c r="T651">
        <f t="shared" si="54"/>
        <v>9.8955964509273993E-5</v>
      </c>
    </row>
    <row r="652" spans="1:20" hidden="1" x14ac:dyDescent="0.25">
      <c r="A652" t="str">
        <f t="shared" si="51"/>
        <v>BAR</v>
      </c>
      <c r="B652" t="s">
        <v>658</v>
      </c>
      <c r="C652">
        <v>2.2061041019999998</v>
      </c>
      <c r="D652">
        <v>4.5699373000000001E-2</v>
      </c>
      <c r="E652">
        <v>0.782834688</v>
      </c>
      <c r="F652">
        <v>0.66387126399999996</v>
      </c>
      <c r="G652">
        <v>0.88544650300000005</v>
      </c>
      <c r="H652">
        <v>1.86</v>
      </c>
      <c r="I652">
        <v>1.47902645148693</v>
      </c>
      <c r="J652">
        <v>1.58297920070211</v>
      </c>
      <c r="K652">
        <v>1.4409123074160901</v>
      </c>
      <c r="L652">
        <v>1.15865628135371</v>
      </c>
      <c r="M652">
        <v>1.5310028260945201</v>
      </c>
      <c r="N652">
        <v>1.5301202926541599</v>
      </c>
      <c r="Q652">
        <f t="shared" si="50"/>
        <v>1.86</v>
      </c>
      <c r="R652">
        <f t="shared" si="52"/>
        <v>1.5757480997585906</v>
      </c>
      <c r="S652">
        <f t="shared" si="53"/>
        <v>0.28425190024140945</v>
      </c>
      <c r="T652">
        <f t="shared" si="54"/>
        <v>8.0799142790852194E-2</v>
      </c>
    </row>
    <row r="653" spans="1:20" hidden="1" x14ac:dyDescent="0.25">
      <c r="A653" t="str">
        <f t="shared" si="51"/>
        <v>BAR</v>
      </c>
      <c r="B653" t="s">
        <v>659</v>
      </c>
      <c r="C653">
        <v>1.8770172430000001</v>
      </c>
      <c r="D653">
        <v>5.2245910999999999E-2</v>
      </c>
      <c r="E653">
        <v>0.77257200599999998</v>
      </c>
      <c r="F653">
        <v>0.69289951500000002</v>
      </c>
      <c r="G653">
        <v>0.87439116900000002</v>
      </c>
      <c r="H653">
        <v>2.52</v>
      </c>
      <c r="I653">
        <v>2.03366661815142</v>
      </c>
      <c r="J653">
        <v>2.1521344491602901</v>
      </c>
      <c r="K653">
        <v>2.0515640399940098</v>
      </c>
      <c r="L653">
        <v>1.7877670925679501</v>
      </c>
      <c r="M653">
        <v>2.0929005336558499</v>
      </c>
      <c r="N653">
        <v>2.0920621374689099</v>
      </c>
      <c r="Q653">
        <f t="shared" si="50"/>
        <v>2.52</v>
      </c>
      <c r="R653">
        <f t="shared" si="52"/>
        <v>2.2349193588668794</v>
      </c>
      <c r="S653">
        <f t="shared" si="53"/>
        <v>0.28508064113312059</v>
      </c>
      <c r="T653">
        <f t="shared" si="54"/>
        <v>8.127097194887109E-2</v>
      </c>
    </row>
    <row r="654" spans="1:20" hidden="1" x14ac:dyDescent="0.25">
      <c r="A654" t="str">
        <f t="shared" si="51"/>
        <v>BAR</v>
      </c>
      <c r="B654" t="s">
        <v>660</v>
      </c>
      <c r="C654">
        <v>2.1402993490000002</v>
      </c>
      <c r="D654">
        <v>5.4765359E-2</v>
      </c>
      <c r="E654">
        <v>0.76686336200000005</v>
      </c>
      <c r="F654">
        <v>0.69768540899999998</v>
      </c>
      <c r="G654">
        <v>0.86981790000000003</v>
      </c>
      <c r="H654">
        <v>2.08</v>
      </c>
      <c r="I654">
        <v>1.83251898601833</v>
      </c>
      <c r="J654">
        <v>1.95771931788674</v>
      </c>
      <c r="K654">
        <v>1.66994985053547</v>
      </c>
      <c r="L654">
        <v>1.4319427260193101</v>
      </c>
      <c r="M654">
        <v>1.8951191519525401</v>
      </c>
      <c r="N654">
        <v>1.8940849556771</v>
      </c>
      <c r="Q654">
        <f t="shared" si="50"/>
        <v>2.08</v>
      </c>
      <c r="R654">
        <f t="shared" si="52"/>
        <v>1.9876145828432565</v>
      </c>
      <c r="S654">
        <f t="shared" si="53"/>
        <v>9.2385417156743532E-2</v>
      </c>
      <c r="T654">
        <f t="shared" si="54"/>
        <v>8.5350653032255225E-3</v>
      </c>
    </row>
    <row r="655" spans="1:20" hidden="1" x14ac:dyDescent="0.25">
      <c r="A655" t="str">
        <f t="shared" si="51"/>
        <v>BAR</v>
      </c>
      <c r="B655" t="s">
        <v>661</v>
      </c>
      <c r="C655">
        <v>1.813473573</v>
      </c>
      <c r="D655">
        <v>4.9627953000000002E-2</v>
      </c>
      <c r="E655">
        <v>0.767399583</v>
      </c>
      <c r="F655">
        <v>0.69480908200000002</v>
      </c>
      <c r="G655">
        <v>0.869949953</v>
      </c>
      <c r="H655">
        <v>2.12</v>
      </c>
      <c r="I655">
        <v>2.05781544976425</v>
      </c>
      <c r="J655">
        <v>2.1607239187016298</v>
      </c>
      <c r="K655">
        <v>2.1986968285569501</v>
      </c>
      <c r="L655">
        <v>1.9487294161383899</v>
      </c>
      <c r="M655">
        <v>2.1092696842329399</v>
      </c>
      <c r="N655">
        <v>2.1086419948818702</v>
      </c>
      <c r="Q655">
        <f t="shared" si="50"/>
        <v>2.12</v>
      </c>
      <c r="R655">
        <f t="shared" si="52"/>
        <v>2.2573475564782695</v>
      </c>
      <c r="S655">
        <f t="shared" si="53"/>
        <v>-0.13734755647826935</v>
      </c>
      <c r="T655">
        <f t="shared" si="54"/>
        <v>1.8864351270551388E-2</v>
      </c>
    </row>
    <row r="656" spans="1:20" hidden="1" x14ac:dyDescent="0.25">
      <c r="A656" t="str">
        <f t="shared" si="51"/>
        <v>BAR</v>
      </c>
      <c r="B656" t="s">
        <v>662</v>
      </c>
      <c r="C656">
        <v>1.931653128</v>
      </c>
      <c r="D656">
        <v>5.0832537999999997E-2</v>
      </c>
      <c r="E656">
        <v>0.76380442699999995</v>
      </c>
      <c r="F656">
        <v>0.64199181999999999</v>
      </c>
      <c r="G656">
        <v>0.86605542599999996</v>
      </c>
      <c r="H656">
        <v>1.83</v>
      </c>
      <c r="I656">
        <v>1.80595171873676</v>
      </c>
      <c r="J656">
        <v>1.87162034862254</v>
      </c>
      <c r="K656">
        <v>1.7987688897610801</v>
      </c>
      <c r="L656">
        <v>1.6410819110574999</v>
      </c>
      <c r="M656">
        <v>1.83878603367965</v>
      </c>
      <c r="N656">
        <v>1.8384928570482899</v>
      </c>
      <c r="Q656">
        <f t="shared" si="50"/>
        <v>1.83</v>
      </c>
      <c r="R656">
        <f t="shared" si="52"/>
        <v>1.9108235270787413</v>
      </c>
      <c r="S656">
        <f t="shared" si="53"/>
        <v>-8.0823527078741186E-2</v>
      </c>
      <c r="T656">
        <f t="shared" si="54"/>
        <v>6.53244252944801E-3</v>
      </c>
    </row>
    <row r="657" spans="1:20" hidden="1" x14ac:dyDescent="0.25">
      <c r="A657" t="str">
        <f t="shared" si="51"/>
        <v>BAR</v>
      </c>
      <c r="B657" t="s">
        <v>663</v>
      </c>
      <c r="C657">
        <v>2.207663412</v>
      </c>
      <c r="D657">
        <v>4.7237159000000001E-2</v>
      </c>
      <c r="E657">
        <v>0.78089945900000002</v>
      </c>
      <c r="F657">
        <v>0.68498379300000001</v>
      </c>
      <c r="G657">
        <v>0.87898346000000005</v>
      </c>
      <c r="H657">
        <v>2.25</v>
      </c>
      <c r="I657">
        <v>1.5645441056034</v>
      </c>
      <c r="J657">
        <v>1.6902189572685899</v>
      </c>
      <c r="K657">
        <v>1.57217655617288</v>
      </c>
      <c r="L657">
        <v>1.2926786388571501</v>
      </c>
      <c r="M657">
        <v>1.6273815314360001</v>
      </c>
      <c r="N657">
        <v>1.6261679208414199</v>
      </c>
      <c r="Q657">
        <f t="shared" si="50"/>
        <v>2.25</v>
      </c>
      <c r="R657">
        <f t="shared" si="52"/>
        <v>1.6961115408964229</v>
      </c>
      <c r="S657">
        <f t="shared" si="53"/>
        <v>0.55388845910357709</v>
      </c>
      <c r="T657">
        <f t="shared" si="54"/>
        <v>0.30679242512813498</v>
      </c>
    </row>
    <row r="658" spans="1:20" hidden="1" x14ac:dyDescent="0.25">
      <c r="A658" t="str">
        <f t="shared" si="51"/>
        <v>BAR</v>
      </c>
      <c r="B658" t="s">
        <v>664</v>
      </c>
      <c r="C658">
        <v>1.988174334</v>
      </c>
      <c r="D658">
        <v>4.9980638000000001E-2</v>
      </c>
      <c r="E658">
        <v>0.77680624099999995</v>
      </c>
      <c r="F658">
        <v>0.68565300200000001</v>
      </c>
      <c r="G658">
        <v>0.87697695799999997</v>
      </c>
      <c r="H658">
        <v>1.92</v>
      </c>
      <c r="I658">
        <v>1.84789137554359</v>
      </c>
      <c r="J658">
        <v>1.9681467306537099</v>
      </c>
      <c r="K658">
        <v>1.9577019267231199</v>
      </c>
      <c r="L658">
        <v>1.6394989978102801</v>
      </c>
      <c r="M658">
        <v>1.9080190530986501</v>
      </c>
      <c r="N658">
        <v>1.9070714117146501</v>
      </c>
      <c r="Q658">
        <f t="shared" si="50"/>
        <v>1.92</v>
      </c>
      <c r="R658">
        <f t="shared" si="52"/>
        <v>2.0221741002328955</v>
      </c>
      <c r="S658">
        <f t="shared" si="53"/>
        <v>-0.10217410023289553</v>
      </c>
      <c r="T658">
        <f t="shared" si="54"/>
        <v>1.0439546758401782E-2</v>
      </c>
    </row>
    <row r="659" spans="1:20" hidden="1" x14ac:dyDescent="0.25">
      <c r="A659" t="str">
        <f t="shared" si="51"/>
        <v>BAR</v>
      </c>
      <c r="B659" t="s">
        <v>665</v>
      </c>
      <c r="C659">
        <v>1.925201983</v>
      </c>
      <c r="D659">
        <v>5.1732259000000003E-2</v>
      </c>
      <c r="E659">
        <v>0.77541991099999996</v>
      </c>
      <c r="F659">
        <v>0.69828555299999995</v>
      </c>
      <c r="G659">
        <v>0.87353119599999995</v>
      </c>
      <c r="H659">
        <v>1.94</v>
      </c>
      <c r="I659">
        <v>1.98741533442285</v>
      </c>
      <c r="J659">
        <v>2.1148757770187001</v>
      </c>
      <c r="K659">
        <v>2.1060358540704001</v>
      </c>
      <c r="L659">
        <v>1.8300841463125199</v>
      </c>
      <c r="M659">
        <v>2.0511455557207801</v>
      </c>
      <c r="N659">
        <v>2.0501552501326401</v>
      </c>
      <c r="Q659">
        <f t="shared" si="50"/>
        <v>1.94</v>
      </c>
      <c r="R659">
        <f t="shared" si="52"/>
        <v>2.1906034193883341</v>
      </c>
      <c r="S659">
        <f t="shared" si="53"/>
        <v>-0.25060341938833419</v>
      </c>
      <c r="T659">
        <f t="shared" si="54"/>
        <v>6.2802073809125308E-2</v>
      </c>
    </row>
    <row r="660" spans="1:20" hidden="1" x14ac:dyDescent="0.25">
      <c r="A660" t="str">
        <f t="shared" si="51"/>
        <v>BAR</v>
      </c>
      <c r="B660" t="s">
        <v>666</v>
      </c>
      <c r="C660">
        <v>1.914120842</v>
      </c>
      <c r="D660">
        <v>5.5691592999999998E-2</v>
      </c>
      <c r="E660">
        <v>0.77863730600000003</v>
      </c>
      <c r="F660">
        <v>0.70896039</v>
      </c>
      <c r="G660">
        <v>0.87175044800000001</v>
      </c>
      <c r="H660">
        <v>2.52</v>
      </c>
      <c r="I660">
        <v>2.1113154243646899</v>
      </c>
      <c r="J660">
        <v>2.2577033248097398</v>
      </c>
      <c r="K660">
        <v>2.1076228763045601</v>
      </c>
      <c r="L660">
        <v>1.89068177648129</v>
      </c>
      <c r="M660">
        <v>2.1845093745872202</v>
      </c>
      <c r="N660">
        <v>2.1832828156952702</v>
      </c>
      <c r="Q660">
        <f t="shared" si="50"/>
        <v>2.52</v>
      </c>
      <c r="R660">
        <f t="shared" si="52"/>
        <v>2.3434540640848156</v>
      </c>
      <c r="S660">
        <f t="shared" si="53"/>
        <v>0.17654593591518442</v>
      </c>
      <c r="T660">
        <f t="shared" si="54"/>
        <v>3.1168467488168403E-2</v>
      </c>
    </row>
    <row r="661" spans="1:20" hidden="1" x14ac:dyDescent="0.25">
      <c r="A661" t="str">
        <f t="shared" si="51"/>
        <v>BAR</v>
      </c>
      <c r="B661" t="s">
        <v>667</v>
      </c>
      <c r="C661">
        <v>1.843167853</v>
      </c>
      <c r="D661">
        <v>5.9053704999999998E-2</v>
      </c>
      <c r="E661">
        <v>0.78204489399999999</v>
      </c>
      <c r="F661">
        <v>0.66333293400000004</v>
      </c>
      <c r="G661">
        <v>0.87180265099999998</v>
      </c>
      <c r="H661">
        <v>2.09</v>
      </c>
      <c r="I661">
        <v>2.11636110954759</v>
      </c>
      <c r="J661">
        <v>2.2434808058541398</v>
      </c>
      <c r="K661">
        <v>2.0249857469033401</v>
      </c>
      <c r="L661">
        <v>1.84251808430741</v>
      </c>
      <c r="M661">
        <v>2.1799209577008698</v>
      </c>
      <c r="N661">
        <v>2.1789941550004599</v>
      </c>
      <c r="Q661">
        <f t="shared" si="50"/>
        <v>2.09</v>
      </c>
      <c r="R661">
        <f t="shared" si="52"/>
        <v>2.3171352189475729</v>
      </c>
      <c r="S661">
        <f t="shared" si="53"/>
        <v>-0.22713521894757305</v>
      </c>
      <c r="T661">
        <f t="shared" si="54"/>
        <v>5.1590407686361944E-2</v>
      </c>
    </row>
    <row r="662" spans="1:20" hidden="1" x14ac:dyDescent="0.25">
      <c r="A662" t="str">
        <f t="shared" si="51"/>
        <v>BAR</v>
      </c>
      <c r="B662" t="s">
        <v>668</v>
      </c>
      <c r="C662">
        <v>2.149682951</v>
      </c>
      <c r="D662">
        <v>4.7914577E-2</v>
      </c>
      <c r="E662">
        <v>0.77942268800000003</v>
      </c>
      <c r="F662">
        <v>0.66521745300000001</v>
      </c>
      <c r="G662">
        <v>0.874768451</v>
      </c>
      <c r="H662">
        <v>2.14</v>
      </c>
      <c r="I662">
        <v>1.5798834749977799</v>
      </c>
      <c r="J662">
        <v>1.6889548107935799</v>
      </c>
      <c r="K662">
        <v>1.59850238170902</v>
      </c>
      <c r="L662">
        <v>1.33831120947063</v>
      </c>
      <c r="M662">
        <v>1.63441914289568</v>
      </c>
      <c r="N662">
        <v>1.63350904362075</v>
      </c>
      <c r="Q662">
        <f t="shared" si="50"/>
        <v>2.14</v>
      </c>
      <c r="R662">
        <f t="shared" si="52"/>
        <v>1.6953072894326011</v>
      </c>
      <c r="S662">
        <f t="shared" si="53"/>
        <v>0.44469271056739901</v>
      </c>
      <c r="T662">
        <f t="shared" si="54"/>
        <v>0.1977516068317805</v>
      </c>
    </row>
    <row r="663" spans="1:20" hidden="1" x14ac:dyDescent="0.25">
      <c r="A663" t="str">
        <f t="shared" si="51"/>
        <v>BAR</v>
      </c>
      <c r="B663" t="s">
        <v>669</v>
      </c>
      <c r="C663">
        <v>1.8145521950000001</v>
      </c>
      <c r="D663">
        <v>5.295706E-2</v>
      </c>
      <c r="E663">
        <v>0.78634112599999995</v>
      </c>
      <c r="F663">
        <v>0.65657528399999998</v>
      </c>
      <c r="G663">
        <v>0.878555953</v>
      </c>
      <c r="H663">
        <v>2.09</v>
      </c>
      <c r="I663">
        <v>1.9945102367386101</v>
      </c>
      <c r="J663">
        <v>2.1096310654556101</v>
      </c>
      <c r="K663">
        <v>2.12288238872214</v>
      </c>
      <c r="L663">
        <v>1.8935498059506299</v>
      </c>
      <c r="M663">
        <v>2.0520706510971101</v>
      </c>
      <c r="N663">
        <v>2.05126320977904</v>
      </c>
      <c r="Q663">
        <f t="shared" si="50"/>
        <v>2.09</v>
      </c>
      <c r="R663">
        <f t="shared" si="52"/>
        <v>2.1840851942538606</v>
      </c>
      <c r="S663">
        <f t="shared" si="53"/>
        <v>-9.4085194253860749E-2</v>
      </c>
      <c r="T663">
        <f t="shared" si="54"/>
        <v>8.8520237777867123E-3</v>
      </c>
    </row>
    <row r="664" spans="1:20" hidden="1" x14ac:dyDescent="0.25">
      <c r="A664" t="str">
        <f t="shared" si="51"/>
        <v>BAR</v>
      </c>
      <c r="B664" t="s">
        <v>670</v>
      </c>
      <c r="C664">
        <v>1.942761116</v>
      </c>
      <c r="D664">
        <v>5.1487905E-2</v>
      </c>
      <c r="E664">
        <v>0.77798297199999999</v>
      </c>
      <c r="F664">
        <v>0.69426335299999997</v>
      </c>
      <c r="G664">
        <v>0.87202944900000001</v>
      </c>
      <c r="H664">
        <v>1.85</v>
      </c>
      <c r="I664">
        <v>1.9517284294880299</v>
      </c>
      <c r="J664">
        <v>2.0794055550832899</v>
      </c>
      <c r="K664">
        <v>2.05670394502584</v>
      </c>
      <c r="L664">
        <v>1.82241916167866</v>
      </c>
      <c r="M664">
        <v>2.0155669922856601</v>
      </c>
      <c r="N664">
        <v>2.0145557669847198</v>
      </c>
      <c r="Q664">
        <f t="shared" si="50"/>
        <v>1.85</v>
      </c>
      <c r="R664">
        <f t="shared" si="52"/>
        <v>2.1489150598048892</v>
      </c>
      <c r="S664">
        <f t="shared" si="53"/>
        <v>-0.29891505980488908</v>
      </c>
      <c r="T664">
        <f t="shared" si="54"/>
        <v>8.9350212978160412E-2</v>
      </c>
    </row>
    <row r="665" spans="1:20" hidden="1" x14ac:dyDescent="0.25">
      <c r="A665" t="str">
        <f t="shared" si="51"/>
        <v>BAR</v>
      </c>
      <c r="B665" t="s">
        <v>671</v>
      </c>
      <c r="C665">
        <v>2.058063116</v>
      </c>
      <c r="D665">
        <v>4.8697112000000001E-2</v>
      </c>
      <c r="E665">
        <v>0.76861358000000002</v>
      </c>
      <c r="F665">
        <v>0.64832120999999998</v>
      </c>
      <c r="G665">
        <v>0.86836548800000002</v>
      </c>
      <c r="H665">
        <v>2.0099999999999998</v>
      </c>
      <c r="I665">
        <v>1.6487504791194001</v>
      </c>
      <c r="J665">
        <v>1.72635596361543</v>
      </c>
      <c r="K665">
        <v>1.64525008478785</v>
      </c>
      <c r="L665">
        <v>1.45266721756885</v>
      </c>
      <c r="M665">
        <v>1.68755322136741</v>
      </c>
      <c r="N665">
        <v>1.6871070571073901</v>
      </c>
      <c r="Q665">
        <f t="shared" si="50"/>
        <v>2.0099999999999998</v>
      </c>
      <c r="R665">
        <f t="shared" si="52"/>
        <v>1.7418924254897439</v>
      </c>
      <c r="S665">
        <f t="shared" si="53"/>
        <v>0.26810757451025591</v>
      </c>
      <c r="T665">
        <f t="shared" si="54"/>
        <v>7.1881671509772427E-2</v>
      </c>
    </row>
    <row r="666" spans="1:20" hidden="1" x14ac:dyDescent="0.25">
      <c r="A666" t="str">
        <f t="shared" si="51"/>
        <v>BAR</v>
      </c>
      <c r="B666" t="s">
        <v>672</v>
      </c>
      <c r="C666">
        <v>2.1591972020000001</v>
      </c>
      <c r="D666">
        <v>5.1927481999999997E-2</v>
      </c>
      <c r="E666">
        <v>0.76129803900000004</v>
      </c>
      <c r="F666">
        <v>0.63393576100000004</v>
      </c>
      <c r="G666">
        <v>0.85914824999999995</v>
      </c>
      <c r="H666">
        <v>1.97</v>
      </c>
      <c r="I666">
        <v>1.5644055535066701</v>
      </c>
      <c r="J666">
        <v>1.63623882862892</v>
      </c>
      <c r="K666">
        <v>1.45930622873894</v>
      </c>
      <c r="L666">
        <v>1.34154156613544</v>
      </c>
      <c r="M666">
        <v>1.6003221910677901</v>
      </c>
      <c r="N666">
        <v>1.59991909494522</v>
      </c>
      <c r="Q666">
        <f t="shared" si="50"/>
        <v>1.97</v>
      </c>
      <c r="R666">
        <f t="shared" si="52"/>
        <v>1.6220843338952093</v>
      </c>
      <c r="S666">
        <f t="shared" si="53"/>
        <v>0.34791566610479063</v>
      </c>
      <c r="T666">
        <f t="shared" si="54"/>
        <v>0.12104531072114016</v>
      </c>
    </row>
    <row r="667" spans="1:20" hidden="1" x14ac:dyDescent="0.25">
      <c r="A667" t="str">
        <f t="shared" si="51"/>
        <v>BAR</v>
      </c>
      <c r="B667" t="s">
        <v>673</v>
      </c>
      <c r="C667">
        <v>1.877304839</v>
      </c>
      <c r="D667">
        <v>5.2179937000000003E-2</v>
      </c>
      <c r="E667">
        <v>0.75920859600000001</v>
      </c>
      <c r="F667">
        <v>0.66353470599999997</v>
      </c>
      <c r="G667">
        <v>0.859882327</v>
      </c>
      <c r="H667">
        <v>1.91</v>
      </c>
      <c r="I667">
        <v>1.9605839228475399</v>
      </c>
      <c r="J667">
        <v>2.0305117646258002</v>
      </c>
      <c r="K667">
        <v>2.0013278291358101</v>
      </c>
      <c r="L667">
        <v>1.8139672709649699</v>
      </c>
      <c r="M667">
        <v>1.99554784373667</v>
      </c>
      <c r="N667">
        <v>1.99524151943521</v>
      </c>
      <c r="Q667">
        <f t="shared" si="50"/>
        <v>1.91</v>
      </c>
      <c r="R667">
        <f t="shared" si="52"/>
        <v>2.0948004327670584</v>
      </c>
      <c r="S667">
        <f t="shared" si="53"/>
        <v>-0.18480043276705849</v>
      </c>
      <c r="T667">
        <f t="shared" si="54"/>
        <v>3.4151199950892101E-2</v>
      </c>
    </row>
    <row r="668" spans="1:20" hidden="1" x14ac:dyDescent="0.25">
      <c r="A668" t="str">
        <f t="shared" si="51"/>
        <v>BAR</v>
      </c>
      <c r="B668" t="s">
        <v>674</v>
      </c>
      <c r="C668">
        <v>1.8500371170000001</v>
      </c>
      <c r="D668">
        <v>5.2031682000000003E-2</v>
      </c>
      <c r="E668">
        <v>0.76327247600000003</v>
      </c>
      <c r="F668">
        <v>0.67096906300000003</v>
      </c>
      <c r="G668">
        <v>0.86379466999999999</v>
      </c>
      <c r="H668">
        <v>2.2400000000000002</v>
      </c>
      <c r="I668">
        <v>2.0039003600193999</v>
      </c>
      <c r="J668">
        <v>2.0854706150230502</v>
      </c>
      <c r="K668">
        <v>2.1018718136421799</v>
      </c>
      <c r="L668">
        <v>1.88041668319278</v>
      </c>
      <c r="M668">
        <v>2.0446854875212201</v>
      </c>
      <c r="N668">
        <v>2.0442786787164202</v>
      </c>
      <c r="Q668">
        <f t="shared" si="50"/>
        <v>2.2400000000000002</v>
      </c>
      <c r="R668">
        <f t="shared" si="52"/>
        <v>2.1602316147914049</v>
      </c>
      <c r="S668">
        <f t="shared" si="53"/>
        <v>7.9768385208595305E-2</v>
      </c>
      <c r="T668">
        <f t="shared" si="54"/>
        <v>6.3629952787868458E-3</v>
      </c>
    </row>
    <row r="669" spans="1:20" hidden="1" x14ac:dyDescent="0.25">
      <c r="A669" t="str">
        <f t="shared" si="51"/>
        <v>BAR</v>
      </c>
      <c r="B669" t="s">
        <v>675</v>
      </c>
      <c r="C669">
        <v>2.1155599020000002</v>
      </c>
      <c r="D669">
        <v>5.0343028999999997E-2</v>
      </c>
      <c r="E669">
        <v>0.77326563299999995</v>
      </c>
      <c r="F669">
        <v>0.66544025399999995</v>
      </c>
      <c r="G669">
        <v>0.87044332300000005</v>
      </c>
      <c r="H669">
        <v>2.12</v>
      </c>
      <c r="I669">
        <v>1.6667103789439901</v>
      </c>
      <c r="J669">
        <v>1.7713916381985899</v>
      </c>
      <c r="K669">
        <v>1.6341040395678299</v>
      </c>
      <c r="L669">
        <v>1.4162343837812801</v>
      </c>
      <c r="M669">
        <v>1.71905100857129</v>
      </c>
      <c r="N669">
        <v>1.71825400583272</v>
      </c>
      <c r="Q669">
        <f t="shared" si="50"/>
        <v>2.12</v>
      </c>
      <c r="R669">
        <f t="shared" si="52"/>
        <v>1.7857892142708107</v>
      </c>
      <c r="S669">
        <f t="shared" si="53"/>
        <v>0.33421078572918939</v>
      </c>
      <c r="T669">
        <f t="shared" si="54"/>
        <v>0.11169684929772214</v>
      </c>
    </row>
    <row r="670" spans="1:20" hidden="1" x14ac:dyDescent="0.25">
      <c r="A670" t="str">
        <f t="shared" si="51"/>
        <v>BAR</v>
      </c>
      <c r="B670" t="s">
        <v>676</v>
      </c>
      <c r="C670">
        <v>1.9579128320000001</v>
      </c>
      <c r="D670">
        <v>4.9406758000000002E-2</v>
      </c>
      <c r="E670">
        <v>0.76084690300000002</v>
      </c>
      <c r="F670">
        <v>0.68051919800000005</v>
      </c>
      <c r="G670">
        <v>0.85913025099999996</v>
      </c>
      <c r="H670">
        <v>2.1</v>
      </c>
      <c r="I670">
        <v>1.8748865476641099</v>
      </c>
      <c r="J670">
        <v>1.9534389025413299</v>
      </c>
      <c r="K670">
        <v>1.94295499874958</v>
      </c>
      <c r="L670">
        <v>1.77337817095263</v>
      </c>
      <c r="M670">
        <v>1.91416272510272</v>
      </c>
      <c r="N670">
        <v>1.91375973415121</v>
      </c>
      <c r="Q670">
        <f t="shared" si="50"/>
        <v>2.1</v>
      </c>
      <c r="R670">
        <f t="shared" si="52"/>
        <v>2.0101575814434138</v>
      </c>
      <c r="S670">
        <f t="shared" si="53"/>
        <v>8.9842418556586257E-2</v>
      </c>
      <c r="T670">
        <f t="shared" si="54"/>
        <v>8.0716601720968346E-3</v>
      </c>
    </row>
    <row r="671" spans="1:20" hidden="1" x14ac:dyDescent="0.25">
      <c r="A671" t="str">
        <f t="shared" si="51"/>
        <v>BAR</v>
      </c>
      <c r="B671" t="s">
        <v>677</v>
      </c>
      <c r="C671">
        <v>1.8931460520000001</v>
      </c>
      <c r="D671">
        <v>4.8537232E-2</v>
      </c>
      <c r="E671">
        <v>0.77305352400000005</v>
      </c>
      <c r="F671">
        <v>0.66073938300000001</v>
      </c>
      <c r="G671">
        <v>0.86617407300000004</v>
      </c>
      <c r="H671">
        <v>2.11</v>
      </c>
      <c r="I671">
        <v>1.85448977374679</v>
      </c>
      <c r="J671">
        <v>1.93716191315046</v>
      </c>
      <c r="K671">
        <v>1.9513589234840101</v>
      </c>
      <c r="L671">
        <v>1.7269696245945401</v>
      </c>
      <c r="M671">
        <v>1.8958258434486299</v>
      </c>
      <c r="N671">
        <v>1.8953751496812701</v>
      </c>
      <c r="Q671">
        <f t="shared" si="50"/>
        <v>2.11</v>
      </c>
      <c r="R671">
        <f t="shared" si="52"/>
        <v>1.9956504563031094</v>
      </c>
      <c r="S671">
        <f t="shared" si="53"/>
        <v>0.11434954369689043</v>
      </c>
      <c r="T671">
        <f t="shared" si="54"/>
        <v>1.3075818143687055E-2</v>
      </c>
    </row>
    <row r="672" spans="1:20" hidden="1" x14ac:dyDescent="0.25">
      <c r="A672" t="str">
        <f t="shared" si="51"/>
        <v>BAR</v>
      </c>
      <c r="B672" t="s">
        <v>678</v>
      </c>
      <c r="C672">
        <v>2.0408278489999998</v>
      </c>
      <c r="D672">
        <v>5.1747214E-2</v>
      </c>
      <c r="E672">
        <v>0.76005427000000003</v>
      </c>
      <c r="F672">
        <v>0.62203234399999996</v>
      </c>
      <c r="G672">
        <v>0.86209281900000001</v>
      </c>
      <c r="H672">
        <v>2.2000000000000002</v>
      </c>
      <c r="I672">
        <v>1.6518912678119</v>
      </c>
      <c r="J672">
        <v>1.7058231233258101</v>
      </c>
      <c r="K672">
        <v>1.6112986023740401</v>
      </c>
      <c r="L672">
        <v>1.4492402018783199</v>
      </c>
      <c r="M672">
        <v>1.67885719556885</v>
      </c>
      <c r="N672">
        <v>1.6786406172416799</v>
      </c>
      <c r="Q672">
        <f t="shared" si="50"/>
        <v>2.2000000000000002</v>
      </c>
      <c r="R672">
        <f t="shared" si="52"/>
        <v>1.709585820107324</v>
      </c>
      <c r="S672">
        <f t="shared" si="53"/>
        <v>0.49041417989267622</v>
      </c>
      <c r="T672">
        <f t="shared" si="54"/>
        <v>0.24050606783980619</v>
      </c>
    </row>
    <row r="673" spans="1:20" hidden="1" x14ac:dyDescent="0.25">
      <c r="A673" t="str">
        <f t="shared" si="51"/>
        <v>BAR</v>
      </c>
      <c r="B673" t="s">
        <v>679</v>
      </c>
      <c r="C673">
        <v>1.9399304150000001</v>
      </c>
      <c r="D673">
        <v>5.1386203999999998E-2</v>
      </c>
      <c r="E673">
        <v>0.76681413300000001</v>
      </c>
      <c r="F673">
        <v>0.70510612100000003</v>
      </c>
      <c r="G673">
        <v>0.86773996600000003</v>
      </c>
      <c r="H673">
        <v>2.2799999999999998</v>
      </c>
      <c r="I673">
        <v>1.99492141467592</v>
      </c>
      <c r="J673">
        <v>2.1099075655162598</v>
      </c>
      <c r="K673">
        <v>2.02002685641187</v>
      </c>
      <c r="L673">
        <v>1.78671933161124</v>
      </c>
      <c r="M673">
        <v>2.0524144900960901</v>
      </c>
      <c r="N673">
        <v>2.0516090722735498</v>
      </c>
      <c r="Q673">
        <f t="shared" si="50"/>
        <v>2.2799999999999998</v>
      </c>
      <c r="R673">
        <f t="shared" si="52"/>
        <v>2.1863214230260555</v>
      </c>
      <c r="S673">
        <f t="shared" si="53"/>
        <v>9.3678576973944327E-2</v>
      </c>
      <c r="T673">
        <f t="shared" si="54"/>
        <v>8.7756757838632123E-3</v>
      </c>
    </row>
    <row r="674" spans="1:20" hidden="1" x14ac:dyDescent="0.25">
      <c r="A674" t="str">
        <f t="shared" si="51"/>
        <v>BAR</v>
      </c>
      <c r="B674" t="s">
        <v>680</v>
      </c>
      <c r="C674">
        <v>2.0052961300000001</v>
      </c>
      <c r="D674">
        <v>5.2062979000000002E-2</v>
      </c>
      <c r="E674">
        <v>0.76538493799999996</v>
      </c>
      <c r="F674">
        <v>0.64709660700000005</v>
      </c>
      <c r="G674">
        <v>0.86476735999999998</v>
      </c>
      <c r="H674">
        <v>2.2000000000000002</v>
      </c>
      <c r="I674">
        <v>1.76690249044433</v>
      </c>
      <c r="J674">
        <v>1.8451230620982599</v>
      </c>
      <c r="K674">
        <v>1.6941869574784301</v>
      </c>
      <c r="L674">
        <v>1.5389709065281501</v>
      </c>
      <c r="M674">
        <v>1.8060127762712901</v>
      </c>
      <c r="N674">
        <v>1.80558924830585</v>
      </c>
      <c r="Q674">
        <f t="shared" si="50"/>
        <v>2.2000000000000002</v>
      </c>
      <c r="R674">
        <f t="shared" si="52"/>
        <v>1.8721086255388353</v>
      </c>
      <c r="S674">
        <f t="shared" si="53"/>
        <v>0.3278913744611649</v>
      </c>
      <c r="T674">
        <f t="shared" si="54"/>
        <v>0.10751275344603185</v>
      </c>
    </row>
    <row r="675" spans="1:20" hidden="1" x14ac:dyDescent="0.25">
      <c r="A675" t="str">
        <f t="shared" si="51"/>
        <v>BAR</v>
      </c>
      <c r="B675" t="s">
        <v>681</v>
      </c>
      <c r="C675">
        <v>1.8117965789999999</v>
      </c>
      <c r="D675">
        <v>5.1279949999999998E-2</v>
      </c>
      <c r="E675">
        <v>0.76093181399999998</v>
      </c>
      <c r="F675">
        <v>0.68616890100000005</v>
      </c>
      <c r="G675">
        <v>0.85747691000000004</v>
      </c>
      <c r="H675">
        <v>2.64</v>
      </c>
      <c r="I675">
        <v>2.0852191289328799</v>
      </c>
      <c r="J675">
        <v>2.1609584296177098</v>
      </c>
      <c r="K675">
        <v>2.1427172567880799</v>
      </c>
      <c r="L675">
        <v>1.95495807525164</v>
      </c>
      <c r="M675">
        <v>2.1230887792752902</v>
      </c>
      <c r="N675">
        <v>2.1227510108977898</v>
      </c>
      <c r="Q675">
        <f t="shared" si="50"/>
        <v>2.64</v>
      </c>
      <c r="R675">
        <f t="shared" si="52"/>
        <v>2.2529453340224959</v>
      </c>
      <c r="S675">
        <f t="shared" si="53"/>
        <v>0.38705466597750426</v>
      </c>
      <c r="T675">
        <f t="shared" si="54"/>
        <v>0.14981131445495741</v>
      </c>
    </row>
    <row r="676" spans="1:20" hidden="1" x14ac:dyDescent="0.25">
      <c r="A676" t="str">
        <f t="shared" si="51"/>
        <v>BAR</v>
      </c>
      <c r="B676" t="s">
        <v>682</v>
      </c>
      <c r="C676">
        <v>1.8740872500000001</v>
      </c>
      <c r="D676">
        <v>5.3928828999999998E-2</v>
      </c>
      <c r="E676">
        <v>0.75375179000000003</v>
      </c>
      <c r="F676">
        <v>0.60095622299999996</v>
      </c>
      <c r="G676">
        <v>0.85739801999999998</v>
      </c>
      <c r="H676">
        <v>1.74</v>
      </c>
      <c r="I676">
        <v>1.8098828038800701</v>
      </c>
      <c r="J676">
        <v>1.8376041500790401</v>
      </c>
      <c r="K676">
        <v>1.77859032763687</v>
      </c>
      <c r="L676">
        <v>1.65690184892282</v>
      </c>
      <c r="M676">
        <v>1.82374347697956</v>
      </c>
      <c r="N676">
        <v>1.82369080481498</v>
      </c>
      <c r="Q676">
        <f t="shared" si="50"/>
        <v>1.74</v>
      </c>
      <c r="R676">
        <f t="shared" si="52"/>
        <v>1.8644560540080888</v>
      </c>
      <c r="S676">
        <f t="shared" si="53"/>
        <v>-0.12445605400808879</v>
      </c>
      <c r="T676">
        <f t="shared" si="54"/>
        <v>1.5489309379264314E-2</v>
      </c>
    </row>
    <row r="677" spans="1:20" hidden="1" x14ac:dyDescent="0.25">
      <c r="A677" t="str">
        <f t="shared" si="51"/>
        <v>BAR</v>
      </c>
      <c r="B677" t="s">
        <v>683</v>
      </c>
      <c r="C677">
        <v>1.887730535</v>
      </c>
      <c r="D677">
        <v>4.8706487E-2</v>
      </c>
      <c r="E677">
        <v>0.76074090800000005</v>
      </c>
      <c r="F677">
        <v>0.66738014999999995</v>
      </c>
      <c r="G677">
        <v>0.865804723</v>
      </c>
      <c r="H677">
        <v>2.2200000000000002</v>
      </c>
      <c r="I677">
        <v>1.88834680333942</v>
      </c>
      <c r="J677">
        <v>1.9602748908768901</v>
      </c>
      <c r="K677">
        <v>1.9086180685201699</v>
      </c>
      <c r="L677">
        <v>1.6728849264407999</v>
      </c>
      <c r="M677">
        <v>1.92431084710816</v>
      </c>
      <c r="N677">
        <v>1.9239747461580401</v>
      </c>
      <c r="Q677">
        <f t="shared" si="50"/>
        <v>2.2200000000000002</v>
      </c>
      <c r="R677">
        <f t="shared" si="52"/>
        <v>2.0237121889440783</v>
      </c>
      <c r="S677">
        <f t="shared" si="53"/>
        <v>0.19628781105592186</v>
      </c>
      <c r="T677">
        <f t="shared" si="54"/>
        <v>3.852890476912528E-2</v>
      </c>
    </row>
    <row r="678" spans="1:20" hidden="1" x14ac:dyDescent="0.25">
      <c r="A678" t="str">
        <f t="shared" si="51"/>
        <v>BAR</v>
      </c>
      <c r="B678" t="s">
        <v>684</v>
      </c>
      <c r="C678">
        <v>2.0068225530000001</v>
      </c>
      <c r="D678">
        <v>5.2357147E-2</v>
      </c>
      <c r="E678">
        <v>0.76834924900000001</v>
      </c>
      <c r="F678">
        <v>0.66526745200000004</v>
      </c>
      <c r="G678">
        <v>0.86863257400000005</v>
      </c>
      <c r="H678">
        <v>2.2200000000000002</v>
      </c>
      <c r="I678">
        <v>1.8234104614286299</v>
      </c>
      <c r="J678">
        <v>1.9195097357643101</v>
      </c>
      <c r="K678">
        <v>1.7331312504412399</v>
      </c>
      <c r="L678">
        <v>1.53364368353342</v>
      </c>
      <c r="M678">
        <v>1.87146009859647</v>
      </c>
      <c r="N678">
        <v>1.87084316098564</v>
      </c>
      <c r="Q678">
        <f t="shared" si="50"/>
        <v>2.2200000000000002</v>
      </c>
      <c r="R678">
        <f t="shared" si="52"/>
        <v>1.9574884874573155</v>
      </c>
      <c r="S678">
        <f t="shared" si="53"/>
        <v>0.26251151254268468</v>
      </c>
      <c r="T678">
        <f t="shared" si="54"/>
        <v>6.89122942174481E-2</v>
      </c>
    </row>
    <row r="679" spans="1:20" hidden="1" x14ac:dyDescent="0.25">
      <c r="A679" t="str">
        <f t="shared" si="51"/>
        <v>BAR</v>
      </c>
      <c r="B679" t="s">
        <v>685</v>
      </c>
      <c r="C679">
        <v>2.2186154079999998</v>
      </c>
      <c r="D679">
        <v>5.3346385000000003E-2</v>
      </c>
      <c r="E679">
        <v>0.76727015200000004</v>
      </c>
      <c r="F679">
        <v>0.650174429</v>
      </c>
      <c r="G679">
        <v>0.86498731500000003</v>
      </c>
      <c r="H679">
        <v>1.76</v>
      </c>
      <c r="I679">
        <v>1.57416452102134</v>
      </c>
      <c r="J679">
        <v>1.67334026579643</v>
      </c>
      <c r="K679">
        <v>1.38379813137293</v>
      </c>
      <c r="L679">
        <v>1.23059419171622</v>
      </c>
      <c r="M679">
        <v>1.62375239340889</v>
      </c>
      <c r="N679">
        <v>1.62299503326818</v>
      </c>
      <c r="Q679">
        <f t="shared" si="50"/>
        <v>1.76</v>
      </c>
      <c r="R679">
        <f t="shared" si="52"/>
        <v>1.6570014376193534</v>
      </c>
      <c r="S679">
        <f t="shared" si="53"/>
        <v>0.10299856238064664</v>
      </c>
      <c r="T679">
        <f t="shared" si="54"/>
        <v>1.0608703852479957E-2</v>
      </c>
    </row>
    <row r="680" spans="1:20" hidden="1" x14ac:dyDescent="0.25">
      <c r="A680" t="str">
        <f t="shared" si="51"/>
        <v>BAR</v>
      </c>
      <c r="B680" t="s">
        <v>686</v>
      </c>
      <c r="C680">
        <v>1.7792663820000001</v>
      </c>
      <c r="D680">
        <v>6.3640446000000003E-2</v>
      </c>
      <c r="E680">
        <v>0.71586645800000004</v>
      </c>
      <c r="F680">
        <v>0.35848820100000001</v>
      </c>
      <c r="G680">
        <v>0.78127434399999995</v>
      </c>
      <c r="H680">
        <v>1.01</v>
      </c>
      <c r="I680">
        <v>1.1914080126575299</v>
      </c>
      <c r="J680">
        <v>1.2278888305254501</v>
      </c>
      <c r="K680">
        <v>1.29457819722626</v>
      </c>
      <c r="L680">
        <v>1.2088515195191301</v>
      </c>
      <c r="M680">
        <v>1.20964842159149</v>
      </c>
      <c r="N680">
        <v>1.2095108893022499</v>
      </c>
      <c r="Q680">
        <f t="shared" si="50"/>
        <v>1.01</v>
      </c>
      <c r="R680">
        <f t="shared" si="52"/>
        <v>1.1261475167318205</v>
      </c>
      <c r="S680">
        <f t="shared" si="53"/>
        <v>-0.11614751673182044</v>
      </c>
      <c r="T680">
        <f t="shared" si="54"/>
        <v>1.349024564296851E-2</v>
      </c>
    </row>
    <row r="681" spans="1:20" hidden="1" x14ac:dyDescent="0.25">
      <c r="A681" t="str">
        <f t="shared" si="51"/>
        <v>BAR</v>
      </c>
      <c r="B681" t="s">
        <v>687</v>
      </c>
      <c r="C681">
        <v>1.8224523500000001</v>
      </c>
      <c r="D681">
        <v>5.9592487999999999E-2</v>
      </c>
      <c r="E681">
        <v>0.71133264100000004</v>
      </c>
      <c r="F681">
        <v>0.49456103699999998</v>
      </c>
      <c r="G681">
        <v>0.77285720400000002</v>
      </c>
      <c r="H681">
        <v>1.5</v>
      </c>
      <c r="I681">
        <v>1.6551463820743799</v>
      </c>
      <c r="J681">
        <v>1.58464588802179</v>
      </c>
      <c r="K681">
        <v>1.98263760795259</v>
      </c>
      <c r="L681">
        <v>2.0014290243803599</v>
      </c>
      <c r="M681">
        <v>1.61989613504809</v>
      </c>
      <c r="N681">
        <v>1.6195125527232901</v>
      </c>
      <c r="Q681">
        <f t="shared" si="50"/>
        <v>1.5</v>
      </c>
      <c r="R681">
        <f t="shared" si="52"/>
        <v>1.5568422136202162</v>
      </c>
      <c r="S681">
        <f t="shared" si="53"/>
        <v>-5.6842213620216242E-2</v>
      </c>
      <c r="T681">
        <f t="shared" si="54"/>
        <v>3.2310372492462968E-3</v>
      </c>
    </row>
    <row r="682" spans="1:20" hidden="1" x14ac:dyDescent="0.25">
      <c r="A682" t="str">
        <f t="shared" si="51"/>
        <v>BAR</v>
      </c>
      <c r="B682" t="s">
        <v>688</v>
      </c>
      <c r="C682">
        <v>1.768379583</v>
      </c>
      <c r="D682">
        <v>6.0163442999999997E-2</v>
      </c>
      <c r="E682">
        <v>0.71323249499999997</v>
      </c>
      <c r="F682">
        <v>0.36489664100000002</v>
      </c>
      <c r="G682">
        <v>0.78546058600000002</v>
      </c>
      <c r="H682">
        <v>1.17</v>
      </c>
      <c r="I682">
        <v>1.18761424683108</v>
      </c>
      <c r="J682">
        <v>1.17758121559034</v>
      </c>
      <c r="K682">
        <v>1.3467338859228599</v>
      </c>
      <c r="L682">
        <v>1.26634712442387</v>
      </c>
      <c r="M682">
        <v>1.1825977312107101</v>
      </c>
      <c r="N682">
        <v>1.1825870912688601</v>
      </c>
      <c r="Q682">
        <f t="shared" si="50"/>
        <v>1.17</v>
      </c>
      <c r="R682">
        <f t="shared" si="52"/>
        <v>1.0818798850003515</v>
      </c>
      <c r="S682">
        <f t="shared" si="53"/>
        <v>8.8120114999648447E-2</v>
      </c>
      <c r="T682">
        <f t="shared" si="54"/>
        <v>7.7651546675512675E-3</v>
      </c>
    </row>
    <row r="683" spans="1:20" hidden="1" x14ac:dyDescent="0.25">
      <c r="A683" t="str">
        <f t="shared" si="51"/>
        <v>BAR</v>
      </c>
      <c r="B683" t="s">
        <v>689</v>
      </c>
      <c r="C683">
        <v>1.950304561</v>
      </c>
      <c r="D683">
        <v>6.2716254999999999E-2</v>
      </c>
      <c r="E683">
        <v>0.72020618199999997</v>
      </c>
      <c r="F683">
        <v>0.50569950399999997</v>
      </c>
      <c r="G683">
        <v>0.78758400900000003</v>
      </c>
      <c r="H683">
        <v>1.21</v>
      </c>
      <c r="I683">
        <v>1.5792518446845201</v>
      </c>
      <c r="J683">
        <v>1.5800592639263999</v>
      </c>
      <c r="K683">
        <v>1.7536700618215899</v>
      </c>
      <c r="L683">
        <v>1.8383507363916201</v>
      </c>
      <c r="M683">
        <v>1.57965555430546</v>
      </c>
      <c r="N683">
        <v>1.5796555027178101</v>
      </c>
      <c r="Q683">
        <f t="shared" si="50"/>
        <v>1.21</v>
      </c>
      <c r="R683">
        <f t="shared" si="52"/>
        <v>1.5322448954062891</v>
      </c>
      <c r="S683">
        <f t="shared" si="53"/>
        <v>-0.32224489540628909</v>
      </c>
      <c r="T683">
        <f t="shared" si="54"/>
        <v>0.10384177261541019</v>
      </c>
    </row>
    <row r="684" spans="1:20" hidden="1" x14ac:dyDescent="0.25">
      <c r="A684" t="str">
        <f t="shared" si="51"/>
        <v>BAR</v>
      </c>
      <c r="B684" t="s">
        <v>690</v>
      </c>
      <c r="C684">
        <v>1.8605731109999999</v>
      </c>
      <c r="D684">
        <v>6.1678028000000003E-2</v>
      </c>
      <c r="E684">
        <v>0.71268816300000004</v>
      </c>
      <c r="F684">
        <v>0.38528609800000002</v>
      </c>
      <c r="G684">
        <v>0.78161561300000004</v>
      </c>
      <c r="H684">
        <v>1.3</v>
      </c>
      <c r="I684">
        <v>1.1774407647855101</v>
      </c>
      <c r="J684">
        <v>1.19491824204193</v>
      </c>
      <c r="K684">
        <v>1.2428951935358099</v>
      </c>
      <c r="L684">
        <v>1.17780393384074</v>
      </c>
      <c r="M684">
        <v>1.1861795034137199</v>
      </c>
      <c r="N684">
        <v>1.1861473132650899</v>
      </c>
      <c r="Q684">
        <f t="shared" si="50"/>
        <v>1.3</v>
      </c>
      <c r="R684">
        <f t="shared" si="52"/>
        <v>1.0920952363712901</v>
      </c>
      <c r="S684">
        <f t="shared" si="53"/>
        <v>0.20790476362870991</v>
      </c>
      <c r="T684">
        <f t="shared" si="54"/>
        <v>4.322439073950974E-2</v>
      </c>
    </row>
    <row r="685" spans="1:20" hidden="1" x14ac:dyDescent="0.25">
      <c r="A685" t="str">
        <f t="shared" si="51"/>
        <v>BAR</v>
      </c>
      <c r="B685" t="s">
        <v>691</v>
      </c>
      <c r="C685">
        <v>1.7967993959999999</v>
      </c>
      <c r="D685">
        <v>5.7157195000000001E-2</v>
      </c>
      <c r="E685">
        <v>0.69354037199999996</v>
      </c>
      <c r="F685">
        <v>0.43302268700000002</v>
      </c>
      <c r="G685">
        <v>0.756077785</v>
      </c>
      <c r="H685">
        <v>1.2</v>
      </c>
      <c r="I685">
        <v>1.39653520718904</v>
      </c>
      <c r="J685">
        <v>1.3118191263030501</v>
      </c>
      <c r="K685">
        <v>1.7418289311458699</v>
      </c>
      <c r="L685">
        <v>1.7445586326386899</v>
      </c>
      <c r="M685">
        <v>1.3541771667460401</v>
      </c>
      <c r="N685">
        <v>1.35351453458992</v>
      </c>
      <c r="Q685">
        <f t="shared" si="50"/>
        <v>1.2</v>
      </c>
      <c r="R685">
        <f t="shared" si="52"/>
        <v>1.2508541433862717</v>
      </c>
      <c r="S685">
        <f t="shared" si="53"/>
        <v>-5.08541433862717E-2</v>
      </c>
      <c r="T685">
        <f t="shared" si="54"/>
        <v>2.5861438995514819E-3</v>
      </c>
    </row>
    <row r="686" spans="1:20" hidden="1" x14ac:dyDescent="0.25">
      <c r="A686" t="str">
        <f t="shared" si="51"/>
        <v>BAR</v>
      </c>
      <c r="B686" t="s">
        <v>692</v>
      </c>
      <c r="C686">
        <v>1.7613516570000001</v>
      </c>
      <c r="D686">
        <v>5.4469496999999999E-2</v>
      </c>
      <c r="E686">
        <v>0.71239000299999999</v>
      </c>
      <c r="F686">
        <v>0.35457609699999998</v>
      </c>
      <c r="G686">
        <v>0.79118486899999996</v>
      </c>
      <c r="H686">
        <v>1.22</v>
      </c>
      <c r="I686">
        <v>1.07880948545405</v>
      </c>
      <c r="J686">
        <v>1.0187011254677101</v>
      </c>
      <c r="K686">
        <v>1.2827700035084899</v>
      </c>
      <c r="L686">
        <v>1.19180668100962</v>
      </c>
      <c r="M686">
        <v>1.04875530546088</v>
      </c>
      <c r="N686">
        <v>1.04832458570678</v>
      </c>
      <c r="Q686">
        <f t="shared" si="50"/>
        <v>1.22</v>
      </c>
      <c r="R686">
        <f t="shared" si="52"/>
        <v>0.91730239946213876</v>
      </c>
      <c r="S686">
        <f t="shared" si="53"/>
        <v>0.30269760053786121</v>
      </c>
      <c r="T686">
        <f t="shared" si="54"/>
        <v>9.1625837371378596E-2</v>
      </c>
    </row>
    <row r="687" spans="1:20" hidden="1" x14ac:dyDescent="0.25">
      <c r="A687" t="str">
        <f t="shared" si="51"/>
        <v>BAR</v>
      </c>
      <c r="B687" t="s">
        <v>693</v>
      </c>
      <c r="C687">
        <v>1.7685534000000001</v>
      </c>
      <c r="D687">
        <v>5.8407035000000003E-2</v>
      </c>
      <c r="E687">
        <v>0.68819415399999995</v>
      </c>
      <c r="F687">
        <v>0.42789359100000002</v>
      </c>
      <c r="G687">
        <v>0.75755719600000004</v>
      </c>
      <c r="H687">
        <v>1.25</v>
      </c>
      <c r="I687">
        <v>1.4286836269255601</v>
      </c>
      <c r="J687">
        <v>1.3434707682402101</v>
      </c>
      <c r="K687">
        <v>1.73055821242921</v>
      </c>
      <c r="L687">
        <v>1.7035236168543899</v>
      </c>
      <c r="M687">
        <v>1.3860771975828801</v>
      </c>
      <c r="N687">
        <v>1.3854222063464601</v>
      </c>
      <c r="Q687">
        <f t="shared" si="50"/>
        <v>1.25</v>
      </c>
      <c r="R687">
        <f t="shared" si="52"/>
        <v>1.2853802757825123</v>
      </c>
      <c r="S687">
        <f t="shared" si="53"/>
        <v>-3.5380275782512349E-2</v>
      </c>
      <c r="T687">
        <f t="shared" si="54"/>
        <v>1.2517639144466299E-3</v>
      </c>
    </row>
    <row r="688" spans="1:20" hidden="1" x14ac:dyDescent="0.25">
      <c r="A688" t="str">
        <f t="shared" si="51"/>
        <v>BAR</v>
      </c>
      <c r="B688" t="s">
        <v>694</v>
      </c>
      <c r="C688">
        <v>1.6901047730000001</v>
      </c>
      <c r="D688">
        <v>5.5611104000000001E-2</v>
      </c>
      <c r="E688">
        <v>0.67282920000000002</v>
      </c>
      <c r="F688">
        <v>0.37546273299999999</v>
      </c>
      <c r="G688">
        <v>0.72200518400000002</v>
      </c>
      <c r="H688">
        <v>0.9</v>
      </c>
      <c r="I688">
        <v>1.2527277652814199</v>
      </c>
      <c r="J688">
        <v>1.15359969393465</v>
      </c>
      <c r="K688">
        <v>1.62924220537136</v>
      </c>
      <c r="L688">
        <v>1.5645654020994999</v>
      </c>
      <c r="M688">
        <v>1.20316372960804</v>
      </c>
      <c r="N688">
        <v>1.20214240696021</v>
      </c>
      <c r="Q688">
        <f t="shared" si="50"/>
        <v>0.9</v>
      </c>
      <c r="R688">
        <f t="shared" si="52"/>
        <v>1.0792263913985134</v>
      </c>
      <c r="S688">
        <f t="shared" si="53"/>
        <v>-0.17922639139851337</v>
      </c>
      <c r="T688">
        <f t="shared" si="54"/>
        <v>3.2122099373733108E-2</v>
      </c>
    </row>
    <row r="689" spans="1:20" hidden="1" x14ac:dyDescent="0.25">
      <c r="A689" t="str">
        <f t="shared" si="51"/>
        <v>BAR</v>
      </c>
      <c r="B689" t="s">
        <v>695</v>
      </c>
      <c r="C689">
        <v>1.7697291449999999</v>
      </c>
      <c r="D689">
        <v>5.5646278E-2</v>
      </c>
      <c r="E689">
        <v>0.69618760400000002</v>
      </c>
      <c r="F689">
        <v>0.39105377499999999</v>
      </c>
      <c r="G689">
        <v>0.76827655699999997</v>
      </c>
      <c r="H689">
        <v>1.17</v>
      </c>
      <c r="I689">
        <v>1.22480631344304</v>
      </c>
      <c r="J689">
        <v>1.1543934711311801</v>
      </c>
      <c r="K689">
        <v>1.4562814065503</v>
      </c>
      <c r="L689">
        <v>1.38151182168574</v>
      </c>
      <c r="M689">
        <v>1.1895998922871101</v>
      </c>
      <c r="N689">
        <v>1.18907880800176</v>
      </c>
      <c r="Q689">
        <f t="shared" si="50"/>
        <v>1.17</v>
      </c>
      <c r="R689">
        <f t="shared" si="52"/>
        <v>1.0733065246656741</v>
      </c>
      <c r="S689">
        <f t="shared" si="53"/>
        <v>9.6693475334325818E-2</v>
      </c>
      <c r="T689">
        <f t="shared" si="54"/>
        <v>9.3496281722298749E-3</v>
      </c>
    </row>
    <row r="690" spans="1:20" hidden="1" x14ac:dyDescent="0.25">
      <c r="A690" t="str">
        <f t="shared" si="51"/>
        <v>BAR</v>
      </c>
      <c r="B690" t="s">
        <v>696</v>
      </c>
      <c r="C690">
        <v>1.7851926520000001</v>
      </c>
      <c r="D690">
        <v>5.6860730999999998E-2</v>
      </c>
      <c r="E690">
        <v>0.69124132400000005</v>
      </c>
      <c r="F690">
        <v>0.41213673499999998</v>
      </c>
      <c r="G690">
        <v>0.75486450299999996</v>
      </c>
      <c r="H690">
        <v>1.1100000000000001</v>
      </c>
      <c r="I690">
        <v>1.3143490744883</v>
      </c>
      <c r="J690">
        <v>1.2379681538918099</v>
      </c>
      <c r="K690">
        <v>1.61105571234695</v>
      </c>
      <c r="L690">
        <v>1.5856801873736399</v>
      </c>
      <c r="M690">
        <v>1.2761586141900501</v>
      </c>
      <c r="N690">
        <v>1.2755870402734899</v>
      </c>
      <c r="Q690">
        <f t="shared" si="50"/>
        <v>1.1100000000000001</v>
      </c>
      <c r="R690">
        <f t="shared" si="52"/>
        <v>1.1665501403488605</v>
      </c>
      <c r="S690">
        <f t="shared" si="53"/>
        <v>-5.6550140348860412E-2</v>
      </c>
      <c r="T690">
        <f t="shared" si="54"/>
        <v>3.1979183734758103E-3</v>
      </c>
    </row>
    <row r="691" spans="1:20" hidden="1" x14ac:dyDescent="0.25">
      <c r="A691" t="str">
        <f t="shared" si="51"/>
        <v>BAR</v>
      </c>
      <c r="B691" t="s">
        <v>697</v>
      </c>
      <c r="C691">
        <v>1.856259339</v>
      </c>
      <c r="D691">
        <v>5.7347975000000002E-2</v>
      </c>
      <c r="E691">
        <v>0.69319982499999999</v>
      </c>
      <c r="F691">
        <v>0.39656588300000001</v>
      </c>
      <c r="G691">
        <v>0.75221096399999998</v>
      </c>
      <c r="H691">
        <v>1.21</v>
      </c>
      <c r="I691">
        <v>1.16046920786703</v>
      </c>
      <c r="J691">
        <v>1.1223229283315399</v>
      </c>
      <c r="K691">
        <v>1.3891581763499801</v>
      </c>
      <c r="L691">
        <v>1.3612267551127599</v>
      </c>
      <c r="M691">
        <v>1.1413960680992901</v>
      </c>
      <c r="N691">
        <v>1.14123669745234</v>
      </c>
      <c r="Q691">
        <f t="shared" si="50"/>
        <v>1.21</v>
      </c>
      <c r="R691">
        <f t="shared" si="52"/>
        <v>1.026286894395847</v>
      </c>
      <c r="S691">
        <f t="shared" si="53"/>
        <v>0.18371310560415299</v>
      </c>
      <c r="T691">
        <f t="shared" si="54"/>
        <v>3.3750505170722672E-2</v>
      </c>
    </row>
    <row r="692" spans="1:20" hidden="1" x14ac:dyDescent="0.25">
      <c r="A692" t="str">
        <f t="shared" si="51"/>
        <v>BAR</v>
      </c>
      <c r="B692" t="s">
        <v>698</v>
      </c>
      <c r="C692">
        <v>1.6964137509999999</v>
      </c>
      <c r="D692">
        <v>5.7404926000000002E-2</v>
      </c>
      <c r="E692">
        <v>0.67813495999999995</v>
      </c>
      <c r="F692">
        <v>0.36489775200000002</v>
      </c>
      <c r="G692">
        <v>0.75037476000000003</v>
      </c>
      <c r="H692">
        <v>1.02</v>
      </c>
      <c r="I692">
        <v>1.2263160866253799</v>
      </c>
      <c r="J692">
        <v>1.15220569112894</v>
      </c>
      <c r="K692">
        <v>1.48231563123151</v>
      </c>
      <c r="L692">
        <v>1.3867918349778099</v>
      </c>
      <c r="M692">
        <v>1.1892608888771601</v>
      </c>
      <c r="N692">
        <v>1.188683462547</v>
      </c>
      <c r="Q692">
        <f t="shared" si="50"/>
        <v>1.02</v>
      </c>
      <c r="R692">
        <f t="shared" si="52"/>
        <v>1.0704289769863107</v>
      </c>
      <c r="S692">
        <f t="shared" si="53"/>
        <v>-5.0428976986310659E-2</v>
      </c>
      <c r="T692">
        <f t="shared" si="54"/>
        <v>2.5430817198858501E-3</v>
      </c>
    </row>
    <row r="693" spans="1:20" hidden="1" x14ac:dyDescent="0.25">
      <c r="A693" t="str">
        <f t="shared" si="51"/>
        <v>BAR</v>
      </c>
      <c r="B693" t="s">
        <v>699</v>
      </c>
      <c r="C693">
        <v>1.5993279030000001</v>
      </c>
      <c r="D693">
        <v>5.9635705999999997E-2</v>
      </c>
      <c r="E693">
        <v>0.66574768200000001</v>
      </c>
      <c r="F693">
        <v>0.31794382900000001</v>
      </c>
      <c r="G693">
        <v>0.71342583000000004</v>
      </c>
      <c r="H693">
        <v>0.98</v>
      </c>
      <c r="I693">
        <v>1.1293543610499699</v>
      </c>
      <c r="J693">
        <v>1.11323926274727</v>
      </c>
      <c r="K693">
        <v>1.30635684764393</v>
      </c>
      <c r="L693">
        <v>1.1460799117345399</v>
      </c>
      <c r="M693">
        <v>1.12129681189862</v>
      </c>
      <c r="N693">
        <v>1.1212678610732001</v>
      </c>
      <c r="Q693">
        <f t="shared" si="50"/>
        <v>0.98</v>
      </c>
      <c r="R693">
        <f t="shared" si="52"/>
        <v>1.0232149051102288</v>
      </c>
      <c r="S693">
        <f t="shared" si="53"/>
        <v>-4.3214905110228852E-2</v>
      </c>
      <c r="T693">
        <f t="shared" si="54"/>
        <v>1.8675280236860837E-3</v>
      </c>
    </row>
    <row r="694" spans="1:20" hidden="1" x14ac:dyDescent="0.25">
      <c r="A694" t="str">
        <f t="shared" si="51"/>
        <v>BAR</v>
      </c>
      <c r="B694" t="s">
        <v>700</v>
      </c>
      <c r="C694">
        <v>1.7019597470000001</v>
      </c>
      <c r="D694">
        <v>5.1936885000000002E-2</v>
      </c>
      <c r="E694">
        <v>0.67622559699999996</v>
      </c>
      <c r="F694">
        <v>0.35263965600000002</v>
      </c>
      <c r="G694">
        <v>0.75940063199999996</v>
      </c>
      <c r="H694">
        <v>0.91</v>
      </c>
      <c r="I694">
        <v>1.0978514435676501</v>
      </c>
      <c r="J694">
        <v>0.98440800017275698</v>
      </c>
      <c r="K694">
        <v>1.3709763520471601</v>
      </c>
      <c r="L694">
        <v>1.25246026564291</v>
      </c>
      <c r="M694">
        <v>1.0411297218702</v>
      </c>
      <c r="N694">
        <v>1.0395834473716901</v>
      </c>
      <c r="Q694">
        <f t="shared" si="50"/>
        <v>0.91</v>
      </c>
      <c r="R694">
        <f t="shared" si="52"/>
        <v>0.89288183279381306</v>
      </c>
      <c r="S694">
        <f t="shared" si="53"/>
        <v>1.7118167206186974E-2</v>
      </c>
      <c r="T694">
        <f t="shared" si="54"/>
        <v>2.9303164849897514E-4</v>
      </c>
    </row>
    <row r="695" spans="1:20" hidden="1" x14ac:dyDescent="0.25">
      <c r="A695" t="str">
        <f t="shared" si="51"/>
        <v>BAR</v>
      </c>
      <c r="B695" t="s">
        <v>701</v>
      </c>
      <c r="C695">
        <v>1.691587934</v>
      </c>
      <c r="D695">
        <v>6.4657179999999995E-2</v>
      </c>
      <c r="E695">
        <v>0.70160591500000002</v>
      </c>
      <c r="F695">
        <v>0.34453908300000002</v>
      </c>
      <c r="G695">
        <v>0.78404739300000004</v>
      </c>
      <c r="H695">
        <v>1.42</v>
      </c>
      <c r="I695">
        <v>1.28258941849798</v>
      </c>
      <c r="J695">
        <v>1.2730927069662099</v>
      </c>
      <c r="K695">
        <v>1.3260933974806399</v>
      </c>
      <c r="L695">
        <v>1.2243065106773701</v>
      </c>
      <c r="M695">
        <v>1.27784106273209</v>
      </c>
      <c r="N695">
        <v>1.2778322404454401</v>
      </c>
      <c r="Q695">
        <f t="shared" si="50"/>
        <v>1.42</v>
      </c>
      <c r="R695">
        <f t="shared" si="52"/>
        <v>1.1809847298148441</v>
      </c>
      <c r="S695">
        <f t="shared" si="53"/>
        <v>0.23901527018515578</v>
      </c>
      <c r="T695">
        <f t="shared" si="54"/>
        <v>5.7128299381683019E-2</v>
      </c>
    </row>
    <row r="696" spans="1:20" hidden="1" x14ac:dyDescent="0.25">
      <c r="A696" t="str">
        <f t="shared" si="51"/>
        <v>BAR</v>
      </c>
      <c r="B696" t="s">
        <v>702</v>
      </c>
      <c r="C696">
        <v>1.776179264</v>
      </c>
      <c r="D696">
        <v>6.3580555999999996E-2</v>
      </c>
      <c r="E696">
        <v>0.68860942199999997</v>
      </c>
      <c r="F696">
        <v>0.39528859599999999</v>
      </c>
      <c r="G696">
        <v>0.75738526299999998</v>
      </c>
      <c r="H696">
        <v>1.21</v>
      </c>
      <c r="I696">
        <v>1.3534755444600499</v>
      </c>
      <c r="J696">
        <v>1.33480714698752</v>
      </c>
      <c r="K696">
        <v>1.5465653235427399</v>
      </c>
      <c r="L696">
        <v>1.50322970564153</v>
      </c>
      <c r="M696">
        <v>1.3441413457237901</v>
      </c>
      <c r="N696">
        <v>1.34410893532411</v>
      </c>
      <c r="Q696">
        <f t="shared" si="50"/>
        <v>1.21</v>
      </c>
      <c r="R696">
        <f t="shared" si="52"/>
        <v>1.2553283160765352</v>
      </c>
      <c r="S696">
        <f t="shared" si="53"/>
        <v>-4.5328316076535202E-2</v>
      </c>
      <c r="T696">
        <f t="shared" si="54"/>
        <v>2.0546562383342796E-3</v>
      </c>
    </row>
    <row r="697" spans="1:20" hidden="1" x14ac:dyDescent="0.25">
      <c r="A697" t="str">
        <f t="shared" si="51"/>
        <v>BAR</v>
      </c>
      <c r="B697" t="s">
        <v>703</v>
      </c>
      <c r="C697">
        <v>1.7837995959999999</v>
      </c>
      <c r="D697">
        <v>6.4606027999999996E-2</v>
      </c>
      <c r="E697">
        <v>0.70029694899999995</v>
      </c>
      <c r="F697">
        <v>0.39021329199999999</v>
      </c>
      <c r="G697">
        <v>0.75984828699999996</v>
      </c>
      <c r="H697">
        <v>1.47</v>
      </c>
      <c r="I697">
        <v>1.3288659459319601</v>
      </c>
      <c r="J697">
        <v>1.3459315151759901</v>
      </c>
      <c r="K697">
        <v>1.49666709189397</v>
      </c>
      <c r="L697">
        <v>1.44648316465593</v>
      </c>
      <c r="M697">
        <v>1.3373987305539701</v>
      </c>
      <c r="N697">
        <v>1.3373715101175101</v>
      </c>
      <c r="Q697">
        <f t="shared" si="50"/>
        <v>1.47</v>
      </c>
      <c r="R697">
        <f t="shared" si="52"/>
        <v>1.262092700495038</v>
      </c>
      <c r="S697">
        <f t="shared" si="53"/>
        <v>0.20790729950496201</v>
      </c>
      <c r="T697">
        <f t="shared" si="54"/>
        <v>4.3225445187445977E-2</v>
      </c>
    </row>
    <row r="698" spans="1:20" hidden="1" x14ac:dyDescent="0.25">
      <c r="A698" t="str">
        <f t="shared" si="51"/>
        <v>BAR</v>
      </c>
      <c r="B698" t="s">
        <v>704</v>
      </c>
      <c r="C698">
        <v>1.593308527</v>
      </c>
      <c r="D698">
        <v>6.3021567000000001E-2</v>
      </c>
      <c r="E698">
        <v>0.66401907199999999</v>
      </c>
      <c r="F698">
        <v>0.304713391</v>
      </c>
      <c r="G698">
        <v>0.68784473400000001</v>
      </c>
      <c r="H698">
        <v>1.22</v>
      </c>
      <c r="I698">
        <v>1.07930190993404</v>
      </c>
      <c r="J698">
        <v>1.1451634722822801</v>
      </c>
      <c r="K698">
        <v>0.98126021196236601</v>
      </c>
      <c r="L698">
        <v>1.11792067689616</v>
      </c>
      <c r="M698">
        <v>1.1122326911081599</v>
      </c>
      <c r="N698">
        <v>1.1117450799625599</v>
      </c>
      <c r="Q698">
        <f t="shared" si="50"/>
        <v>1.22</v>
      </c>
      <c r="R698">
        <f t="shared" si="52"/>
        <v>1.0483297737963038</v>
      </c>
      <c r="S698">
        <f t="shared" si="53"/>
        <v>0.17167022620369621</v>
      </c>
      <c r="T698">
        <f t="shared" si="54"/>
        <v>2.9470666564828225E-2</v>
      </c>
    </row>
    <row r="699" spans="1:20" hidden="1" x14ac:dyDescent="0.25">
      <c r="A699" t="str">
        <f t="shared" si="51"/>
        <v>BAR</v>
      </c>
      <c r="B699" t="s">
        <v>705</v>
      </c>
      <c r="C699">
        <v>1.649313598</v>
      </c>
      <c r="D699">
        <v>6.1192120000000003E-2</v>
      </c>
      <c r="E699">
        <v>0.70716161799999999</v>
      </c>
      <c r="F699">
        <v>0.361846795</v>
      </c>
      <c r="G699">
        <v>0.78140208200000005</v>
      </c>
      <c r="H699">
        <v>1.39</v>
      </c>
      <c r="I699">
        <v>1.3365032567345501</v>
      </c>
      <c r="J699">
        <v>1.30289748062668</v>
      </c>
      <c r="K699">
        <v>1.53189927078401</v>
      </c>
      <c r="L699">
        <v>1.4259699685638301</v>
      </c>
      <c r="M699">
        <v>1.3197003686806199</v>
      </c>
      <c r="N699">
        <v>1.3195933942123299</v>
      </c>
      <c r="Q699">
        <f t="shared" si="50"/>
        <v>1.39</v>
      </c>
      <c r="R699">
        <f t="shared" si="52"/>
        <v>1.2306433417121423</v>
      </c>
      <c r="S699">
        <f t="shared" si="53"/>
        <v>0.15935665828785761</v>
      </c>
      <c r="T699">
        <f t="shared" si="54"/>
        <v>2.5394544540673018E-2</v>
      </c>
    </row>
    <row r="700" spans="1:20" hidden="1" x14ac:dyDescent="0.25">
      <c r="A700" t="str">
        <f t="shared" si="51"/>
        <v>BAR</v>
      </c>
      <c r="B700" t="s">
        <v>706</v>
      </c>
      <c r="C700">
        <v>1.4700467820000001</v>
      </c>
      <c r="D700">
        <v>5.9279796000000003E-2</v>
      </c>
      <c r="E700">
        <v>0.68478220000000001</v>
      </c>
      <c r="F700">
        <v>0.30700161500000001</v>
      </c>
      <c r="G700">
        <v>0.74810332800000001</v>
      </c>
      <c r="H700">
        <v>1.25</v>
      </c>
      <c r="I700">
        <v>1.26661917470913</v>
      </c>
      <c r="J700">
        <v>1.2139419391577799</v>
      </c>
      <c r="K700">
        <v>1.32297568590267</v>
      </c>
      <c r="L700">
        <v>1.3393923279239299</v>
      </c>
      <c r="M700">
        <v>1.2402805569334601</v>
      </c>
      <c r="N700">
        <v>1.24000086174197</v>
      </c>
      <c r="Q700">
        <f t="shared" si="50"/>
        <v>1.25</v>
      </c>
      <c r="R700">
        <f t="shared" si="52"/>
        <v>1.1454574864374807</v>
      </c>
      <c r="S700">
        <f t="shared" si="53"/>
        <v>0.10454251356251931</v>
      </c>
      <c r="T700">
        <f t="shared" si="54"/>
        <v>1.0929137141969534E-2</v>
      </c>
    </row>
    <row r="701" spans="1:20" hidden="1" x14ac:dyDescent="0.25">
      <c r="A701" t="str">
        <f t="shared" si="51"/>
        <v>BAR</v>
      </c>
      <c r="B701" t="s">
        <v>707</v>
      </c>
      <c r="C701">
        <v>1.739813523</v>
      </c>
      <c r="D701">
        <v>6.5292355999999996E-2</v>
      </c>
      <c r="E701">
        <v>0.69106705899999998</v>
      </c>
      <c r="F701">
        <v>0.39079935399999999</v>
      </c>
      <c r="G701">
        <v>0.76283564699999995</v>
      </c>
      <c r="H701">
        <v>1.24</v>
      </c>
      <c r="I701">
        <v>1.40892454112716</v>
      </c>
      <c r="J701">
        <v>1.3983100709463601</v>
      </c>
      <c r="K701">
        <v>1.5859966456547401</v>
      </c>
      <c r="L701">
        <v>1.53288852489828</v>
      </c>
      <c r="M701">
        <v>1.40361730603676</v>
      </c>
      <c r="N701">
        <v>1.40360727237414</v>
      </c>
      <c r="Q701">
        <f t="shared" si="50"/>
        <v>1.24</v>
      </c>
      <c r="R701">
        <f t="shared" si="52"/>
        <v>1.3238495000646253</v>
      </c>
      <c r="S701">
        <f t="shared" si="53"/>
        <v>-8.3849500064625326E-2</v>
      </c>
      <c r="T701">
        <f t="shared" si="54"/>
        <v>7.030738661087603E-3</v>
      </c>
    </row>
    <row r="702" spans="1:20" hidden="1" x14ac:dyDescent="0.25">
      <c r="A702" t="str">
        <f t="shared" si="51"/>
        <v>BAR</v>
      </c>
      <c r="B702" t="s">
        <v>708</v>
      </c>
      <c r="C702">
        <v>1.708981707</v>
      </c>
      <c r="D702">
        <v>6.0995599999999997E-2</v>
      </c>
      <c r="E702">
        <v>0.70580051499999996</v>
      </c>
      <c r="F702">
        <v>0.32348853300000002</v>
      </c>
      <c r="G702">
        <v>0.80108870899999995</v>
      </c>
      <c r="H702">
        <v>1.32</v>
      </c>
      <c r="I702">
        <v>1.1540740071225299</v>
      </c>
      <c r="J702">
        <v>1.09636328736387</v>
      </c>
      <c r="K702">
        <v>1.0869696568859799</v>
      </c>
      <c r="L702">
        <v>0.988564274938876</v>
      </c>
      <c r="M702">
        <v>1.1252186472432</v>
      </c>
      <c r="N702">
        <v>1.12484859972801</v>
      </c>
      <c r="Q702">
        <f t="shared" si="50"/>
        <v>1.32</v>
      </c>
      <c r="R702">
        <f t="shared" si="52"/>
        <v>0.98775311255968967</v>
      </c>
      <c r="S702">
        <f t="shared" si="53"/>
        <v>0.33224688744031039</v>
      </c>
      <c r="T702">
        <f t="shared" si="54"/>
        <v>0.11038799421377428</v>
      </c>
    </row>
    <row r="703" spans="1:20" hidden="1" x14ac:dyDescent="0.25">
      <c r="A703" t="str">
        <f t="shared" si="51"/>
        <v>BAR</v>
      </c>
      <c r="B703" t="s">
        <v>709</v>
      </c>
      <c r="C703">
        <v>1.6423087860000001</v>
      </c>
      <c r="D703">
        <v>6.0638045000000002E-2</v>
      </c>
      <c r="E703">
        <v>0.67841684800000002</v>
      </c>
      <c r="F703">
        <v>0.36437430100000001</v>
      </c>
      <c r="G703">
        <v>0.75219021500000005</v>
      </c>
      <c r="H703">
        <v>1.41</v>
      </c>
      <c r="I703">
        <v>1.3400598358663101</v>
      </c>
      <c r="J703">
        <v>1.2763043293944201</v>
      </c>
      <c r="K703">
        <v>1.5618485680645899</v>
      </c>
      <c r="L703">
        <v>1.44851735447422</v>
      </c>
      <c r="M703">
        <v>1.3081820826303601</v>
      </c>
      <c r="N703">
        <v>1.3077936267484001</v>
      </c>
      <c r="Q703">
        <f t="shared" si="50"/>
        <v>1.41</v>
      </c>
      <c r="R703">
        <f t="shared" si="52"/>
        <v>1.206077233440856</v>
      </c>
      <c r="S703">
        <f t="shared" si="53"/>
        <v>0.20392276655914388</v>
      </c>
      <c r="T703">
        <f t="shared" si="54"/>
        <v>4.1584494721135089E-2</v>
      </c>
    </row>
    <row r="704" spans="1:20" hidden="1" x14ac:dyDescent="0.25">
      <c r="A704" t="str">
        <f t="shared" si="51"/>
        <v>BAR</v>
      </c>
      <c r="B704" t="s">
        <v>710</v>
      </c>
      <c r="C704">
        <v>1.416896784</v>
      </c>
      <c r="D704">
        <v>6.055613E-2</v>
      </c>
      <c r="E704">
        <v>0.66593931699999998</v>
      </c>
      <c r="F704">
        <v>0.323141701</v>
      </c>
      <c r="G704">
        <v>0.74432066299999999</v>
      </c>
      <c r="H704">
        <v>1.1499999999999999</v>
      </c>
      <c r="I704">
        <v>1.43200060847706</v>
      </c>
      <c r="J704">
        <v>1.33540816773144</v>
      </c>
      <c r="K704">
        <v>1.7088302764360099</v>
      </c>
      <c r="L704">
        <v>1.52959524348309</v>
      </c>
      <c r="M704">
        <v>1.3837043881042499</v>
      </c>
      <c r="N704">
        <v>1.38286127603482</v>
      </c>
      <c r="Q704">
        <f t="shared" si="50"/>
        <v>1.1499999999999999</v>
      </c>
      <c r="R704">
        <f t="shared" si="52"/>
        <v>1.2876392982309564</v>
      </c>
      <c r="S704">
        <f t="shared" si="53"/>
        <v>-0.13763929823095644</v>
      </c>
      <c r="T704">
        <f t="shared" si="54"/>
        <v>1.894457641751017E-2</v>
      </c>
    </row>
    <row r="705" spans="1:20" hidden="1" x14ac:dyDescent="0.25">
      <c r="A705" t="str">
        <f t="shared" si="51"/>
        <v>BAR</v>
      </c>
      <c r="B705" t="s">
        <v>711</v>
      </c>
      <c r="C705">
        <v>1.6340766790000001</v>
      </c>
      <c r="D705">
        <v>6.3160606999999994E-2</v>
      </c>
      <c r="E705">
        <v>0.65965959600000001</v>
      </c>
      <c r="F705">
        <v>0.34913325899999997</v>
      </c>
      <c r="G705">
        <v>0.72879935399999995</v>
      </c>
      <c r="H705">
        <v>1.31</v>
      </c>
      <c r="I705">
        <v>1.3098485847471899</v>
      </c>
      <c r="J705">
        <v>1.26598724297062</v>
      </c>
      <c r="K705">
        <v>1.5372643521506399</v>
      </c>
      <c r="L705">
        <v>1.4263626492732899</v>
      </c>
      <c r="M705">
        <v>1.2879179138589101</v>
      </c>
      <c r="N705">
        <v>1.28773118255056</v>
      </c>
      <c r="Q705">
        <f t="shared" ref="Q705:Q768" si="55">H705</f>
        <v>1.31</v>
      </c>
      <c r="R705">
        <f t="shared" si="52"/>
        <v>1.1875376330118965</v>
      </c>
      <c r="S705">
        <f t="shared" si="53"/>
        <v>0.12246236698810353</v>
      </c>
      <c r="T705">
        <f t="shared" si="54"/>
        <v>1.499703132832895E-2</v>
      </c>
    </row>
    <row r="706" spans="1:20" hidden="1" x14ac:dyDescent="0.25">
      <c r="A706" t="str">
        <f t="shared" si="51"/>
        <v>BAR</v>
      </c>
      <c r="B706" t="s">
        <v>712</v>
      </c>
      <c r="C706">
        <v>1.7794601699999999</v>
      </c>
      <c r="D706">
        <v>6.2663962000000004E-2</v>
      </c>
      <c r="E706">
        <v>0.65548748499999998</v>
      </c>
      <c r="F706">
        <v>0.320461834</v>
      </c>
      <c r="G706">
        <v>0.72092916600000001</v>
      </c>
      <c r="H706">
        <v>1.04</v>
      </c>
      <c r="I706">
        <v>0.96868904615617901</v>
      </c>
      <c r="J706">
        <v>0.99942251258734505</v>
      </c>
      <c r="K706">
        <v>1.03968897072037</v>
      </c>
      <c r="L706">
        <v>0.94431114327413301</v>
      </c>
      <c r="M706">
        <v>0.98405577937176203</v>
      </c>
      <c r="N706">
        <v>0.983935790804079</v>
      </c>
      <c r="Q706">
        <f t="shared" si="55"/>
        <v>1.04</v>
      </c>
      <c r="R706">
        <f t="shared" si="52"/>
        <v>0.87215591302239925</v>
      </c>
      <c r="S706">
        <f t="shared" si="53"/>
        <v>0.16784408697760078</v>
      </c>
      <c r="T706">
        <f t="shared" si="54"/>
        <v>2.8171637533344417E-2</v>
      </c>
    </row>
    <row r="707" spans="1:20" hidden="1" x14ac:dyDescent="0.25">
      <c r="A707" t="str">
        <f t="shared" ref="A707:A770" si="56">LEFT(B707,3)</f>
        <v>BAR</v>
      </c>
      <c r="B707" t="s">
        <v>713</v>
      </c>
      <c r="C707">
        <v>1.613933085</v>
      </c>
      <c r="D707">
        <v>6.7617640000000007E-2</v>
      </c>
      <c r="E707">
        <v>0.70270606199999996</v>
      </c>
      <c r="F707">
        <v>0.31579807700000001</v>
      </c>
      <c r="G707">
        <v>0.754984612</v>
      </c>
      <c r="H707">
        <v>1.21</v>
      </c>
      <c r="I707">
        <v>1.2423444216806101</v>
      </c>
      <c r="J707">
        <v>1.31944893834063</v>
      </c>
      <c r="K707">
        <v>1.2736986648261099</v>
      </c>
      <c r="L707">
        <v>1.164715125541</v>
      </c>
      <c r="M707">
        <v>1.2808966800106201</v>
      </c>
      <c r="N707">
        <v>1.2803163781815401</v>
      </c>
      <c r="Q707">
        <f t="shared" si="55"/>
        <v>1.21</v>
      </c>
      <c r="R707">
        <f t="shared" ref="R707:R770" si="57">$X$2*F707+$X$3*D707*E707+($X$4/(D707-$X$5))-$X$6*C707</f>
        <v>1.2260324189534773</v>
      </c>
      <c r="S707">
        <f t="shared" ref="S707:S770" si="58">Q707-R707</f>
        <v>-1.603241895347729E-2</v>
      </c>
      <c r="T707">
        <f t="shared" ref="T707:T770" si="59">S707^2</f>
        <v>2.5703845749981783E-4</v>
      </c>
    </row>
    <row r="708" spans="1:20" hidden="1" x14ac:dyDescent="0.25">
      <c r="A708" t="str">
        <f t="shared" si="56"/>
        <v>BAR</v>
      </c>
      <c r="B708" t="s">
        <v>714</v>
      </c>
      <c r="C708">
        <v>1.8659074229999999</v>
      </c>
      <c r="D708">
        <v>6.1149250000000002E-2</v>
      </c>
      <c r="E708">
        <v>0.70590225100000004</v>
      </c>
      <c r="F708">
        <v>0.51790888800000001</v>
      </c>
      <c r="G708">
        <v>0.77724532199999996</v>
      </c>
      <c r="H708">
        <v>1.82</v>
      </c>
      <c r="I708">
        <v>1.72126666822747</v>
      </c>
      <c r="J708">
        <v>1.65713705488966</v>
      </c>
      <c r="K708">
        <v>2.0028865474189201</v>
      </c>
      <c r="L708">
        <v>2.0392319027315202</v>
      </c>
      <c r="M708">
        <v>1.68920186155857</v>
      </c>
      <c r="N708">
        <v>1.6888975034815501</v>
      </c>
      <c r="Q708">
        <f t="shared" si="55"/>
        <v>1.82</v>
      </c>
      <c r="R708">
        <f t="shared" si="57"/>
        <v>1.6343020570842626</v>
      </c>
      <c r="S708">
        <f t="shared" si="58"/>
        <v>0.18569794291573749</v>
      </c>
      <c r="T708">
        <f t="shared" si="59"/>
        <v>3.4483726003136497E-2</v>
      </c>
    </row>
    <row r="709" spans="1:20" hidden="1" x14ac:dyDescent="0.25">
      <c r="A709" t="str">
        <f t="shared" si="56"/>
        <v>BAR</v>
      </c>
      <c r="B709" t="s">
        <v>715</v>
      </c>
      <c r="C709">
        <v>1.655794816</v>
      </c>
      <c r="D709">
        <v>6.1263836000000002E-2</v>
      </c>
      <c r="E709">
        <v>0.69186570800000002</v>
      </c>
      <c r="F709">
        <v>0.42378855799999998</v>
      </c>
      <c r="G709">
        <v>0.75415420099999997</v>
      </c>
      <c r="H709">
        <v>1.1100000000000001</v>
      </c>
      <c r="I709">
        <v>1.5953586989553501</v>
      </c>
      <c r="J709">
        <v>1.5094141918708299</v>
      </c>
      <c r="K709">
        <v>1.9061423004850799</v>
      </c>
      <c r="L709">
        <v>1.8787989404891701</v>
      </c>
      <c r="M709">
        <v>1.55238644541309</v>
      </c>
      <c r="N709">
        <v>1.55179156503951</v>
      </c>
      <c r="Q709">
        <f t="shared" si="55"/>
        <v>1.1100000000000001</v>
      </c>
      <c r="R709">
        <f t="shared" si="57"/>
        <v>1.4732602470875613</v>
      </c>
      <c r="S709">
        <f t="shared" si="58"/>
        <v>-0.36326024708756122</v>
      </c>
      <c r="T709">
        <f t="shared" si="59"/>
        <v>0.13195800711411604</v>
      </c>
    </row>
    <row r="710" spans="1:20" hidden="1" x14ac:dyDescent="0.25">
      <c r="A710" t="str">
        <f t="shared" si="56"/>
        <v>BAR</v>
      </c>
      <c r="B710" t="s">
        <v>716</v>
      </c>
      <c r="C710">
        <v>1.2943816420000001</v>
      </c>
      <c r="D710">
        <v>6.4666266999999999E-2</v>
      </c>
      <c r="E710">
        <v>0.68743677700000005</v>
      </c>
      <c r="F710">
        <v>0.30224880700000001</v>
      </c>
      <c r="G710">
        <v>0.73177090099999997</v>
      </c>
      <c r="H710">
        <v>1</v>
      </c>
      <c r="I710">
        <v>1.53308753259442</v>
      </c>
      <c r="J710">
        <v>1.4994043653309901</v>
      </c>
      <c r="K710">
        <v>1.0305438980563499</v>
      </c>
      <c r="L710">
        <v>1.5619735448205601</v>
      </c>
      <c r="M710">
        <v>1.5162459489627</v>
      </c>
      <c r="N710">
        <v>1.5161524127892201</v>
      </c>
      <c r="Q710">
        <f t="shared" si="55"/>
        <v>1</v>
      </c>
      <c r="R710">
        <f t="shared" si="57"/>
        <v>1.4657495076080951</v>
      </c>
      <c r="S710">
        <f t="shared" si="58"/>
        <v>-0.46574950760809508</v>
      </c>
      <c r="T710">
        <f t="shared" si="59"/>
        <v>0.21692260383718301</v>
      </c>
    </row>
    <row r="711" spans="1:20" hidden="1" x14ac:dyDescent="0.25">
      <c r="A711" t="str">
        <f t="shared" si="56"/>
        <v>BAR</v>
      </c>
      <c r="B711" t="s">
        <v>717</v>
      </c>
      <c r="C711">
        <v>1.844889193</v>
      </c>
      <c r="D711">
        <v>6.2304026999999998E-2</v>
      </c>
      <c r="E711">
        <v>0.66597840399999997</v>
      </c>
      <c r="F711">
        <v>0.30926937999999998</v>
      </c>
      <c r="G711">
        <v>0.710704856</v>
      </c>
      <c r="H711">
        <v>1.23</v>
      </c>
      <c r="I711">
        <v>0.78795990944485605</v>
      </c>
      <c r="J711">
        <v>0.89598551071014898</v>
      </c>
      <c r="K711">
        <v>0.736655183581162</v>
      </c>
      <c r="L711">
        <v>0.74642196585382203</v>
      </c>
      <c r="M711">
        <v>0.84197271007750196</v>
      </c>
      <c r="N711">
        <v>0.84023845537030195</v>
      </c>
      <c r="Q711">
        <f t="shared" si="55"/>
        <v>1.23</v>
      </c>
      <c r="R711">
        <f t="shared" si="57"/>
        <v>0.74823584350154659</v>
      </c>
      <c r="S711">
        <f t="shared" si="58"/>
        <v>0.48176415649845339</v>
      </c>
      <c r="T711">
        <f t="shared" si="59"/>
        <v>0.23209670248666628</v>
      </c>
    </row>
    <row r="712" spans="1:20" hidden="1" x14ac:dyDescent="0.25">
      <c r="A712" t="str">
        <f t="shared" si="56"/>
        <v>BAR</v>
      </c>
      <c r="B712" t="s">
        <v>718</v>
      </c>
      <c r="C712">
        <v>1.9002897139999999</v>
      </c>
      <c r="D712">
        <v>5.9634923999999999E-2</v>
      </c>
      <c r="E712">
        <v>0.69976731299999995</v>
      </c>
      <c r="F712">
        <v>0.43654118400000003</v>
      </c>
      <c r="G712">
        <v>0.759928198</v>
      </c>
      <c r="H712">
        <v>1.1499999999999999</v>
      </c>
      <c r="I712">
        <v>1.31536821185005</v>
      </c>
      <c r="J712">
        <v>1.2828026910443999</v>
      </c>
      <c r="K712">
        <v>1.5191436480423399</v>
      </c>
      <c r="L712">
        <v>1.52133624012105</v>
      </c>
      <c r="M712">
        <v>1.2990854514472301</v>
      </c>
      <c r="N712">
        <v>1.2989834032332801</v>
      </c>
      <c r="Q712">
        <f t="shared" si="55"/>
        <v>1.1499999999999999</v>
      </c>
      <c r="R712">
        <f t="shared" si="57"/>
        <v>1.2023629648935619</v>
      </c>
      <c r="S712">
        <f t="shared" si="58"/>
        <v>-5.2362964893561958E-2</v>
      </c>
      <c r="T712">
        <f t="shared" si="59"/>
        <v>2.7418800924444023E-3</v>
      </c>
    </row>
    <row r="713" spans="1:20" hidden="1" x14ac:dyDescent="0.25">
      <c r="A713" t="str">
        <f t="shared" si="56"/>
        <v>BAR</v>
      </c>
      <c r="B713" t="s">
        <v>719</v>
      </c>
      <c r="C713">
        <v>1.4793747310000001</v>
      </c>
      <c r="D713">
        <v>6.3037530999999994E-2</v>
      </c>
      <c r="E713">
        <v>0.67270526500000005</v>
      </c>
      <c r="F713">
        <v>0.32232649600000002</v>
      </c>
      <c r="G713">
        <v>0.71484070399999999</v>
      </c>
      <c r="H713">
        <v>1.49</v>
      </c>
      <c r="I713">
        <v>1.35633982451479</v>
      </c>
      <c r="J713">
        <v>1.3335917494623599</v>
      </c>
      <c r="K713">
        <v>1.56441979243846</v>
      </c>
      <c r="L713">
        <v>1.3872343394522599</v>
      </c>
      <c r="M713">
        <v>1.3449657869885701</v>
      </c>
      <c r="N713">
        <v>1.34491769244075</v>
      </c>
      <c r="Q713">
        <f t="shared" si="55"/>
        <v>1.49</v>
      </c>
      <c r="R713">
        <f t="shared" si="57"/>
        <v>1.2722374355713502</v>
      </c>
      <c r="S713">
        <f t="shared" si="58"/>
        <v>0.21776256442864983</v>
      </c>
      <c r="T713">
        <f t="shared" si="59"/>
        <v>4.7420534466541868E-2</v>
      </c>
    </row>
    <row r="714" spans="1:20" hidden="1" x14ac:dyDescent="0.25">
      <c r="A714" t="str">
        <f t="shared" si="56"/>
        <v>BAR</v>
      </c>
      <c r="B714" t="s">
        <v>720</v>
      </c>
      <c r="C714">
        <v>1.4004932189999999</v>
      </c>
      <c r="D714">
        <v>6.1223298000000002E-2</v>
      </c>
      <c r="E714">
        <v>0.69782664000000005</v>
      </c>
      <c r="F714">
        <v>0.31488222599999999</v>
      </c>
      <c r="G714">
        <v>0.77623123199999999</v>
      </c>
      <c r="H714">
        <v>1.1499999999999999</v>
      </c>
      <c r="I714">
        <v>1.4454464053470999</v>
      </c>
      <c r="J714">
        <v>1.37010515936438</v>
      </c>
      <c r="K714">
        <v>1.6290653654588401</v>
      </c>
      <c r="L714">
        <v>1.48587536131916</v>
      </c>
      <c r="M714">
        <v>1.40777578235574</v>
      </c>
      <c r="N714">
        <v>1.4072716786572399</v>
      </c>
      <c r="Q714">
        <f t="shared" si="55"/>
        <v>1.1499999999999999</v>
      </c>
      <c r="R714">
        <f t="shared" si="57"/>
        <v>1.3219067867627285</v>
      </c>
      <c r="S714">
        <f t="shared" si="58"/>
        <v>-0.17190678676272864</v>
      </c>
      <c r="T714">
        <f t="shared" si="59"/>
        <v>2.9551943335086255E-2</v>
      </c>
    </row>
    <row r="715" spans="1:20" hidden="1" x14ac:dyDescent="0.25">
      <c r="A715" t="str">
        <f t="shared" si="56"/>
        <v>BAR</v>
      </c>
      <c r="B715" t="s">
        <v>721</v>
      </c>
      <c r="C715">
        <v>1.438935933</v>
      </c>
      <c r="D715">
        <v>7.1190150999999993E-2</v>
      </c>
      <c r="E715">
        <v>0.67670814099999999</v>
      </c>
      <c r="F715">
        <v>0.30594990300000002</v>
      </c>
      <c r="G715">
        <v>0.72839300799999995</v>
      </c>
      <c r="H715">
        <v>1.03</v>
      </c>
      <c r="I715">
        <v>1.4609348353465701</v>
      </c>
      <c r="J715">
        <v>1.5187099622971001</v>
      </c>
      <c r="K715">
        <v>1.3338172802679</v>
      </c>
      <c r="L715">
        <v>1.31889142955147</v>
      </c>
      <c r="M715">
        <v>1.48982239882183</v>
      </c>
      <c r="N715">
        <v>1.48954230846516</v>
      </c>
      <c r="Q715">
        <f t="shared" si="55"/>
        <v>1.03</v>
      </c>
      <c r="R715">
        <f t="shared" si="57"/>
        <v>1.4547589102900507</v>
      </c>
      <c r="S715">
        <f t="shared" si="58"/>
        <v>-0.42475891029005064</v>
      </c>
      <c r="T715">
        <f t="shared" si="59"/>
        <v>0.18042013187079128</v>
      </c>
    </row>
    <row r="716" spans="1:20" hidden="1" x14ac:dyDescent="0.25">
      <c r="A716" t="str">
        <f t="shared" si="56"/>
        <v>BAR</v>
      </c>
      <c r="B716" t="s">
        <v>722</v>
      </c>
      <c r="C716">
        <v>1.6030074860000001</v>
      </c>
      <c r="D716">
        <v>6.2139244000000003E-2</v>
      </c>
      <c r="E716">
        <v>0.70580593599999997</v>
      </c>
      <c r="F716">
        <v>0.32473665800000001</v>
      </c>
      <c r="G716">
        <v>0.77494382500000003</v>
      </c>
      <c r="H716">
        <v>1.39</v>
      </c>
      <c r="I716">
        <v>1.2443151054286601</v>
      </c>
      <c r="J716">
        <v>1.23358516077383</v>
      </c>
      <c r="K716">
        <v>1.4047277247160399</v>
      </c>
      <c r="L716">
        <v>1.27700848960812</v>
      </c>
      <c r="M716">
        <v>1.23895013310124</v>
      </c>
      <c r="N716">
        <v>1.2389385171926499</v>
      </c>
      <c r="Q716">
        <f t="shared" si="55"/>
        <v>1.39</v>
      </c>
      <c r="R716">
        <f t="shared" si="57"/>
        <v>1.1484474877450894</v>
      </c>
      <c r="S716">
        <f t="shared" si="58"/>
        <v>0.24155251225491048</v>
      </c>
      <c r="T716">
        <f t="shared" si="59"/>
        <v>5.8347616176658679E-2</v>
      </c>
    </row>
    <row r="717" spans="1:20" hidden="1" x14ac:dyDescent="0.25">
      <c r="A717" t="str">
        <f t="shared" si="56"/>
        <v>BAR</v>
      </c>
      <c r="B717" t="s">
        <v>723</v>
      </c>
      <c r="C717">
        <v>1.4629701669999999</v>
      </c>
      <c r="D717">
        <v>7.0600787999999998E-2</v>
      </c>
      <c r="E717">
        <v>0.68275259399999999</v>
      </c>
      <c r="F717">
        <v>0.31957046500000003</v>
      </c>
      <c r="G717">
        <v>0.73356107400000004</v>
      </c>
      <c r="H717">
        <v>0.98</v>
      </c>
      <c r="I717">
        <v>1.49138359990307</v>
      </c>
      <c r="J717">
        <v>1.5367423251224901</v>
      </c>
      <c r="K717">
        <v>1.5931443938802901</v>
      </c>
      <c r="L717">
        <v>1.39518793376414</v>
      </c>
      <c r="M717">
        <v>1.5140629625127799</v>
      </c>
      <c r="N717">
        <v>1.5138930942984701</v>
      </c>
      <c r="Q717">
        <f t="shared" si="55"/>
        <v>0.98</v>
      </c>
      <c r="R717">
        <f t="shared" si="57"/>
        <v>1.4764444481122845</v>
      </c>
      <c r="S717">
        <f t="shared" si="58"/>
        <v>-0.4964444481122845</v>
      </c>
      <c r="T717">
        <f t="shared" si="59"/>
        <v>0.24645709006151073</v>
      </c>
    </row>
    <row r="718" spans="1:20" hidden="1" x14ac:dyDescent="0.25">
      <c r="A718" t="str">
        <f t="shared" si="56"/>
        <v>BAR</v>
      </c>
      <c r="B718" t="s">
        <v>724</v>
      </c>
      <c r="C718">
        <v>1.683899255</v>
      </c>
      <c r="D718">
        <v>6.8810132999999996E-2</v>
      </c>
      <c r="E718">
        <v>0.68702719099999998</v>
      </c>
      <c r="F718">
        <v>0.307866315</v>
      </c>
      <c r="G718">
        <v>0.75309976599999995</v>
      </c>
      <c r="H718">
        <v>1.1599999999999999</v>
      </c>
      <c r="I718">
        <v>1.15000822415863</v>
      </c>
      <c r="J718">
        <v>1.2320325281081901</v>
      </c>
      <c r="K718">
        <v>0.95462092533004095</v>
      </c>
      <c r="L718">
        <v>0.93984727007906899</v>
      </c>
      <c r="M718">
        <v>1.1910203761334099</v>
      </c>
      <c r="N718">
        <v>1.1903140508938701</v>
      </c>
      <c r="Q718">
        <f t="shared" si="55"/>
        <v>1.1599999999999999</v>
      </c>
      <c r="R718">
        <f t="shared" si="57"/>
        <v>1.1179544319591379</v>
      </c>
      <c r="S718">
        <f t="shared" si="58"/>
        <v>4.2045568040862014E-2</v>
      </c>
      <c r="T718">
        <f t="shared" si="59"/>
        <v>1.7678297918787571E-3</v>
      </c>
    </row>
    <row r="719" spans="1:20" hidden="1" x14ac:dyDescent="0.25">
      <c r="A719" t="str">
        <f t="shared" si="56"/>
        <v>BAR</v>
      </c>
      <c r="B719" t="s">
        <v>725</v>
      </c>
      <c r="C719">
        <v>1.4937695369999999</v>
      </c>
      <c r="D719">
        <v>6.1458901000000003E-2</v>
      </c>
      <c r="E719">
        <v>0.71062010600000003</v>
      </c>
      <c r="F719">
        <v>0.34024687999999997</v>
      </c>
      <c r="G719">
        <v>0.78296256099999995</v>
      </c>
      <c r="H719">
        <v>1.3</v>
      </c>
      <c r="I719">
        <v>1.44004664578459</v>
      </c>
      <c r="J719">
        <v>1.3889847202999801</v>
      </c>
      <c r="K719">
        <v>1.67683576693228</v>
      </c>
      <c r="L719">
        <v>1.4856652043277101</v>
      </c>
      <c r="M719">
        <v>1.41451568304228</v>
      </c>
      <c r="N719">
        <v>1.4142852567689499</v>
      </c>
      <c r="Q719">
        <f t="shared" si="55"/>
        <v>1.3</v>
      </c>
      <c r="R719">
        <f t="shared" si="57"/>
        <v>1.3368653067723213</v>
      </c>
      <c r="S719">
        <f t="shared" si="58"/>
        <v>-3.6865306772321249E-2</v>
      </c>
      <c r="T719">
        <f t="shared" si="59"/>
        <v>1.3590508434173549E-3</v>
      </c>
    </row>
    <row r="720" spans="1:20" hidden="1" x14ac:dyDescent="0.25">
      <c r="A720" t="str">
        <f t="shared" si="56"/>
        <v>BAR</v>
      </c>
      <c r="B720" t="s">
        <v>726</v>
      </c>
      <c r="C720">
        <v>1.401599671</v>
      </c>
      <c r="D720">
        <v>6.2945379999999995E-2</v>
      </c>
      <c r="E720">
        <v>0.69206272499999999</v>
      </c>
      <c r="F720">
        <v>0.32395483600000002</v>
      </c>
      <c r="G720">
        <v>0.75993286000000004</v>
      </c>
      <c r="H720">
        <v>1.4</v>
      </c>
      <c r="I720">
        <v>1.49427683886151</v>
      </c>
      <c r="J720">
        <v>1.43622228137344</v>
      </c>
      <c r="K720">
        <v>1.7596811691627701</v>
      </c>
      <c r="L720">
        <v>1.5753981129152901</v>
      </c>
      <c r="M720">
        <v>1.46524956011748</v>
      </c>
      <c r="N720">
        <v>1.46496200992148</v>
      </c>
      <c r="Q720">
        <f t="shared" si="55"/>
        <v>1.4</v>
      </c>
      <c r="R720">
        <f t="shared" si="57"/>
        <v>1.3931888623644091</v>
      </c>
      <c r="S720">
        <f t="shared" si="58"/>
        <v>6.8111376355908249E-3</v>
      </c>
      <c r="T720">
        <f t="shared" si="59"/>
        <v>4.6391595890961775E-5</v>
      </c>
    </row>
    <row r="721" spans="1:20" hidden="1" x14ac:dyDescent="0.25">
      <c r="A721" t="str">
        <f t="shared" si="56"/>
        <v>BAR</v>
      </c>
      <c r="B721" t="s">
        <v>727</v>
      </c>
      <c r="C721">
        <v>1.4016193589999999</v>
      </c>
      <c r="D721">
        <v>5.7385845999999997E-2</v>
      </c>
      <c r="E721">
        <v>0.68454535599999999</v>
      </c>
      <c r="F721">
        <v>0.309252425</v>
      </c>
      <c r="G721">
        <v>0.74411640400000001</v>
      </c>
      <c r="H721">
        <v>1.24</v>
      </c>
      <c r="I721">
        <v>1.3320779191560601</v>
      </c>
      <c r="J721">
        <v>1.2485637707923201</v>
      </c>
      <c r="K721">
        <v>1.55621957440426</v>
      </c>
      <c r="L721">
        <v>1.4592700860657799</v>
      </c>
      <c r="M721">
        <v>1.2903208449741901</v>
      </c>
      <c r="N721">
        <v>1.2896450014367</v>
      </c>
      <c r="Q721">
        <f t="shared" si="55"/>
        <v>1.24</v>
      </c>
      <c r="R721">
        <f t="shared" si="57"/>
        <v>1.1958737278862603</v>
      </c>
      <c r="S721">
        <f t="shared" si="58"/>
        <v>4.4126272113739651E-2</v>
      </c>
      <c r="T721">
        <f t="shared" si="59"/>
        <v>1.9471278906557975E-3</v>
      </c>
    </row>
    <row r="722" spans="1:20" hidden="1" x14ac:dyDescent="0.25">
      <c r="A722" t="str">
        <f t="shared" si="56"/>
        <v>BAR</v>
      </c>
      <c r="B722" t="s">
        <v>728</v>
      </c>
      <c r="C722">
        <v>1.648317773</v>
      </c>
      <c r="D722">
        <v>6.0956371000000002E-2</v>
      </c>
      <c r="E722">
        <v>0.66865626899999997</v>
      </c>
      <c r="F722">
        <v>0.34303735200000002</v>
      </c>
      <c r="G722">
        <v>0.72016126300000005</v>
      </c>
      <c r="H722">
        <v>1.26</v>
      </c>
      <c r="I722">
        <v>1.21649256587953</v>
      </c>
      <c r="J722">
        <v>1.1888760333836701</v>
      </c>
      <c r="K722">
        <v>1.4666272783282901</v>
      </c>
      <c r="L722">
        <v>1.33443455377386</v>
      </c>
      <c r="M722">
        <v>1.2026842996316001</v>
      </c>
      <c r="N722">
        <v>1.20260502924426</v>
      </c>
      <c r="Q722">
        <f t="shared" si="55"/>
        <v>1.26</v>
      </c>
      <c r="R722">
        <f t="shared" si="57"/>
        <v>1.1039473910221682</v>
      </c>
      <c r="S722">
        <f t="shared" si="58"/>
        <v>0.1560526089778318</v>
      </c>
      <c r="T722">
        <f t="shared" si="59"/>
        <v>2.435241676878807E-2</v>
      </c>
    </row>
    <row r="723" spans="1:20" hidden="1" x14ac:dyDescent="0.25">
      <c r="A723" t="str">
        <f t="shared" si="56"/>
        <v>BAR</v>
      </c>
      <c r="B723" t="s">
        <v>729</v>
      </c>
      <c r="C723">
        <v>1.681888008</v>
      </c>
      <c r="D723">
        <v>6.7191435999999993E-2</v>
      </c>
      <c r="E723">
        <v>0.67608418800000003</v>
      </c>
      <c r="F723">
        <v>0.35205328600000002</v>
      </c>
      <c r="G723">
        <v>0.72229144700000003</v>
      </c>
      <c r="H723">
        <v>1.47</v>
      </c>
      <c r="I723">
        <v>1.30416011390979</v>
      </c>
      <c r="J723">
        <v>1.3431057962230599</v>
      </c>
      <c r="K723">
        <v>1.4483304410129201</v>
      </c>
      <c r="L723">
        <v>1.32003544580905</v>
      </c>
      <c r="M723">
        <v>1.3236329550664301</v>
      </c>
      <c r="N723">
        <v>1.3234897083827899</v>
      </c>
      <c r="Q723">
        <f t="shared" si="55"/>
        <v>1.47</v>
      </c>
      <c r="R723">
        <f t="shared" si="57"/>
        <v>1.2564608137802691</v>
      </c>
      <c r="S723">
        <f t="shared" si="58"/>
        <v>0.21353918621973089</v>
      </c>
      <c r="T723">
        <f t="shared" si="59"/>
        <v>4.5598984051384905E-2</v>
      </c>
    </row>
    <row r="724" spans="1:20" hidden="1" x14ac:dyDescent="0.25">
      <c r="A724" t="str">
        <f t="shared" si="56"/>
        <v>BAR</v>
      </c>
      <c r="B724" t="s">
        <v>730</v>
      </c>
      <c r="C724">
        <v>1.891029139</v>
      </c>
      <c r="D724">
        <v>5.8828390000000001E-2</v>
      </c>
      <c r="E724">
        <v>0.73151831599999995</v>
      </c>
      <c r="F724">
        <v>0.51837895700000003</v>
      </c>
      <c r="G724">
        <v>0.80516578100000002</v>
      </c>
      <c r="H724">
        <v>1.51</v>
      </c>
      <c r="I724">
        <v>1.6218413217354</v>
      </c>
      <c r="J724">
        <v>1.6066196766848699</v>
      </c>
      <c r="K724">
        <v>1.83394796992367</v>
      </c>
      <c r="L724">
        <v>1.8268708676747101</v>
      </c>
      <c r="M724">
        <v>1.6142304992101399</v>
      </c>
      <c r="N724">
        <v>1.61421255724291</v>
      </c>
      <c r="Q724">
        <f t="shared" si="55"/>
        <v>1.51</v>
      </c>
      <c r="R724">
        <f t="shared" si="57"/>
        <v>1.5793632810579399</v>
      </c>
      <c r="S724">
        <f t="shared" si="58"/>
        <v>-6.9363281057939874E-2</v>
      </c>
      <c r="T724">
        <f t="shared" si="59"/>
        <v>4.8112647591227603E-3</v>
      </c>
    </row>
    <row r="725" spans="1:20" hidden="1" x14ac:dyDescent="0.25">
      <c r="A725" t="str">
        <f t="shared" si="56"/>
        <v>BAR</v>
      </c>
      <c r="B725" t="s">
        <v>731</v>
      </c>
      <c r="C725">
        <v>1.943528991</v>
      </c>
      <c r="D725">
        <v>6.2836273999999998E-2</v>
      </c>
      <c r="E725">
        <v>0.70039300199999999</v>
      </c>
      <c r="F725">
        <v>0.38549160700000001</v>
      </c>
      <c r="G725">
        <v>0.76898252700000003</v>
      </c>
      <c r="H725">
        <v>0.99</v>
      </c>
      <c r="I725">
        <v>1.0902952861362001</v>
      </c>
      <c r="J725">
        <v>1.1267602361961799</v>
      </c>
      <c r="K725">
        <v>1.1587622170571099</v>
      </c>
      <c r="L725">
        <v>1.15373353599338</v>
      </c>
      <c r="M725">
        <v>1.1085277611661899</v>
      </c>
      <c r="N725">
        <v>1.10837781199842</v>
      </c>
      <c r="Q725">
        <f t="shared" si="55"/>
        <v>0.99</v>
      </c>
      <c r="R725">
        <f t="shared" si="57"/>
        <v>1.005919178552384</v>
      </c>
      <c r="S725">
        <f t="shared" si="58"/>
        <v>-1.5919178552384006E-2</v>
      </c>
      <c r="T725">
        <f t="shared" si="59"/>
        <v>2.5342024578268291E-4</v>
      </c>
    </row>
    <row r="726" spans="1:20" hidden="1" x14ac:dyDescent="0.25">
      <c r="A726" t="str">
        <f t="shared" si="56"/>
        <v>BAR</v>
      </c>
      <c r="B726" t="s">
        <v>732</v>
      </c>
      <c r="C726">
        <v>1.85480237</v>
      </c>
      <c r="D726">
        <v>6.3700227999999998E-2</v>
      </c>
      <c r="E726">
        <v>0.72121466700000003</v>
      </c>
      <c r="F726">
        <v>0.54481051800000002</v>
      </c>
      <c r="G726">
        <v>0.78457339699999995</v>
      </c>
      <c r="H726">
        <v>1.69</v>
      </c>
      <c r="I726">
        <v>1.8798369793939</v>
      </c>
      <c r="J726">
        <v>1.8439585398768401</v>
      </c>
      <c r="K726">
        <v>2.1744218714409702</v>
      </c>
      <c r="L726">
        <v>2.2044766122202302</v>
      </c>
      <c r="M726">
        <v>1.8618977596353701</v>
      </c>
      <c r="N726">
        <v>1.86181133623406</v>
      </c>
      <c r="Q726">
        <f t="shared" si="55"/>
        <v>1.69</v>
      </c>
      <c r="R726">
        <f t="shared" si="57"/>
        <v>1.8406048385118714</v>
      </c>
      <c r="S726">
        <f t="shared" si="58"/>
        <v>-0.15060483851187145</v>
      </c>
      <c r="T726">
        <f t="shared" si="59"/>
        <v>2.2681817383186878E-2</v>
      </c>
    </row>
    <row r="727" spans="1:20" hidden="1" x14ac:dyDescent="0.25">
      <c r="A727" t="str">
        <f t="shared" si="56"/>
        <v>BAR</v>
      </c>
      <c r="B727" t="s">
        <v>733</v>
      </c>
      <c r="C727">
        <v>1.8038966270000001</v>
      </c>
      <c r="D727">
        <v>6.1155813000000003E-2</v>
      </c>
      <c r="E727">
        <v>0.71673656399999996</v>
      </c>
      <c r="F727">
        <v>0.51538963100000001</v>
      </c>
      <c r="G727">
        <v>0.77352834999999998</v>
      </c>
      <c r="H727">
        <v>1.8</v>
      </c>
      <c r="I727">
        <v>1.7932689023828701</v>
      </c>
      <c r="J727">
        <v>1.72147195160063</v>
      </c>
      <c r="K727">
        <v>2.1041893125700999</v>
      </c>
      <c r="L727">
        <v>2.13084023262022</v>
      </c>
      <c r="M727">
        <v>1.7573704269917501</v>
      </c>
      <c r="N727">
        <v>1.7570037328161101</v>
      </c>
      <c r="Q727">
        <f t="shared" si="55"/>
        <v>1.8</v>
      </c>
      <c r="R727">
        <f t="shared" si="57"/>
        <v>1.7107254310871594</v>
      </c>
      <c r="S727">
        <f t="shared" si="58"/>
        <v>8.9274568912840691E-2</v>
      </c>
      <c r="T727">
        <f t="shared" si="59"/>
        <v>7.9699486545735422E-3</v>
      </c>
    </row>
    <row r="728" spans="1:20" hidden="1" x14ac:dyDescent="0.25">
      <c r="A728" t="str">
        <f t="shared" si="56"/>
        <v>BAR</v>
      </c>
      <c r="B728" t="s">
        <v>734</v>
      </c>
      <c r="C728">
        <v>1.8731625030000001</v>
      </c>
      <c r="D728">
        <v>5.9424055000000003E-2</v>
      </c>
      <c r="E728">
        <v>0.72939087999999996</v>
      </c>
      <c r="F728">
        <v>0.496469141</v>
      </c>
      <c r="G728">
        <v>0.79634309299999995</v>
      </c>
      <c r="H728">
        <v>1.8</v>
      </c>
      <c r="I728">
        <v>1.57316480435554</v>
      </c>
      <c r="J728">
        <v>1.5555974827421599</v>
      </c>
      <c r="K728">
        <v>1.83932377886904</v>
      </c>
      <c r="L728">
        <v>1.8179180032289</v>
      </c>
      <c r="M728">
        <v>1.5643811435488499</v>
      </c>
      <c r="N728">
        <v>1.56435648417937</v>
      </c>
      <c r="Q728">
        <f t="shared" si="55"/>
        <v>1.8</v>
      </c>
      <c r="R728">
        <f t="shared" si="57"/>
        <v>1.5187143664902449</v>
      </c>
      <c r="S728">
        <f t="shared" si="58"/>
        <v>0.28128563350975511</v>
      </c>
      <c r="T728">
        <f t="shared" si="59"/>
        <v>7.9121607618984263E-2</v>
      </c>
    </row>
    <row r="729" spans="1:20" hidden="1" x14ac:dyDescent="0.25">
      <c r="A729" t="str">
        <f t="shared" si="56"/>
        <v>BAR</v>
      </c>
      <c r="B729" t="s">
        <v>735</v>
      </c>
      <c r="C729">
        <v>1.8810754540000001</v>
      </c>
      <c r="D729">
        <v>5.9798982000000001E-2</v>
      </c>
      <c r="E729">
        <v>0.72459520300000002</v>
      </c>
      <c r="F729">
        <v>0.54247518100000003</v>
      </c>
      <c r="G729">
        <v>0.79703097599999995</v>
      </c>
      <c r="H729">
        <v>1.6</v>
      </c>
      <c r="I729">
        <v>1.7534337593560001</v>
      </c>
      <c r="J729">
        <v>1.7203952879172799</v>
      </c>
      <c r="K729">
        <v>1.98757813992895</v>
      </c>
      <c r="L729">
        <v>1.9902388192999301</v>
      </c>
      <c r="M729">
        <v>1.7369145236366399</v>
      </c>
      <c r="N729">
        <v>1.7368359672897</v>
      </c>
      <c r="Q729">
        <f t="shared" si="55"/>
        <v>1.6</v>
      </c>
      <c r="R729">
        <f t="shared" si="57"/>
        <v>1.7099313125402009</v>
      </c>
      <c r="S729">
        <f t="shared" si="58"/>
        <v>-0.10993131254020083</v>
      </c>
      <c r="T729">
        <f t="shared" si="59"/>
        <v>1.2084893476811317E-2</v>
      </c>
    </row>
    <row r="730" spans="1:20" hidden="1" x14ac:dyDescent="0.25">
      <c r="A730" t="str">
        <f t="shared" si="56"/>
        <v>BAR</v>
      </c>
      <c r="B730" t="s">
        <v>736</v>
      </c>
      <c r="C730">
        <v>1.796758933</v>
      </c>
      <c r="D730">
        <v>6.3121993000000001E-2</v>
      </c>
      <c r="E730">
        <v>0.71715848699999996</v>
      </c>
      <c r="F730">
        <v>0.49701946000000002</v>
      </c>
      <c r="G730">
        <v>0.78290727299999996</v>
      </c>
      <c r="H730">
        <v>1.53</v>
      </c>
      <c r="I730">
        <v>1.7439588501982599</v>
      </c>
      <c r="J730">
        <v>1.70812613432343</v>
      </c>
      <c r="K730">
        <v>1.9088827900738301</v>
      </c>
      <c r="L730">
        <v>1.9045822215766699</v>
      </c>
      <c r="M730">
        <v>1.7260424922608499</v>
      </c>
      <c r="N730">
        <v>1.7259495036669801</v>
      </c>
      <c r="Q730">
        <f t="shared" si="55"/>
        <v>1.53</v>
      </c>
      <c r="R730">
        <f t="shared" si="57"/>
        <v>1.6877099749820479</v>
      </c>
      <c r="S730">
        <f t="shared" si="58"/>
        <v>-0.15770997498204786</v>
      </c>
      <c r="T730">
        <f t="shared" si="59"/>
        <v>2.4872436208838163E-2</v>
      </c>
    </row>
    <row r="731" spans="1:20" hidden="1" x14ac:dyDescent="0.25">
      <c r="A731" t="str">
        <f t="shared" si="56"/>
        <v>BAR</v>
      </c>
      <c r="B731" t="s">
        <v>737</v>
      </c>
      <c r="C731">
        <v>1.7808954290000001</v>
      </c>
      <c r="D731">
        <v>6.2552871999999995E-2</v>
      </c>
      <c r="E731">
        <v>0.71151827000000001</v>
      </c>
      <c r="F731">
        <v>0.53451309199999997</v>
      </c>
      <c r="G731">
        <v>0.77731286499999996</v>
      </c>
      <c r="H731">
        <v>2</v>
      </c>
      <c r="I731">
        <v>1.91994911555993</v>
      </c>
      <c r="J731">
        <v>1.8420205944168999</v>
      </c>
      <c r="K731">
        <v>2.2656931521873198</v>
      </c>
      <c r="L731">
        <v>2.3072867802218102</v>
      </c>
      <c r="M731">
        <v>1.8809848549884101</v>
      </c>
      <c r="N731">
        <v>1.8805812428858</v>
      </c>
      <c r="Q731">
        <f t="shared" si="55"/>
        <v>2</v>
      </c>
      <c r="R731">
        <f t="shared" si="57"/>
        <v>1.8477990110364275</v>
      </c>
      <c r="S731">
        <f t="shared" si="58"/>
        <v>0.15220098896357248</v>
      </c>
      <c r="T731">
        <f t="shared" si="59"/>
        <v>2.3165141041489513E-2</v>
      </c>
    </row>
    <row r="732" spans="1:20" hidden="1" x14ac:dyDescent="0.25">
      <c r="A732" t="str">
        <f t="shared" si="56"/>
        <v>BAR</v>
      </c>
      <c r="B732" t="s">
        <v>738</v>
      </c>
      <c r="C732">
        <v>1.8455142739999999</v>
      </c>
      <c r="D732">
        <v>6.2797353E-2</v>
      </c>
      <c r="E732">
        <v>0.71057026000000001</v>
      </c>
      <c r="F732">
        <v>0.53587281099999995</v>
      </c>
      <c r="G732">
        <v>0.76688226400000004</v>
      </c>
      <c r="H732">
        <v>1.88</v>
      </c>
      <c r="I732">
        <v>1.86876007102849</v>
      </c>
      <c r="J732">
        <v>1.7871696495904601</v>
      </c>
      <c r="K732">
        <v>2.1289977293597802</v>
      </c>
      <c r="L732">
        <v>2.2002961129655598</v>
      </c>
      <c r="M732">
        <v>1.82796486030948</v>
      </c>
      <c r="N732">
        <v>1.82750958446423</v>
      </c>
      <c r="Q732">
        <f t="shared" si="55"/>
        <v>1.88</v>
      </c>
      <c r="R732">
        <f t="shared" si="57"/>
        <v>1.7799359958555727</v>
      </c>
      <c r="S732">
        <f t="shared" si="58"/>
        <v>0.10006400414442718</v>
      </c>
      <c r="T732">
        <f t="shared" si="59"/>
        <v>1.0012804925415938E-2</v>
      </c>
    </row>
    <row r="733" spans="1:20" hidden="1" x14ac:dyDescent="0.25">
      <c r="A733" t="str">
        <f t="shared" si="56"/>
        <v>BAR</v>
      </c>
      <c r="B733" t="s">
        <v>739</v>
      </c>
      <c r="C733">
        <v>1.862765121</v>
      </c>
      <c r="D733">
        <v>6.5700368999999995E-2</v>
      </c>
      <c r="E733">
        <v>0.70668453799999997</v>
      </c>
      <c r="F733">
        <v>0.45610919999999999</v>
      </c>
      <c r="G733">
        <v>0.77077957799999997</v>
      </c>
      <c r="H733">
        <v>1.53</v>
      </c>
      <c r="I733">
        <v>1.5393474936246401</v>
      </c>
      <c r="J733">
        <v>1.5428023228384999</v>
      </c>
      <c r="K733">
        <v>1.6793397709757001</v>
      </c>
      <c r="L733">
        <v>1.71140015308116</v>
      </c>
      <c r="M733">
        <v>1.54107490823157</v>
      </c>
      <c r="N733">
        <v>1.5410739400884399</v>
      </c>
      <c r="Q733">
        <f t="shared" si="55"/>
        <v>1.53</v>
      </c>
      <c r="R733">
        <f t="shared" si="57"/>
        <v>1.48267959355212</v>
      </c>
      <c r="S733">
        <f t="shared" si="58"/>
        <v>4.7320406447880048E-2</v>
      </c>
      <c r="T733">
        <f t="shared" si="59"/>
        <v>2.2392208663925676E-3</v>
      </c>
    </row>
    <row r="734" spans="1:20" hidden="1" x14ac:dyDescent="0.25">
      <c r="A734" t="str">
        <f t="shared" si="56"/>
        <v>BAR</v>
      </c>
      <c r="B734" t="s">
        <v>740</v>
      </c>
      <c r="C734">
        <v>1.9203357270000001</v>
      </c>
      <c r="D734">
        <v>5.5523405999999997E-2</v>
      </c>
      <c r="E734">
        <v>0.72633725100000002</v>
      </c>
      <c r="F734">
        <v>0.45016729900000002</v>
      </c>
      <c r="G734">
        <v>0.79426493799999998</v>
      </c>
      <c r="H734">
        <v>1.49</v>
      </c>
      <c r="I734">
        <v>1.2728968580150299</v>
      </c>
      <c r="J734">
        <v>1.2470934413055901</v>
      </c>
      <c r="K734">
        <v>1.4867967599378</v>
      </c>
      <c r="L734">
        <v>1.4620588937197401</v>
      </c>
      <c r="M734">
        <v>1.2599951496603099</v>
      </c>
      <c r="N734">
        <v>1.25992909446882</v>
      </c>
      <c r="Q734">
        <f t="shared" si="55"/>
        <v>1.49</v>
      </c>
      <c r="R734">
        <f t="shared" si="57"/>
        <v>1.1710109054064213</v>
      </c>
      <c r="S734">
        <f t="shared" si="58"/>
        <v>0.31898909459357871</v>
      </c>
      <c r="T734">
        <f t="shared" si="59"/>
        <v>0.10175404246963111</v>
      </c>
    </row>
    <row r="735" spans="1:20" hidden="1" x14ac:dyDescent="0.25">
      <c r="A735" t="str">
        <f t="shared" si="56"/>
        <v>BAR</v>
      </c>
      <c r="B735" t="s">
        <v>741</v>
      </c>
      <c r="C735">
        <v>1.8273422189999999</v>
      </c>
      <c r="D735">
        <v>6.0091265999999997E-2</v>
      </c>
      <c r="E735">
        <v>0.72719503600000002</v>
      </c>
      <c r="F735">
        <v>0.41162959100000002</v>
      </c>
      <c r="G735">
        <v>0.79843910200000001</v>
      </c>
      <c r="H735">
        <v>1.69</v>
      </c>
      <c r="I735">
        <v>1.3043115535455101</v>
      </c>
      <c r="J735">
        <v>1.3030541661947901</v>
      </c>
      <c r="K735">
        <v>1.4335173964171699</v>
      </c>
      <c r="L735">
        <v>1.3775023285310699</v>
      </c>
      <c r="M735">
        <v>1.30368285987015</v>
      </c>
      <c r="N735">
        <v>1.3036827082781599</v>
      </c>
      <c r="Q735">
        <f t="shared" si="55"/>
        <v>1.69</v>
      </c>
      <c r="R735">
        <f t="shared" si="57"/>
        <v>1.2238956162460517</v>
      </c>
      <c r="S735">
        <f t="shared" si="58"/>
        <v>0.46610438375394825</v>
      </c>
      <c r="T735">
        <f t="shared" si="59"/>
        <v>0.21725329655464787</v>
      </c>
    </row>
    <row r="736" spans="1:20" hidden="1" x14ac:dyDescent="0.25">
      <c r="A736" t="str">
        <f t="shared" si="56"/>
        <v>BAR</v>
      </c>
      <c r="B736" t="s">
        <v>742</v>
      </c>
      <c r="C736">
        <v>1.7216441659999999</v>
      </c>
      <c r="D736">
        <v>5.5351082000000003E-2</v>
      </c>
      <c r="E736">
        <v>0.70532991499999997</v>
      </c>
      <c r="F736">
        <v>0.40904796700000001</v>
      </c>
      <c r="G736">
        <v>0.77584567599999998</v>
      </c>
      <c r="H736">
        <v>1.55</v>
      </c>
      <c r="I736">
        <v>1.35183884534624</v>
      </c>
      <c r="J736">
        <v>1.2709092961392401</v>
      </c>
      <c r="K736">
        <v>1.70515786595106</v>
      </c>
      <c r="L736">
        <v>1.6684862418056099</v>
      </c>
      <c r="M736">
        <v>1.3113740707427399</v>
      </c>
      <c r="N736">
        <v>1.3107496158430401</v>
      </c>
      <c r="Q736">
        <f t="shared" si="55"/>
        <v>1.55</v>
      </c>
      <c r="R736">
        <f t="shared" si="57"/>
        <v>1.2113813014077621</v>
      </c>
      <c r="S736">
        <f t="shared" si="58"/>
        <v>0.33861869859223792</v>
      </c>
      <c r="T736">
        <f t="shared" si="59"/>
        <v>0.11466262303630087</v>
      </c>
    </row>
    <row r="737" spans="1:20" hidden="1" x14ac:dyDescent="0.25">
      <c r="A737" t="str">
        <f t="shared" si="56"/>
        <v>BAR</v>
      </c>
      <c r="B737" t="s">
        <v>743</v>
      </c>
      <c r="C737">
        <v>1.965892787</v>
      </c>
      <c r="D737">
        <v>6.0714563999999999E-2</v>
      </c>
      <c r="E737">
        <v>0.72178115200000004</v>
      </c>
      <c r="F737">
        <v>0.51644314000000002</v>
      </c>
      <c r="G737">
        <v>0.78890685800000004</v>
      </c>
      <c r="H737">
        <v>1.75</v>
      </c>
      <c r="I737">
        <v>1.5697451719308799</v>
      </c>
      <c r="J737">
        <v>1.5583350229458399</v>
      </c>
      <c r="K737">
        <v>1.8081772019667599</v>
      </c>
      <c r="L737">
        <v>1.82430972009421</v>
      </c>
      <c r="M737">
        <v>1.5640400974383599</v>
      </c>
      <c r="N737">
        <v>1.56402969233964</v>
      </c>
      <c r="Q737">
        <f t="shared" si="55"/>
        <v>1.75</v>
      </c>
      <c r="R737">
        <f t="shared" si="57"/>
        <v>1.5137435285128591</v>
      </c>
      <c r="S737">
        <f t="shared" si="58"/>
        <v>0.23625647148714091</v>
      </c>
      <c r="T737">
        <f t="shared" si="59"/>
        <v>5.5817120319554221E-2</v>
      </c>
    </row>
    <row r="738" spans="1:20" hidden="1" x14ac:dyDescent="0.25">
      <c r="A738" t="str">
        <f t="shared" si="56"/>
        <v>BAR</v>
      </c>
      <c r="B738" t="s">
        <v>744</v>
      </c>
      <c r="C738">
        <v>1.9299856849999999</v>
      </c>
      <c r="D738">
        <v>5.8631012000000003E-2</v>
      </c>
      <c r="E738">
        <v>0.73052383799999998</v>
      </c>
      <c r="F738">
        <v>0.46489494999999997</v>
      </c>
      <c r="G738">
        <v>0.79989205900000004</v>
      </c>
      <c r="H738">
        <v>1.7</v>
      </c>
      <c r="I738">
        <v>1.3654265131833601</v>
      </c>
      <c r="J738">
        <v>1.3656927983293401</v>
      </c>
      <c r="K738">
        <v>1.5516687875855599</v>
      </c>
      <c r="L738">
        <v>1.5562290241124599</v>
      </c>
      <c r="M738">
        <v>1.3655596557563501</v>
      </c>
      <c r="N738">
        <v>1.3655596492656199</v>
      </c>
      <c r="Q738">
        <f t="shared" si="55"/>
        <v>1.7</v>
      </c>
      <c r="R738">
        <f t="shared" si="57"/>
        <v>1.2972256937739921</v>
      </c>
      <c r="S738">
        <f t="shared" si="58"/>
        <v>0.40277430622600785</v>
      </c>
      <c r="T738">
        <f t="shared" si="59"/>
        <v>0.16222714175584194</v>
      </c>
    </row>
    <row r="739" spans="1:20" hidden="1" x14ac:dyDescent="0.25">
      <c r="A739" t="str">
        <f t="shared" si="56"/>
        <v>BAR</v>
      </c>
      <c r="B739" t="s">
        <v>745</v>
      </c>
      <c r="C739">
        <v>1.5546785759999999</v>
      </c>
      <c r="D739">
        <v>6.2244159E-2</v>
      </c>
      <c r="E739">
        <v>0.67730299900000002</v>
      </c>
      <c r="F739">
        <v>0.33227431699999999</v>
      </c>
      <c r="G739">
        <v>0.72250014600000001</v>
      </c>
      <c r="H739">
        <v>1.02</v>
      </c>
      <c r="I739">
        <v>1.3003739746804599</v>
      </c>
      <c r="J739">
        <v>1.28147168843459</v>
      </c>
      <c r="K739">
        <v>1.60184272161158</v>
      </c>
      <c r="L739">
        <v>1.4870017431207601</v>
      </c>
      <c r="M739">
        <v>1.2909228315575301</v>
      </c>
      <c r="N739">
        <v>1.29088823409704</v>
      </c>
      <c r="Q739">
        <f t="shared" si="55"/>
        <v>1.02</v>
      </c>
      <c r="R739">
        <f t="shared" si="57"/>
        <v>1.2102896812976922</v>
      </c>
      <c r="S739">
        <f t="shared" si="58"/>
        <v>-0.19028968129769219</v>
      </c>
      <c r="T739">
        <f t="shared" si="59"/>
        <v>3.6210162808377265E-2</v>
      </c>
    </row>
    <row r="740" spans="1:20" hidden="1" x14ac:dyDescent="0.25">
      <c r="A740" t="str">
        <f t="shared" si="56"/>
        <v>BAR</v>
      </c>
      <c r="B740" t="s">
        <v>746</v>
      </c>
      <c r="C740">
        <v>1.9941489029999999</v>
      </c>
      <c r="D740">
        <v>6.3625139999999997E-2</v>
      </c>
      <c r="E740">
        <v>0.6753325</v>
      </c>
      <c r="F740">
        <v>0.34593264600000001</v>
      </c>
      <c r="G740">
        <v>0.70703390799999999</v>
      </c>
      <c r="H740">
        <v>1</v>
      </c>
      <c r="I740">
        <v>0.78196360016697497</v>
      </c>
      <c r="J740">
        <v>0.92205946348371703</v>
      </c>
      <c r="K740">
        <v>0.87617555792226098</v>
      </c>
      <c r="L740">
        <v>0.82248932347876802</v>
      </c>
      <c r="M740">
        <v>0.85201153182534595</v>
      </c>
      <c r="N740">
        <v>0.84912716222822404</v>
      </c>
      <c r="Q740">
        <f t="shared" si="55"/>
        <v>1</v>
      </c>
      <c r="R740">
        <f t="shared" si="57"/>
        <v>0.76520673761625035</v>
      </c>
      <c r="S740">
        <f t="shared" si="58"/>
        <v>0.23479326238374965</v>
      </c>
      <c r="T740">
        <f t="shared" si="59"/>
        <v>5.5127876060804305E-2</v>
      </c>
    </row>
    <row r="741" spans="1:20" hidden="1" x14ac:dyDescent="0.25">
      <c r="A741" t="str">
        <f t="shared" si="56"/>
        <v>BAR</v>
      </c>
      <c r="B741" t="s">
        <v>747</v>
      </c>
      <c r="C741">
        <v>1.7297946930000001</v>
      </c>
      <c r="D741">
        <v>6.2949883999999998E-2</v>
      </c>
      <c r="E741">
        <v>0.69008493900000001</v>
      </c>
      <c r="F741">
        <v>0.34594074499999999</v>
      </c>
      <c r="G741">
        <v>0.73380113599999996</v>
      </c>
      <c r="H741">
        <v>1.06</v>
      </c>
      <c r="I741">
        <v>1.14939880347506</v>
      </c>
      <c r="J741">
        <v>1.18673222058239</v>
      </c>
      <c r="K741">
        <v>1.3505818803271601</v>
      </c>
      <c r="L741">
        <v>1.25731406397589</v>
      </c>
      <c r="M741">
        <v>1.16806551202872</v>
      </c>
      <c r="N741">
        <v>1.1679163473394401</v>
      </c>
      <c r="Q741">
        <f t="shared" si="55"/>
        <v>1.06</v>
      </c>
      <c r="R741">
        <f t="shared" si="57"/>
        <v>1.0869495676664345</v>
      </c>
      <c r="S741">
        <f t="shared" si="58"/>
        <v>-2.6949567666434415E-2</v>
      </c>
      <c r="T741">
        <f t="shared" si="59"/>
        <v>7.2627919740772735E-4</v>
      </c>
    </row>
    <row r="742" spans="1:20" hidden="1" x14ac:dyDescent="0.25">
      <c r="A742" t="str">
        <f t="shared" si="56"/>
        <v>BAR</v>
      </c>
      <c r="B742" t="s">
        <v>748</v>
      </c>
      <c r="C742">
        <v>1.1144139209999999</v>
      </c>
      <c r="D742">
        <v>6.6532056000000006E-2</v>
      </c>
      <c r="E742">
        <v>0.66172688899999998</v>
      </c>
      <c r="F742">
        <v>0.30132618999999999</v>
      </c>
      <c r="G742">
        <v>0.68194274799999999</v>
      </c>
      <c r="H742">
        <v>0.93</v>
      </c>
      <c r="I742">
        <v>1.7801247080851801</v>
      </c>
      <c r="J742">
        <v>1.6916855655690199</v>
      </c>
      <c r="K742">
        <v>0.90075546290101105</v>
      </c>
      <c r="L742">
        <v>1.88951864673536</v>
      </c>
      <c r="M742">
        <v>1.7359051368270999</v>
      </c>
      <c r="N742">
        <v>1.7353418319110701</v>
      </c>
      <c r="Q742">
        <f t="shared" si="55"/>
        <v>0.93</v>
      </c>
      <c r="R742">
        <f t="shared" si="57"/>
        <v>1.6947966427997645</v>
      </c>
      <c r="S742">
        <f t="shared" si="58"/>
        <v>-0.76479664279976445</v>
      </c>
      <c r="T742">
        <f t="shared" si="59"/>
        <v>0.58491390483779049</v>
      </c>
    </row>
    <row r="743" spans="1:20" hidden="1" x14ac:dyDescent="0.25">
      <c r="A743" t="str">
        <f t="shared" si="56"/>
        <v>BAR</v>
      </c>
      <c r="B743" t="s">
        <v>749</v>
      </c>
      <c r="C743">
        <v>1.581014283</v>
      </c>
      <c r="D743">
        <v>7.0384868000000003E-2</v>
      </c>
      <c r="E743">
        <v>0.64549504599999996</v>
      </c>
      <c r="F743">
        <v>0.31032194800000001</v>
      </c>
      <c r="G743">
        <v>0.69636280100000003</v>
      </c>
      <c r="H743">
        <v>0.87</v>
      </c>
      <c r="I743">
        <v>1.2541605887579801</v>
      </c>
      <c r="J743">
        <v>1.3339197219732299</v>
      </c>
      <c r="K743">
        <v>1.2827569520847</v>
      </c>
      <c r="L743">
        <v>1.24444462304541</v>
      </c>
      <c r="M743">
        <v>1.29404015536561</v>
      </c>
      <c r="N743">
        <v>1.29342550766012</v>
      </c>
      <c r="Q743">
        <f t="shared" si="55"/>
        <v>0.87</v>
      </c>
      <c r="R743">
        <f t="shared" si="57"/>
        <v>1.2412851408866505</v>
      </c>
      <c r="S743">
        <f t="shared" si="58"/>
        <v>-0.37128514088665054</v>
      </c>
      <c r="T743">
        <f t="shared" si="59"/>
        <v>0.13785265584321996</v>
      </c>
    </row>
    <row r="744" spans="1:20" hidden="1" x14ac:dyDescent="0.25">
      <c r="A744" t="str">
        <f t="shared" si="56"/>
        <v>BAR</v>
      </c>
      <c r="B744" t="s">
        <v>750</v>
      </c>
      <c r="C744">
        <v>1.058297893</v>
      </c>
      <c r="D744">
        <v>5.8588991E-2</v>
      </c>
      <c r="E744">
        <v>0.70049378799999995</v>
      </c>
      <c r="F744">
        <v>0.303089206</v>
      </c>
      <c r="G744">
        <v>0.74484563599999998</v>
      </c>
      <c r="H744">
        <v>1.01</v>
      </c>
      <c r="I744">
        <v>1.7633144893099599</v>
      </c>
      <c r="J744">
        <v>1.6118295343856099</v>
      </c>
      <c r="K744">
        <v>1.76853716973789</v>
      </c>
      <c r="L744">
        <v>2.1702973366571201</v>
      </c>
      <c r="M744">
        <v>1.6875720118477899</v>
      </c>
      <c r="N744">
        <v>1.6858713984998599</v>
      </c>
      <c r="Q744">
        <f t="shared" si="55"/>
        <v>1.01</v>
      </c>
      <c r="R744">
        <f t="shared" si="57"/>
        <v>1.629434913506506</v>
      </c>
      <c r="S744">
        <f t="shared" si="58"/>
        <v>-0.61943491350650604</v>
      </c>
      <c r="T744">
        <f t="shared" si="59"/>
        <v>0.3836996120708126</v>
      </c>
    </row>
    <row r="745" spans="1:20" hidden="1" x14ac:dyDescent="0.25">
      <c r="A745" t="str">
        <f t="shared" si="56"/>
        <v>BAR</v>
      </c>
      <c r="B745" t="s">
        <v>751</v>
      </c>
      <c r="C745">
        <v>1.2944211130000001</v>
      </c>
      <c r="D745">
        <v>6.3139838000000004E-2</v>
      </c>
      <c r="E745">
        <v>0.67869011599999995</v>
      </c>
      <c r="F745">
        <v>0.30837320499999998</v>
      </c>
      <c r="G745">
        <v>0.73845144699999998</v>
      </c>
      <c r="H745">
        <v>0.96</v>
      </c>
      <c r="I745">
        <v>1.54688044056504</v>
      </c>
      <c r="J745">
        <v>1.47618705435141</v>
      </c>
      <c r="K745">
        <v>1.70276945895131</v>
      </c>
      <c r="L745">
        <v>1.6728496731128699</v>
      </c>
      <c r="M745">
        <v>1.51153374745823</v>
      </c>
      <c r="N745">
        <v>1.51112040585505</v>
      </c>
      <c r="Q745">
        <f t="shared" si="55"/>
        <v>0.96</v>
      </c>
      <c r="R745">
        <f t="shared" si="57"/>
        <v>1.4460266991968462</v>
      </c>
      <c r="S745">
        <f t="shared" si="58"/>
        <v>-0.48602669919684627</v>
      </c>
      <c r="T745">
        <f t="shared" si="59"/>
        <v>0.23622195233218168</v>
      </c>
    </row>
    <row r="746" spans="1:20" hidden="1" x14ac:dyDescent="0.25">
      <c r="A746" t="str">
        <f t="shared" si="56"/>
        <v>BAR</v>
      </c>
      <c r="B746" t="s">
        <v>752</v>
      </c>
      <c r="C746">
        <v>1.630176179</v>
      </c>
      <c r="D746">
        <v>5.5455351999999999E-2</v>
      </c>
      <c r="E746">
        <v>0.68982746699999997</v>
      </c>
      <c r="F746">
        <v>0.32660038499999999</v>
      </c>
      <c r="G746">
        <v>0.77880693199999995</v>
      </c>
      <c r="H746">
        <v>0.88</v>
      </c>
      <c r="I746">
        <v>1.1403959920570499</v>
      </c>
      <c r="J746">
        <v>1.0470237272632099</v>
      </c>
      <c r="K746">
        <v>1.35297064029906</v>
      </c>
      <c r="L746">
        <v>1.24645089330308</v>
      </c>
      <c r="M746">
        <v>1.09370985966013</v>
      </c>
      <c r="N746">
        <v>1.09271298251627</v>
      </c>
      <c r="Q746">
        <f t="shared" si="55"/>
        <v>0.88</v>
      </c>
      <c r="R746">
        <f t="shared" si="57"/>
        <v>0.95598621189617994</v>
      </c>
      <c r="S746">
        <f t="shared" si="58"/>
        <v>-7.5986211896179934E-2</v>
      </c>
      <c r="T746">
        <f t="shared" si="59"/>
        <v>5.773904398331157E-3</v>
      </c>
    </row>
    <row r="747" spans="1:20" hidden="1" x14ac:dyDescent="0.25">
      <c r="A747" t="str">
        <f t="shared" si="56"/>
        <v>BAR</v>
      </c>
      <c r="B747" t="s">
        <v>753</v>
      </c>
      <c r="C747">
        <v>1.285198313</v>
      </c>
      <c r="D747">
        <v>6.8099331999999999E-2</v>
      </c>
      <c r="E747">
        <v>0.63914333000000001</v>
      </c>
      <c r="F747">
        <v>0.312482335</v>
      </c>
      <c r="G747">
        <v>0.65949124999999997</v>
      </c>
      <c r="H747">
        <v>0.9</v>
      </c>
      <c r="I747">
        <v>1.6160779943063499</v>
      </c>
      <c r="J747">
        <v>1.57354277969651</v>
      </c>
      <c r="K747">
        <v>1.9715333548782501</v>
      </c>
      <c r="L747">
        <v>1.85239909475852</v>
      </c>
      <c r="M747">
        <v>1.5948103870014301</v>
      </c>
      <c r="N747">
        <v>1.5946685735183901</v>
      </c>
      <c r="Q747">
        <f t="shared" si="55"/>
        <v>0.9</v>
      </c>
      <c r="R747">
        <f t="shared" si="57"/>
        <v>1.5458410063914467</v>
      </c>
      <c r="S747">
        <f t="shared" si="58"/>
        <v>-0.6458410063914467</v>
      </c>
      <c r="T747">
        <f t="shared" si="59"/>
        <v>0.41711060553671669</v>
      </c>
    </row>
    <row r="748" spans="1:20" hidden="1" x14ac:dyDescent="0.25">
      <c r="A748" t="str">
        <f t="shared" si="56"/>
        <v>BAR</v>
      </c>
      <c r="B748" t="s">
        <v>754</v>
      </c>
      <c r="C748">
        <v>1.545617247</v>
      </c>
      <c r="D748">
        <v>5.9894467999999999E-2</v>
      </c>
      <c r="E748">
        <v>0.67168957299999998</v>
      </c>
      <c r="F748">
        <v>0.30797939499999999</v>
      </c>
      <c r="G748">
        <v>0.71783014199999995</v>
      </c>
      <c r="H748">
        <v>1.0900000000000001</v>
      </c>
      <c r="I748">
        <v>1.15356817891427</v>
      </c>
      <c r="J748">
        <v>1.14221631776276</v>
      </c>
      <c r="K748">
        <v>1.26036988613149</v>
      </c>
      <c r="L748">
        <v>1.2338004883904199</v>
      </c>
      <c r="M748">
        <v>1.1478922483385201</v>
      </c>
      <c r="N748">
        <v>1.1478782154949001</v>
      </c>
      <c r="Q748">
        <f t="shared" si="55"/>
        <v>1.0900000000000001</v>
      </c>
      <c r="R748">
        <f t="shared" si="57"/>
        <v>1.0577796247230107</v>
      </c>
      <c r="S748">
        <f t="shared" si="58"/>
        <v>3.2220375276989399E-2</v>
      </c>
      <c r="T748">
        <f t="shared" si="59"/>
        <v>1.0381525829900296E-3</v>
      </c>
    </row>
    <row r="749" spans="1:20" hidden="1" x14ac:dyDescent="0.25">
      <c r="A749" t="str">
        <f t="shared" si="56"/>
        <v>BAR</v>
      </c>
      <c r="B749" t="s">
        <v>755</v>
      </c>
      <c r="C749">
        <v>1.0807884029999999</v>
      </c>
      <c r="D749">
        <v>6.0751684E-2</v>
      </c>
      <c r="E749">
        <v>0.66470203500000002</v>
      </c>
      <c r="F749">
        <v>0.302754368</v>
      </c>
      <c r="G749">
        <v>0.69662899099999998</v>
      </c>
      <c r="H749">
        <v>0.7</v>
      </c>
      <c r="I749">
        <v>1.7508482233771601</v>
      </c>
      <c r="J749">
        <v>1.5997199584716799</v>
      </c>
      <c r="K749">
        <v>1.7400690621614101</v>
      </c>
      <c r="L749">
        <v>2.1273949649991701</v>
      </c>
      <c r="M749">
        <v>1.67528409092442</v>
      </c>
      <c r="N749">
        <v>1.67357905316454</v>
      </c>
      <c r="Q749">
        <f t="shared" si="55"/>
        <v>0.7</v>
      </c>
      <c r="R749">
        <f t="shared" si="57"/>
        <v>1.6112686603513386</v>
      </c>
      <c r="S749">
        <f t="shared" si="58"/>
        <v>-0.91126866035133869</v>
      </c>
      <c r="T749">
        <f t="shared" si="59"/>
        <v>0.83041057133852347</v>
      </c>
    </row>
    <row r="750" spans="1:20" hidden="1" x14ac:dyDescent="0.25">
      <c r="A750" t="str">
        <f t="shared" si="56"/>
        <v>BAR</v>
      </c>
      <c r="B750" t="s">
        <v>756</v>
      </c>
      <c r="C750">
        <v>1.1594497500000001</v>
      </c>
      <c r="D750">
        <v>6.3278259000000003E-2</v>
      </c>
      <c r="E750">
        <v>0.719247215</v>
      </c>
      <c r="F750">
        <v>0.30479557400000001</v>
      </c>
      <c r="G750">
        <v>0.76037510200000002</v>
      </c>
      <c r="H750">
        <v>0.67</v>
      </c>
      <c r="I750">
        <v>1.71897965924745</v>
      </c>
      <c r="J750">
        <v>1.6454961580263701</v>
      </c>
      <c r="K750">
        <v>1.8395744607225899</v>
      </c>
      <c r="L750">
        <v>1.9939069884679601</v>
      </c>
      <c r="M750">
        <v>1.6822379086369099</v>
      </c>
      <c r="N750">
        <v>1.68183662256985</v>
      </c>
      <c r="Q750">
        <f t="shared" si="55"/>
        <v>0.67</v>
      </c>
      <c r="R750">
        <f t="shared" si="57"/>
        <v>1.643450673031269</v>
      </c>
      <c r="S750">
        <f t="shared" si="58"/>
        <v>-0.97345067303126898</v>
      </c>
      <c r="T750">
        <f t="shared" si="59"/>
        <v>0.94760621282503055</v>
      </c>
    </row>
    <row r="751" spans="1:20" hidden="1" x14ac:dyDescent="0.25">
      <c r="A751" t="str">
        <f t="shared" si="56"/>
        <v>BAR</v>
      </c>
      <c r="B751" t="s">
        <v>757</v>
      </c>
      <c r="C751">
        <v>1.557902372</v>
      </c>
      <c r="D751">
        <v>6.6957691999999999E-2</v>
      </c>
      <c r="E751">
        <v>0.65639767800000004</v>
      </c>
      <c r="F751">
        <v>0.30757063400000001</v>
      </c>
      <c r="G751">
        <v>0.66339041700000001</v>
      </c>
      <c r="H751">
        <v>0.9</v>
      </c>
      <c r="I751">
        <v>1.17289170595546</v>
      </c>
      <c r="J751">
        <v>1.27526320380525</v>
      </c>
      <c r="K751">
        <v>1.28674505908193</v>
      </c>
      <c r="L751">
        <v>1.2717919762232801</v>
      </c>
      <c r="M751">
        <v>1.2240774548803599</v>
      </c>
      <c r="N751">
        <v>1.2230068007388</v>
      </c>
      <c r="Q751">
        <f t="shared" si="55"/>
        <v>0.9</v>
      </c>
      <c r="R751">
        <f t="shared" si="57"/>
        <v>1.18711763266992</v>
      </c>
      <c r="S751">
        <f t="shared" si="58"/>
        <v>-0.28711763266991996</v>
      </c>
      <c r="T751">
        <f t="shared" si="59"/>
        <v>8.2436534989979091E-2</v>
      </c>
    </row>
    <row r="752" spans="1:20" hidden="1" x14ac:dyDescent="0.25">
      <c r="A752" t="str">
        <f t="shared" si="56"/>
        <v>BAR</v>
      </c>
      <c r="B752" t="s">
        <v>758</v>
      </c>
      <c r="C752">
        <v>1.220334077</v>
      </c>
      <c r="D752">
        <v>6.9394380000000006E-2</v>
      </c>
      <c r="E752">
        <v>0.68040460000000003</v>
      </c>
      <c r="F752">
        <v>0.304797233</v>
      </c>
      <c r="G752">
        <v>0.76053441300000002</v>
      </c>
      <c r="H752">
        <v>0.68</v>
      </c>
      <c r="I752">
        <v>1.75513495819273</v>
      </c>
      <c r="J752">
        <v>1.6912738611234299</v>
      </c>
      <c r="K752">
        <v>1.75715963736037</v>
      </c>
      <c r="L752">
        <v>1.90960151567207</v>
      </c>
      <c r="M752">
        <v>1.7232044096580801</v>
      </c>
      <c r="N752">
        <v>1.72290855170416</v>
      </c>
      <c r="Q752">
        <f t="shared" si="55"/>
        <v>0.68</v>
      </c>
      <c r="R752">
        <f t="shared" si="57"/>
        <v>1.6740298576064505</v>
      </c>
      <c r="S752">
        <f t="shared" si="58"/>
        <v>-0.99402985760645046</v>
      </c>
      <c r="T752">
        <f t="shared" si="59"/>
        <v>0.98809535781310021</v>
      </c>
    </row>
    <row r="753" spans="1:20" hidden="1" x14ac:dyDescent="0.25">
      <c r="A753" t="str">
        <f t="shared" si="56"/>
        <v>BAR</v>
      </c>
      <c r="B753" t="s">
        <v>759</v>
      </c>
      <c r="C753">
        <v>0.91438333400000005</v>
      </c>
      <c r="D753">
        <v>6.9078393000000002E-2</v>
      </c>
      <c r="E753">
        <v>0.74058615100000003</v>
      </c>
      <c r="F753">
        <v>0.30188190199999998</v>
      </c>
      <c r="G753">
        <v>0.84198783399999999</v>
      </c>
      <c r="H753">
        <v>1.02</v>
      </c>
      <c r="I753">
        <v>2.212338062817</v>
      </c>
      <c r="J753">
        <v>2.0501730833026302</v>
      </c>
      <c r="K753">
        <v>1.30996466574159</v>
      </c>
      <c r="L753">
        <v>2.4271271932989098</v>
      </c>
      <c r="M753">
        <v>2.1312555730598102</v>
      </c>
      <c r="N753">
        <v>2.12971264436151</v>
      </c>
      <c r="Q753">
        <f t="shared" si="55"/>
        <v>1.02</v>
      </c>
      <c r="R753">
        <f t="shared" si="57"/>
        <v>2.0989893590011199</v>
      </c>
      <c r="S753">
        <f t="shared" si="58"/>
        <v>-1.0789893590011199</v>
      </c>
      <c r="T753">
        <f t="shared" si="59"/>
        <v>1.1642180368376476</v>
      </c>
    </row>
    <row r="754" spans="1:20" hidden="1" x14ac:dyDescent="0.25">
      <c r="A754" t="str">
        <f t="shared" si="56"/>
        <v>BAR</v>
      </c>
      <c r="B754" t="s">
        <v>760</v>
      </c>
      <c r="C754">
        <v>1.1393675700000001</v>
      </c>
      <c r="D754">
        <v>6.0939516999999999E-2</v>
      </c>
      <c r="E754">
        <v>0.72991942899999995</v>
      </c>
      <c r="F754">
        <v>0.30273863899999998</v>
      </c>
      <c r="G754">
        <v>0.82581860900000004</v>
      </c>
      <c r="H754">
        <v>0.93</v>
      </c>
      <c r="I754">
        <v>1.75534594567416</v>
      </c>
      <c r="J754">
        <v>1.61381506602826</v>
      </c>
      <c r="K754">
        <v>1.37861919747163</v>
      </c>
      <c r="L754">
        <v>2.0222059078291599</v>
      </c>
      <c r="M754">
        <v>1.68458050585121</v>
      </c>
      <c r="N754">
        <v>1.6830935010333099</v>
      </c>
      <c r="Q754">
        <f t="shared" si="55"/>
        <v>0.93</v>
      </c>
      <c r="R754">
        <f t="shared" si="57"/>
        <v>1.6150899482168759</v>
      </c>
      <c r="S754">
        <f t="shared" si="58"/>
        <v>-0.68508994821687585</v>
      </c>
      <c r="T754">
        <f t="shared" si="59"/>
        <v>0.46934823714780166</v>
      </c>
    </row>
    <row r="755" spans="1:20" hidden="1" x14ac:dyDescent="0.25">
      <c r="A755" t="str">
        <f t="shared" si="56"/>
        <v>BAR</v>
      </c>
      <c r="B755" t="s">
        <v>761</v>
      </c>
      <c r="C755">
        <v>0.88279360500000004</v>
      </c>
      <c r="D755">
        <v>6.7834896000000006E-2</v>
      </c>
      <c r="E755">
        <v>0.69881912099999999</v>
      </c>
      <c r="F755">
        <v>0.300830345</v>
      </c>
      <c r="G755">
        <v>0.77827870600000004</v>
      </c>
      <c r="H755">
        <v>0.68</v>
      </c>
      <c r="I755">
        <v>2.13804593899046</v>
      </c>
      <c r="J755">
        <v>1.9965497733679201</v>
      </c>
      <c r="K755">
        <v>-6.9088440358655606E-2</v>
      </c>
      <c r="L755">
        <v>2.20112369812577</v>
      </c>
      <c r="M755">
        <v>2.0672978561791902</v>
      </c>
      <c r="N755">
        <v>2.0660869136949702</v>
      </c>
      <c r="Q755">
        <f t="shared" si="55"/>
        <v>0.68</v>
      </c>
      <c r="R755">
        <f t="shared" si="57"/>
        <v>2.0500867253950794</v>
      </c>
      <c r="S755">
        <f t="shared" si="58"/>
        <v>-1.3700867253950793</v>
      </c>
      <c r="T755">
        <f t="shared" si="59"/>
        <v>1.8771376351038114</v>
      </c>
    </row>
    <row r="756" spans="1:20" hidden="1" x14ac:dyDescent="0.25">
      <c r="A756" t="str">
        <f t="shared" si="56"/>
        <v>BAR</v>
      </c>
      <c r="B756" t="s">
        <v>762</v>
      </c>
      <c r="C756">
        <v>1.6046187540000001</v>
      </c>
      <c r="D756">
        <v>6.9201130999999999E-2</v>
      </c>
      <c r="E756">
        <v>0.68813573100000003</v>
      </c>
      <c r="F756">
        <v>0.35484490800000001</v>
      </c>
      <c r="G756">
        <v>0.75783575400000003</v>
      </c>
      <c r="H756">
        <v>0.86</v>
      </c>
      <c r="I756">
        <v>1.48069669708906</v>
      </c>
      <c r="J756">
        <v>1.49510836685196</v>
      </c>
      <c r="K756">
        <v>1.68568418633596</v>
      </c>
      <c r="L756">
        <v>1.57483393239724</v>
      </c>
      <c r="M756">
        <v>1.4879025319705099</v>
      </c>
      <c r="N756">
        <v>1.48788508312568</v>
      </c>
      <c r="Q756">
        <f t="shared" si="55"/>
        <v>0.86</v>
      </c>
      <c r="R756">
        <f t="shared" si="57"/>
        <v>1.4267656312554722</v>
      </c>
      <c r="S756">
        <f t="shared" si="58"/>
        <v>-0.56676563125547219</v>
      </c>
      <c r="T756">
        <f t="shared" si="59"/>
        <v>0.32122328077241386</v>
      </c>
    </row>
    <row r="757" spans="1:20" hidden="1" x14ac:dyDescent="0.25">
      <c r="A757" t="str">
        <f t="shared" si="56"/>
        <v>BAR</v>
      </c>
      <c r="B757" t="s">
        <v>763</v>
      </c>
      <c r="C757">
        <v>1.57641995</v>
      </c>
      <c r="D757">
        <v>6.0910124000000003E-2</v>
      </c>
      <c r="E757">
        <v>0.69143608999999995</v>
      </c>
      <c r="F757">
        <v>0.320135475</v>
      </c>
      <c r="G757">
        <v>0.76392135000000005</v>
      </c>
      <c r="H757">
        <v>0.87</v>
      </c>
      <c r="I757">
        <v>1.23438224464094</v>
      </c>
      <c r="J757">
        <v>1.19954721643814</v>
      </c>
      <c r="K757">
        <v>1.43198450517083</v>
      </c>
      <c r="L757">
        <v>1.2991607434153301</v>
      </c>
      <c r="M757">
        <v>1.2169647305395399</v>
      </c>
      <c r="N757">
        <v>1.21684008217173</v>
      </c>
      <c r="Q757">
        <f t="shared" si="55"/>
        <v>0.87</v>
      </c>
      <c r="R757">
        <f t="shared" si="57"/>
        <v>1.1167211802515458</v>
      </c>
      <c r="S757">
        <f t="shared" si="58"/>
        <v>-0.24672118025154577</v>
      </c>
      <c r="T757">
        <f t="shared" si="59"/>
        <v>6.087134078471574E-2</v>
      </c>
    </row>
    <row r="758" spans="1:20" hidden="1" x14ac:dyDescent="0.25">
      <c r="A758" t="str">
        <f t="shared" si="56"/>
        <v>BAR</v>
      </c>
      <c r="B758" t="s">
        <v>764</v>
      </c>
      <c r="C758">
        <v>1.4512513579999999</v>
      </c>
      <c r="D758">
        <v>6.4540873999999998E-2</v>
      </c>
      <c r="E758">
        <v>0.67975259099999996</v>
      </c>
      <c r="F758">
        <v>0.33990671099999997</v>
      </c>
      <c r="G758">
        <v>0.74204356699999996</v>
      </c>
      <c r="H758">
        <v>1.06</v>
      </c>
      <c r="I758">
        <v>1.52004057562854</v>
      </c>
      <c r="J758">
        <v>1.4692900045475601</v>
      </c>
      <c r="K758">
        <v>1.79819456693466</v>
      </c>
      <c r="L758">
        <v>1.61917325733768</v>
      </c>
      <c r="M758">
        <v>1.4946652900880499</v>
      </c>
      <c r="N758">
        <v>1.4944498734577001</v>
      </c>
      <c r="Q758">
        <f t="shared" si="55"/>
        <v>1.06</v>
      </c>
      <c r="R758">
        <f t="shared" si="57"/>
        <v>1.4249317924563818</v>
      </c>
      <c r="S758">
        <f t="shared" si="58"/>
        <v>-0.36493179245638174</v>
      </c>
      <c r="T758">
        <f t="shared" si="59"/>
        <v>0.13317521314542768</v>
      </c>
    </row>
    <row r="759" spans="1:20" hidden="1" x14ac:dyDescent="0.25">
      <c r="A759" t="str">
        <f t="shared" si="56"/>
        <v>BAR</v>
      </c>
      <c r="B759" t="s">
        <v>765</v>
      </c>
      <c r="C759">
        <v>1.832044888</v>
      </c>
      <c r="D759">
        <v>6.1637512999999998E-2</v>
      </c>
      <c r="E759">
        <v>0.71930599799999995</v>
      </c>
      <c r="F759">
        <v>0.47910837499999998</v>
      </c>
      <c r="G759">
        <v>0.78894039900000001</v>
      </c>
      <c r="H759">
        <v>1.19</v>
      </c>
      <c r="I759">
        <v>1.59716843159842</v>
      </c>
      <c r="J759">
        <v>1.5741028516822899</v>
      </c>
      <c r="K759">
        <v>1.8753608858403299</v>
      </c>
      <c r="L759">
        <v>1.8681670267953101</v>
      </c>
      <c r="M759">
        <v>1.5856356416403501</v>
      </c>
      <c r="N759">
        <v>1.58559370041508</v>
      </c>
      <c r="Q759">
        <f t="shared" si="55"/>
        <v>1.19</v>
      </c>
      <c r="R759">
        <f t="shared" si="57"/>
        <v>1.5351875319245778</v>
      </c>
      <c r="S759">
        <f t="shared" si="58"/>
        <v>-0.34518753192457785</v>
      </c>
      <c r="T759">
        <f t="shared" si="59"/>
        <v>0.11915443219618145</v>
      </c>
    </row>
    <row r="760" spans="1:20" hidden="1" x14ac:dyDescent="0.25">
      <c r="A760" t="str">
        <f t="shared" si="56"/>
        <v>BAR</v>
      </c>
      <c r="B760" t="s">
        <v>766</v>
      </c>
      <c r="C760">
        <v>2.1511856530000002</v>
      </c>
      <c r="D760">
        <v>6.0659921999999998E-2</v>
      </c>
      <c r="E760">
        <v>0.70887525399999995</v>
      </c>
      <c r="F760">
        <v>0.49715418300000003</v>
      </c>
      <c r="G760">
        <v>0.76925954399999996</v>
      </c>
      <c r="H760">
        <v>1.42</v>
      </c>
      <c r="I760">
        <v>1.2753905823171601</v>
      </c>
      <c r="J760">
        <v>1.2874276364467001</v>
      </c>
      <c r="K760">
        <v>1.4278875095624901</v>
      </c>
      <c r="L760">
        <v>1.49497521407094</v>
      </c>
      <c r="M760">
        <v>1.28140910938193</v>
      </c>
      <c r="N760">
        <v>1.2813949753838401</v>
      </c>
      <c r="Q760">
        <f t="shared" si="55"/>
        <v>1.42</v>
      </c>
      <c r="R760">
        <f t="shared" si="57"/>
        <v>1.190933121801061</v>
      </c>
      <c r="S760">
        <f t="shared" si="58"/>
        <v>0.22906687819893889</v>
      </c>
      <c r="T760">
        <f t="shared" si="59"/>
        <v>5.2471634687807509E-2</v>
      </c>
    </row>
    <row r="761" spans="1:20" hidden="1" x14ac:dyDescent="0.25">
      <c r="A761" t="str">
        <f t="shared" si="56"/>
        <v>BAR</v>
      </c>
      <c r="B761" t="s">
        <v>767</v>
      </c>
      <c r="C761">
        <v>1.8527477670000001</v>
      </c>
      <c r="D761">
        <v>5.9856333999999997E-2</v>
      </c>
      <c r="E761">
        <v>0.69149650799999995</v>
      </c>
      <c r="F761">
        <v>0.45103479600000002</v>
      </c>
      <c r="G761">
        <v>0.74613355000000003</v>
      </c>
      <c r="H761">
        <v>1.38</v>
      </c>
      <c r="I761">
        <v>1.4543831176809401</v>
      </c>
      <c r="J761">
        <v>1.3800664671846801</v>
      </c>
      <c r="K761">
        <v>1.7317603876383201</v>
      </c>
      <c r="L761">
        <v>1.77777126660759</v>
      </c>
      <c r="M761">
        <v>1.4172247924328101</v>
      </c>
      <c r="N761">
        <v>1.4167375802000099</v>
      </c>
      <c r="Q761">
        <f t="shared" si="55"/>
        <v>1.38</v>
      </c>
      <c r="R761">
        <f t="shared" si="57"/>
        <v>1.3184247276406622</v>
      </c>
      <c r="S761">
        <f t="shared" si="58"/>
        <v>6.1575272359337685E-2</v>
      </c>
      <c r="T761">
        <f t="shared" si="59"/>
        <v>3.7915141661266157E-3</v>
      </c>
    </row>
    <row r="762" spans="1:20" hidden="1" x14ac:dyDescent="0.25">
      <c r="A762" t="str">
        <f t="shared" si="56"/>
        <v>BAR</v>
      </c>
      <c r="B762" t="s">
        <v>768</v>
      </c>
      <c r="C762">
        <v>1.6718474270000001</v>
      </c>
      <c r="D762">
        <v>6.0713325999999998E-2</v>
      </c>
      <c r="E762">
        <v>0.69966091399999997</v>
      </c>
      <c r="F762">
        <v>0.46534841599999999</v>
      </c>
      <c r="G762">
        <v>0.751377666</v>
      </c>
      <c r="H762">
        <v>1.37</v>
      </c>
      <c r="I762">
        <v>1.7612293790039699</v>
      </c>
      <c r="J762">
        <v>1.6415443050540801</v>
      </c>
      <c r="K762">
        <v>2.1363292893855301</v>
      </c>
      <c r="L762">
        <v>2.1638137952349599</v>
      </c>
      <c r="M762">
        <v>1.7013868420290199</v>
      </c>
      <c r="N762">
        <v>1.7003341015805999</v>
      </c>
      <c r="Q762">
        <f t="shared" si="55"/>
        <v>1.37</v>
      </c>
      <c r="R762">
        <f t="shared" si="57"/>
        <v>1.6277042888380975</v>
      </c>
      <c r="S762">
        <f t="shared" si="58"/>
        <v>-0.25770428883809737</v>
      </c>
      <c r="T762">
        <f t="shared" si="59"/>
        <v>6.6411500485549516E-2</v>
      </c>
    </row>
    <row r="763" spans="1:20" hidden="1" x14ac:dyDescent="0.25">
      <c r="A763" t="str">
        <f t="shared" si="56"/>
        <v>BAR</v>
      </c>
      <c r="B763" t="s">
        <v>769</v>
      </c>
      <c r="C763">
        <v>1.764175549</v>
      </c>
      <c r="D763">
        <v>6.2024200000000002E-2</v>
      </c>
      <c r="E763">
        <v>0.70636983399999997</v>
      </c>
      <c r="F763">
        <v>0.550375367</v>
      </c>
      <c r="G763">
        <v>0.76975964699999999</v>
      </c>
      <c r="H763">
        <v>1.51</v>
      </c>
      <c r="I763">
        <v>2.0142510291133</v>
      </c>
      <c r="J763">
        <v>1.89900687867591</v>
      </c>
      <c r="K763">
        <v>2.37133160364613</v>
      </c>
      <c r="L763">
        <v>2.46854651351391</v>
      </c>
      <c r="M763">
        <v>1.9566289538946</v>
      </c>
      <c r="N763">
        <v>1.9557802943240301</v>
      </c>
      <c r="Q763">
        <f t="shared" si="55"/>
        <v>1.51</v>
      </c>
      <c r="R763">
        <f t="shared" si="57"/>
        <v>1.9179005475396189</v>
      </c>
      <c r="S763">
        <f t="shared" si="58"/>
        <v>-0.40790054753961891</v>
      </c>
      <c r="T763">
        <f t="shared" si="59"/>
        <v>0.16638285668312092</v>
      </c>
    </row>
    <row r="764" spans="1:20" hidden="1" x14ac:dyDescent="0.25">
      <c r="A764" t="str">
        <f t="shared" si="56"/>
        <v>BAR</v>
      </c>
      <c r="B764" t="s">
        <v>770</v>
      </c>
      <c r="C764">
        <v>1.7394090010000001</v>
      </c>
      <c r="D764">
        <v>6.2898635999999994E-2</v>
      </c>
      <c r="E764">
        <v>0.71388585100000002</v>
      </c>
      <c r="F764">
        <v>0.44965020500000003</v>
      </c>
      <c r="G764">
        <v>0.77103015200000002</v>
      </c>
      <c r="H764">
        <v>1.41</v>
      </c>
      <c r="I764">
        <v>1.6180446783476701</v>
      </c>
      <c r="J764">
        <v>1.5826143773427099</v>
      </c>
      <c r="K764">
        <v>1.88943542611321</v>
      </c>
      <c r="L764">
        <v>1.91231395627001</v>
      </c>
      <c r="M764">
        <v>1.6003295278451899</v>
      </c>
      <c r="N764">
        <v>1.6002314742361099</v>
      </c>
      <c r="Q764">
        <f t="shared" si="55"/>
        <v>1.41</v>
      </c>
      <c r="R764">
        <f t="shared" si="57"/>
        <v>1.5452715131247361</v>
      </c>
      <c r="S764">
        <f t="shared" si="58"/>
        <v>-0.13527151312473618</v>
      </c>
      <c r="T764">
        <f t="shared" si="59"/>
        <v>1.8298382263055673E-2</v>
      </c>
    </row>
    <row r="765" spans="1:20" hidden="1" x14ac:dyDescent="0.25">
      <c r="A765" t="str">
        <f t="shared" si="56"/>
        <v>BAR</v>
      </c>
      <c r="B765" t="s">
        <v>771</v>
      </c>
      <c r="C765">
        <v>1.660058985</v>
      </c>
      <c r="D765">
        <v>6.4490298000000001E-2</v>
      </c>
      <c r="E765">
        <v>0.70828032100000005</v>
      </c>
      <c r="F765">
        <v>0.33890742299999999</v>
      </c>
      <c r="G765">
        <v>0.75736073000000004</v>
      </c>
      <c r="H765">
        <v>1.31</v>
      </c>
      <c r="I765">
        <v>1.24145561630069</v>
      </c>
      <c r="J765">
        <v>1.2873326493342401</v>
      </c>
      <c r="K765">
        <v>1.4094326767882901</v>
      </c>
      <c r="L765">
        <v>1.2901187637295699</v>
      </c>
      <c r="M765">
        <v>1.2643941328174599</v>
      </c>
      <c r="N765">
        <v>1.26418604151574</v>
      </c>
      <c r="Q765">
        <f t="shared" si="55"/>
        <v>1.31</v>
      </c>
      <c r="R765">
        <f t="shared" si="57"/>
        <v>1.1987623360247781</v>
      </c>
      <c r="S765">
        <f t="shared" si="58"/>
        <v>0.11123766397522195</v>
      </c>
      <c r="T765">
        <f t="shared" si="59"/>
        <v>1.237381788666439E-2</v>
      </c>
    </row>
    <row r="766" spans="1:20" hidden="1" x14ac:dyDescent="0.25">
      <c r="A766" t="str">
        <f t="shared" si="56"/>
        <v>BAR</v>
      </c>
      <c r="B766" t="s">
        <v>772</v>
      </c>
      <c r="C766">
        <v>1.7602165409999999</v>
      </c>
      <c r="D766">
        <v>6.1302974000000003E-2</v>
      </c>
      <c r="E766">
        <v>0.70631972499999995</v>
      </c>
      <c r="F766">
        <v>0.43486018900000001</v>
      </c>
      <c r="G766">
        <v>0.776561159</v>
      </c>
      <c r="H766">
        <v>1.01</v>
      </c>
      <c r="I766">
        <v>1.5044894951355701</v>
      </c>
      <c r="J766">
        <v>1.46183168177933</v>
      </c>
      <c r="K766">
        <v>1.7611697248268401</v>
      </c>
      <c r="L766">
        <v>1.75086867532748</v>
      </c>
      <c r="M766">
        <v>1.4831605884574499</v>
      </c>
      <c r="N766">
        <v>1.4830072180853899</v>
      </c>
      <c r="Q766">
        <f t="shared" si="55"/>
        <v>1.01</v>
      </c>
      <c r="R766">
        <f t="shared" si="57"/>
        <v>1.4106500241878899</v>
      </c>
      <c r="S766">
        <f t="shared" si="58"/>
        <v>-0.40065002418788986</v>
      </c>
      <c r="T766">
        <f t="shared" si="59"/>
        <v>0.16052044188175674</v>
      </c>
    </row>
    <row r="767" spans="1:20" hidden="1" x14ac:dyDescent="0.25">
      <c r="A767" t="str">
        <f t="shared" si="56"/>
        <v>BAR</v>
      </c>
      <c r="B767" t="s">
        <v>773</v>
      </c>
      <c r="C767">
        <v>1.7927466299999999</v>
      </c>
      <c r="D767">
        <v>6.0618856999999998E-2</v>
      </c>
      <c r="E767">
        <v>0.69779447800000005</v>
      </c>
      <c r="F767">
        <v>0.43388633900000001</v>
      </c>
      <c r="G767">
        <v>0.75632267099999995</v>
      </c>
      <c r="H767">
        <v>1.55</v>
      </c>
      <c r="I767">
        <v>1.45560683835566</v>
      </c>
      <c r="J767">
        <v>1.4009776903555899</v>
      </c>
      <c r="K767">
        <v>1.6937853810057599</v>
      </c>
      <c r="L767">
        <v>1.67679757101816</v>
      </c>
      <c r="M767">
        <v>1.42829226435562</v>
      </c>
      <c r="N767">
        <v>1.42803105934896</v>
      </c>
      <c r="Q767">
        <f t="shared" si="55"/>
        <v>1.55</v>
      </c>
      <c r="R767">
        <f t="shared" si="57"/>
        <v>1.3419099417787508</v>
      </c>
      <c r="S767">
        <f t="shared" si="58"/>
        <v>0.20809005822124926</v>
      </c>
      <c r="T767">
        <f t="shared" si="59"/>
        <v>4.3301472330522908E-2</v>
      </c>
    </row>
    <row r="768" spans="1:20" hidden="1" x14ac:dyDescent="0.25">
      <c r="A768" t="str">
        <f t="shared" si="56"/>
        <v>BAR</v>
      </c>
      <c r="B768" t="s">
        <v>774</v>
      </c>
      <c r="C768">
        <v>1.7550638839999999</v>
      </c>
      <c r="D768">
        <v>6.0063773000000001E-2</v>
      </c>
      <c r="E768">
        <v>0.71564516199999995</v>
      </c>
      <c r="F768">
        <v>0.52141723900000003</v>
      </c>
      <c r="G768">
        <v>0.79241826100000001</v>
      </c>
      <c r="H768">
        <v>1.62</v>
      </c>
      <c r="I768">
        <v>1.83243697727141</v>
      </c>
      <c r="J768">
        <v>1.7659398257057899</v>
      </c>
      <c r="K768">
        <v>2.10007690537461</v>
      </c>
      <c r="L768">
        <v>2.1109287327451201</v>
      </c>
      <c r="M768">
        <v>1.7991884014885999</v>
      </c>
      <c r="N768">
        <v>1.7988811623505101</v>
      </c>
      <c r="Q768">
        <f t="shared" si="55"/>
        <v>1.62</v>
      </c>
      <c r="R768">
        <f t="shared" si="57"/>
        <v>1.7692156422251628</v>
      </c>
      <c r="S768">
        <f t="shared" si="58"/>
        <v>-0.1492156422251627</v>
      </c>
      <c r="T768">
        <f t="shared" si="59"/>
        <v>2.2265307884667757E-2</v>
      </c>
    </row>
    <row r="769" spans="1:20" hidden="1" x14ac:dyDescent="0.25">
      <c r="A769" t="str">
        <f t="shared" si="56"/>
        <v>BAR</v>
      </c>
      <c r="B769" t="s">
        <v>775</v>
      </c>
      <c r="C769">
        <v>1.7972257949999999</v>
      </c>
      <c r="D769">
        <v>6.1277722999999999E-2</v>
      </c>
      <c r="E769">
        <v>0.71368835600000002</v>
      </c>
      <c r="F769">
        <v>0.54675101500000001</v>
      </c>
      <c r="G769">
        <v>0.77854742399999999</v>
      </c>
      <c r="H769">
        <v>1.28</v>
      </c>
      <c r="I769">
        <v>1.9279297981058601</v>
      </c>
      <c r="J769">
        <v>1.84295328398813</v>
      </c>
      <c r="K769">
        <v>2.3545915313676198</v>
      </c>
      <c r="L769">
        <v>2.41238918417279</v>
      </c>
      <c r="M769">
        <v>1.88544154104699</v>
      </c>
      <c r="N769">
        <v>1.88496274571084</v>
      </c>
      <c r="Q769">
        <f t="shared" ref="Q769:Q832" si="60">H769</f>
        <v>1.28</v>
      </c>
      <c r="R769">
        <f t="shared" si="57"/>
        <v>1.8527806234051947</v>
      </c>
      <c r="S769">
        <f t="shared" si="58"/>
        <v>-0.57278062340519464</v>
      </c>
      <c r="T769">
        <f t="shared" si="59"/>
        <v>0.3280776425484434</v>
      </c>
    </row>
    <row r="770" spans="1:20" hidden="1" x14ac:dyDescent="0.25">
      <c r="A770" t="str">
        <f t="shared" si="56"/>
        <v>BAR</v>
      </c>
      <c r="B770" t="s">
        <v>776</v>
      </c>
      <c r="C770">
        <v>1.7950464020000001</v>
      </c>
      <c r="D770">
        <v>6.2037741E-2</v>
      </c>
      <c r="E770">
        <v>0.69026213999999997</v>
      </c>
      <c r="F770">
        <v>0.41880105899999998</v>
      </c>
      <c r="G770">
        <v>0.756196066</v>
      </c>
      <c r="H770">
        <v>1.28</v>
      </c>
      <c r="I770">
        <v>1.40964914837272</v>
      </c>
      <c r="J770">
        <v>1.3680016488717199</v>
      </c>
      <c r="K770">
        <v>1.70324740136982</v>
      </c>
      <c r="L770">
        <v>1.7100940111391101</v>
      </c>
      <c r="M770">
        <v>1.3888253986222201</v>
      </c>
      <c r="N770">
        <v>1.3886692764313999</v>
      </c>
      <c r="Q770">
        <f t="shared" si="60"/>
        <v>1.28</v>
      </c>
      <c r="R770">
        <f t="shared" si="57"/>
        <v>1.2989817515645026</v>
      </c>
      <c r="S770">
        <f t="shared" si="58"/>
        <v>-1.8981751564502547E-2</v>
      </c>
      <c r="T770">
        <f t="shared" si="59"/>
        <v>3.603068924564949E-4</v>
      </c>
    </row>
    <row r="771" spans="1:20" hidden="1" x14ac:dyDescent="0.25">
      <c r="A771" t="str">
        <f t="shared" ref="A771:A834" si="61">LEFT(B771,3)</f>
        <v>BAR</v>
      </c>
      <c r="B771" t="s">
        <v>777</v>
      </c>
      <c r="C771">
        <v>1.7668455030000001</v>
      </c>
      <c r="D771">
        <v>6.2483253000000002E-2</v>
      </c>
      <c r="E771">
        <v>0.70464951899999995</v>
      </c>
      <c r="F771">
        <v>0.45721208899999999</v>
      </c>
      <c r="G771">
        <v>0.75966580399999994</v>
      </c>
      <c r="H771">
        <v>1.05</v>
      </c>
      <c r="I771">
        <v>1.61989570477274</v>
      </c>
      <c r="J771">
        <v>1.5631248395291599</v>
      </c>
      <c r="K771">
        <v>1.93596193565045</v>
      </c>
      <c r="L771">
        <v>1.97487514322143</v>
      </c>
      <c r="M771">
        <v>1.59151027215095</v>
      </c>
      <c r="N771">
        <v>1.5912571173687999</v>
      </c>
      <c r="Q771">
        <f t="shared" si="60"/>
        <v>1.05</v>
      </c>
      <c r="R771">
        <f t="shared" ref="R771:R834" si="62">$X$2*F771+$X$3*D771*E771+($X$4/(D771-$X$5))-$X$6*C771</f>
        <v>1.5242231855154338</v>
      </c>
      <c r="S771">
        <f t="shared" ref="S771:S834" si="63">Q771-R771</f>
        <v>-0.47422318551543374</v>
      </c>
      <c r="T771">
        <f t="shared" ref="T771:T834" si="64">S771^2</f>
        <v>0.22488762968040549</v>
      </c>
    </row>
    <row r="772" spans="1:20" hidden="1" x14ac:dyDescent="0.25">
      <c r="A772" t="str">
        <f t="shared" si="61"/>
        <v>BAR</v>
      </c>
      <c r="B772" t="s">
        <v>778</v>
      </c>
      <c r="C772">
        <v>1.6082850049999999</v>
      </c>
      <c r="D772">
        <v>6.2476351999999999E-2</v>
      </c>
      <c r="E772">
        <v>0.68618795300000002</v>
      </c>
      <c r="F772">
        <v>0.37207978200000003</v>
      </c>
      <c r="G772">
        <v>0.74168036500000001</v>
      </c>
      <c r="H772">
        <v>1.2</v>
      </c>
      <c r="I772">
        <v>1.43654748763775</v>
      </c>
      <c r="J772">
        <v>1.3889772889027101</v>
      </c>
      <c r="K772">
        <v>1.75717580840301</v>
      </c>
      <c r="L772">
        <v>1.68313549463515</v>
      </c>
      <c r="M772">
        <v>1.41276238827023</v>
      </c>
      <c r="N772">
        <v>1.4125621525296099</v>
      </c>
      <c r="Q772">
        <f t="shared" si="60"/>
        <v>1.2</v>
      </c>
      <c r="R772">
        <f t="shared" si="62"/>
        <v>1.3310778020460898</v>
      </c>
      <c r="S772">
        <f t="shared" si="63"/>
        <v>-0.13107780204608988</v>
      </c>
      <c r="T772">
        <f t="shared" si="64"/>
        <v>1.7181390189233921E-2</v>
      </c>
    </row>
    <row r="773" spans="1:20" hidden="1" x14ac:dyDescent="0.25">
      <c r="A773" t="str">
        <f t="shared" si="61"/>
        <v>BAR</v>
      </c>
      <c r="B773" t="s">
        <v>779</v>
      </c>
      <c r="C773">
        <v>1.8916933419999999</v>
      </c>
      <c r="D773">
        <v>6.2528235000000001E-2</v>
      </c>
      <c r="E773">
        <v>0.69510521599999997</v>
      </c>
      <c r="F773">
        <v>0.47615042299999999</v>
      </c>
      <c r="G773">
        <v>0.76973446099999998</v>
      </c>
      <c r="H773">
        <v>1.21</v>
      </c>
      <c r="I773">
        <v>1.5452217665612</v>
      </c>
      <c r="J773">
        <v>1.49860025656704</v>
      </c>
      <c r="K773">
        <v>1.7691324813614699</v>
      </c>
      <c r="L773">
        <v>1.7794426900285201</v>
      </c>
      <c r="M773">
        <v>1.5219110115641199</v>
      </c>
      <c r="N773">
        <v>1.5217324784013799</v>
      </c>
      <c r="Q773">
        <f t="shared" si="60"/>
        <v>1.21</v>
      </c>
      <c r="R773">
        <f t="shared" si="62"/>
        <v>1.4442896068323594</v>
      </c>
      <c r="S773">
        <f t="shared" si="63"/>
        <v>-0.23428960683235944</v>
      </c>
      <c r="T773">
        <f t="shared" si="64"/>
        <v>5.4891619869661568E-2</v>
      </c>
    </row>
    <row r="774" spans="1:20" hidden="1" x14ac:dyDescent="0.25">
      <c r="A774" t="str">
        <f t="shared" si="61"/>
        <v>BAR</v>
      </c>
      <c r="B774" t="s">
        <v>780</v>
      </c>
      <c r="C774">
        <v>1.7105219380000001</v>
      </c>
      <c r="D774">
        <v>6.0892310999999998E-2</v>
      </c>
      <c r="E774">
        <v>0.71111596399999999</v>
      </c>
      <c r="F774">
        <v>0.33002478000000002</v>
      </c>
      <c r="G774">
        <v>0.75511246200000004</v>
      </c>
      <c r="H774">
        <v>1.1299999999999999</v>
      </c>
      <c r="I774">
        <v>1.07759612889273</v>
      </c>
      <c r="J774">
        <v>1.1220192242567799</v>
      </c>
      <c r="K774">
        <v>1.2903403629975101</v>
      </c>
      <c r="L774">
        <v>1.1790174201536601</v>
      </c>
      <c r="M774">
        <v>1.09980767657475</v>
      </c>
      <c r="N774">
        <v>1.0995833631891301</v>
      </c>
      <c r="Q774">
        <f t="shared" si="60"/>
        <v>1.1299999999999999</v>
      </c>
      <c r="R774">
        <f t="shared" si="62"/>
        <v>1.0172684552914819</v>
      </c>
      <c r="S774">
        <f t="shared" si="63"/>
        <v>0.11273154470851798</v>
      </c>
      <c r="T774">
        <f t="shared" si="64"/>
        <v>1.2708401172368589E-2</v>
      </c>
    </row>
    <row r="775" spans="1:20" hidden="1" x14ac:dyDescent="0.25">
      <c r="A775" t="str">
        <f t="shared" si="61"/>
        <v>BAR</v>
      </c>
      <c r="B775" t="s">
        <v>781</v>
      </c>
      <c r="C775">
        <v>1.323930311</v>
      </c>
      <c r="D775">
        <v>6.3590351000000003E-2</v>
      </c>
      <c r="E775">
        <v>0.69535543399999999</v>
      </c>
      <c r="F775">
        <v>0.31368077100000002</v>
      </c>
      <c r="G775">
        <v>0.71474338400000004</v>
      </c>
      <c r="H775">
        <v>0.87</v>
      </c>
      <c r="I775">
        <v>1.5301841206675399</v>
      </c>
      <c r="J775">
        <v>1.49496923806329</v>
      </c>
      <c r="K775">
        <v>1.9059849481885001</v>
      </c>
      <c r="L775">
        <v>1.76824339950467</v>
      </c>
      <c r="M775">
        <v>1.5125766793654201</v>
      </c>
      <c r="N775">
        <v>1.5124741944809801</v>
      </c>
      <c r="Q775">
        <f t="shared" si="60"/>
        <v>0.87</v>
      </c>
      <c r="R775">
        <f t="shared" si="62"/>
        <v>1.4623460897681138</v>
      </c>
      <c r="S775">
        <f t="shared" si="63"/>
        <v>-0.59234608976811376</v>
      </c>
      <c r="T775">
        <f t="shared" si="64"/>
        <v>0.35087389006357428</v>
      </c>
    </row>
    <row r="776" spans="1:20" hidden="1" x14ac:dyDescent="0.25">
      <c r="A776" t="str">
        <f t="shared" si="61"/>
        <v>BAR</v>
      </c>
      <c r="B776" t="s">
        <v>782</v>
      </c>
      <c r="C776">
        <v>1.554018152</v>
      </c>
      <c r="D776">
        <v>6.0610493000000001E-2</v>
      </c>
      <c r="E776">
        <v>0.704296645</v>
      </c>
      <c r="F776">
        <v>0.37243695799999998</v>
      </c>
      <c r="G776">
        <v>0.75850206499999995</v>
      </c>
      <c r="H776">
        <v>1.37</v>
      </c>
      <c r="I776">
        <v>1.4778558465813001</v>
      </c>
      <c r="J776">
        <v>1.4206293744966401</v>
      </c>
      <c r="K776">
        <v>1.8679364076632801</v>
      </c>
      <c r="L776">
        <v>1.7873443648276299</v>
      </c>
      <c r="M776">
        <v>1.44924261053897</v>
      </c>
      <c r="N776">
        <v>1.4489601191630499</v>
      </c>
      <c r="Q776">
        <f t="shared" si="60"/>
        <v>1.37</v>
      </c>
      <c r="R776">
        <f t="shared" si="62"/>
        <v>1.3751156935352116</v>
      </c>
      <c r="S776">
        <f t="shared" si="63"/>
        <v>-5.115693535211463E-3</v>
      </c>
      <c r="T776">
        <f t="shared" si="64"/>
        <v>2.6170320346204355E-5</v>
      </c>
    </row>
    <row r="777" spans="1:20" hidden="1" x14ac:dyDescent="0.25">
      <c r="A777" t="str">
        <f t="shared" si="61"/>
        <v>BAR</v>
      </c>
      <c r="B777" t="s">
        <v>783</v>
      </c>
      <c r="C777">
        <v>1.742402725</v>
      </c>
      <c r="D777">
        <v>6.3498252000000005E-2</v>
      </c>
      <c r="E777">
        <v>0.69666301600000002</v>
      </c>
      <c r="F777">
        <v>0.367810374</v>
      </c>
      <c r="G777">
        <v>0.73886264800000001</v>
      </c>
      <c r="H777">
        <v>1.34</v>
      </c>
      <c r="I777">
        <v>1.2486338596689099</v>
      </c>
      <c r="J777">
        <v>1.2745424282668401</v>
      </c>
      <c r="K777">
        <v>1.4593170229961501</v>
      </c>
      <c r="L777">
        <v>1.3870758341607501</v>
      </c>
      <c r="M777">
        <v>1.26158814396788</v>
      </c>
      <c r="N777">
        <v>1.2615216333930299</v>
      </c>
      <c r="Q777">
        <f t="shared" si="60"/>
        <v>1.34</v>
      </c>
      <c r="R777">
        <f t="shared" si="62"/>
        <v>1.185714066163619</v>
      </c>
      <c r="S777">
        <f t="shared" si="63"/>
        <v>0.15428593383638112</v>
      </c>
      <c r="T777">
        <f t="shared" si="64"/>
        <v>2.3804149379764172E-2</v>
      </c>
    </row>
    <row r="778" spans="1:20" hidden="1" x14ac:dyDescent="0.25">
      <c r="A778" t="str">
        <f t="shared" si="61"/>
        <v>BAR</v>
      </c>
      <c r="B778" t="s">
        <v>784</v>
      </c>
      <c r="C778">
        <v>1.7544445849999999</v>
      </c>
      <c r="D778">
        <v>6.1230129000000001E-2</v>
      </c>
      <c r="E778">
        <v>0.72122030100000001</v>
      </c>
      <c r="F778">
        <v>0.42277758199999999</v>
      </c>
      <c r="G778">
        <v>0.78772335900000001</v>
      </c>
      <c r="H778">
        <v>1.25</v>
      </c>
      <c r="I778">
        <v>1.4535457566127401</v>
      </c>
      <c r="J778">
        <v>1.4372672006723</v>
      </c>
      <c r="K778">
        <v>1.69172985677101</v>
      </c>
      <c r="L778">
        <v>1.66305301119858</v>
      </c>
      <c r="M778">
        <v>1.44540647864252</v>
      </c>
      <c r="N778">
        <v>1.4453835617772499</v>
      </c>
      <c r="Q778">
        <f t="shared" si="60"/>
        <v>1.25</v>
      </c>
      <c r="R778">
        <f t="shared" si="62"/>
        <v>1.3804182085533574</v>
      </c>
      <c r="S778">
        <f t="shared" si="63"/>
        <v>-0.1304182085533574</v>
      </c>
      <c r="T778">
        <f t="shared" si="64"/>
        <v>1.7008909122267026E-2</v>
      </c>
    </row>
    <row r="779" spans="1:20" hidden="1" x14ac:dyDescent="0.25">
      <c r="A779" t="str">
        <f t="shared" si="61"/>
        <v>BAR</v>
      </c>
      <c r="B779" t="s">
        <v>785</v>
      </c>
      <c r="C779">
        <v>1.7538868190000001</v>
      </c>
      <c r="D779">
        <v>6.1688373999999997E-2</v>
      </c>
      <c r="E779">
        <v>0.70151005700000002</v>
      </c>
      <c r="F779">
        <v>0.43002913199999998</v>
      </c>
      <c r="G779">
        <v>0.765197393</v>
      </c>
      <c r="H779">
        <v>1.1499999999999999</v>
      </c>
      <c r="I779">
        <v>1.5002674442508399</v>
      </c>
      <c r="J779">
        <v>1.4542821227845899</v>
      </c>
      <c r="K779">
        <v>1.8265527310898</v>
      </c>
      <c r="L779">
        <v>1.8486832345092701</v>
      </c>
      <c r="M779">
        <v>1.47727478351772</v>
      </c>
      <c r="N779">
        <v>1.47709584102377</v>
      </c>
      <c r="Q779">
        <f t="shared" si="60"/>
        <v>1.1499999999999999</v>
      </c>
      <c r="R779">
        <f t="shared" si="62"/>
        <v>1.4013378606576103</v>
      </c>
      <c r="S779">
        <f t="shared" si="63"/>
        <v>-0.25133786065761043</v>
      </c>
      <c r="T779">
        <f t="shared" si="64"/>
        <v>6.3170720199944394E-2</v>
      </c>
    </row>
    <row r="780" spans="1:20" hidden="1" x14ac:dyDescent="0.25">
      <c r="A780" t="str">
        <f t="shared" si="61"/>
        <v>BAR</v>
      </c>
      <c r="B780" t="s">
        <v>786</v>
      </c>
      <c r="C780">
        <v>1.189152446</v>
      </c>
      <c r="D780">
        <v>6.5479368999999996E-2</v>
      </c>
      <c r="E780">
        <v>0.70547703900000003</v>
      </c>
      <c r="F780">
        <v>0.30811945699999999</v>
      </c>
      <c r="G780">
        <v>0.76768070700000002</v>
      </c>
      <c r="H780">
        <v>1.4</v>
      </c>
      <c r="I780">
        <v>1.7350635346968999</v>
      </c>
      <c r="J780">
        <v>1.6661162332593</v>
      </c>
      <c r="K780">
        <v>1.9007959892769</v>
      </c>
      <c r="L780">
        <v>1.7745177751248999</v>
      </c>
      <c r="M780">
        <v>1.7005898839781</v>
      </c>
      <c r="N780">
        <v>1.70024043032001</v>
      </c>
      <c r="Q780">
        <f t="shared" si="60"/>
        <v>1.4</v>
      </c>
      <c r="R780">
        <f t="shared" si="62"/>
        <v>1.6591710688702084</v>
      </c>
      <c r="S780">
        <f t="shared" si="63"/>
        <v>-0.25917106887020847</v>
      </c>
      <c r="T780">
        <f t="shared" si="64"/>
        <v>6.7169642939326341E-2</v>
      </c>
    </row>
    <row r="781" spans="1:20" hidden="1" x14ac:dyDescent="0.25">
      <c r="A781" t="str">
        <f t="shared" si="61"/>
        <v>BAR</v>
      </c>
      <c r="B781" t="s">
        <v>787</v>
      </c>
      <c r="C781">
        <v>1.727945254</v>
      </c>
      <c r="D781">
        <v>5.9506603999999998E-2</v>
      </c>
      <c r="E781">
        <v>0.70745481899999996</v>
      </c>
      <c r="F781">
        <v>0.344246781</v>
      </c>
      <c r="G781">
        <v>0.76338447300000001</v>
      </c>
      <c r="H781">
        <v>0.96</v>
      </c>
      <c r="I781">
        <v>1.1151868327365</v>
      </c>
      <c r="J781">
        <v>1.1211641537755701</v>
      </c>
      <c r="K781">
        <v>1.30860613185687</v>
      </c>
      <c r="L781">
        <v>1.2053938015613801</v>
      </c>
      <c r="M781">
        <v>1.1181754932560399</v>
      </c>
      <c r="N781">
        <v>1.1181714992015701</v>
      </c>
      <c r="Q781">
        <f t="shared" si="60"/>
        <v>0.96</v>
      </c>
      <c r="R781">
        <f t="shared" si="62"/>
        <v>1.021180278311038</v>
      </c>
      <c r="S781">
        <f t="shared" si="63"/>
        <v>-6.1180278311038006E-2</v>
      </c>
      <c r="T781">
        <f t="shared" si="64"/>
        <v>3.7430264542160675E-3</v>
      </c>
    </row>
    <row r="782" spans="1:20" hidden="1" x14ac:dyDescent="0.25">
      <c r="A782" t="str">
        <f t="shared" si="61"/>
        <v>BAR</v>
      </c>
      <c r="B782" t="s">
        <v>788</v>
      </c>
      <c r="C782">
        <v>1.612956643</v>
      </c>
      <c r="D782">
        <v>6.4544121999999995E-2</v>
      </c>
      <c r="E782">
        <v>0.68156516</v>
      </c>
      <c r="F782">
        <v>0.31539309199999999</v>
      </c>
      <c r="G782">
        <v>0.72221051700000005</v>
      </c>
      <c r="H782">
        <v>1.34</v>
      </c>
      <c r="I782">
        <v>1.1643842031148599</v>
      </c>
      <c r="J782">
        <v>1.2196497912219899</v>
      </c>
      <c r="K782">
        <v>1.2583853343851501</v>
      </c>
      <c r="L782">
        <v>1.09844070202088</v>
      </c>
      <c r="M782">
        <v>1.19201699716842</v>
      </c>
      <c r="N782">
        <v>1.1916966687170101</v>
      </c>
      <c r="Q782">
        <f t="shared" si="60"/>
        <v>1.34</v>
      </c>
      <c r="R782">
        <f t="shared" si="62"/>
        <v>1.1257395708265141</v>
      </c>
      <c r="S782">
        <f t="shared" si="63"/>
        <v>0.21426042917348598</v>
      </c>
      <c r="T782">
        <f t="shared" si="64"/>
        <v>4.59075315096064E-2</v>
      </c>
    </row>
    <row r="783" spans="1:20" hidden="1" x14ac:dyDescent="0.25">
      <c r="A783" t="str">
        <f t="shared" si="61"/>
        <v>BAR</v>
      </c>
      <c r="B783" t="s">
        <v>789</v>
      </c>
      <c r="C783">
        <v>1.547042029</v>
      </c>
      <c r="D783">
        <v>6.4579555999999996E-2</v>
      </c>
      <c r="E783">
        <v>0.69771973200000004</v>
      </c>
      <c r="F783">
        <v>0.357506932</v>
      </c>
      <c r="G783">
        <v>0.76005545500000005</v>
      </c>
      <c r="H783">
        <v>1.1100000000000001</v>
      </c>
      <c r="I783">
        <v>1.48405276906067</v>
      </c>
      <c r="J783">
        <v>1.45906295222427</v>
      </c>
      <c r="K783">
        <v>1.74233096601747</v>
      </c>
      <c r="L783">
        <v>1.6281823776206801</v>
      </c>
      <c r="M783">
        <v>1.47155786064247</v>
      </c>
      <c r="N783">
        <v>1.47150481293208</v>
      </c>
      <c r="Q783">
        <f t="shared" si="60"/>
        <v>1.1100000000000001</v>
      </c>
      <c r="R783">
        <f t="shared" si="62"/>
        <v>1.4056804424306679</v>
      </c>
      <c r="S783">
        <f t="shared" si="63"/>
        <v>-0.29568044243066782</v>
      </c>
      <c r="T783">
        <f t="shared" si="64"/>
        <v>8.7426924035995474E-2</v>
      </c>
    </row>
    <row r="784" spans="1:20" hidden="1" x14ac:dyDescent="0.25">
      <c r="A784" t="str">
        <f t="shared" si="61"/>
        <v>BAR</v>
      </c>
      <c r="B784" t="s">
        <v>790</v>
      </c>
      <c r="C784">
        <v>1.889416167</v>
      </c>
      <c r="D784">
        <v>5.8769520999999998E-2</v>
      </c>
      <c r="E784">
        <v>0.70636863699999997</v>
      </c>
      <c r="F784">
        <v>0.424628324</v>
      </c>
      <c r="G784">
        <v>0.77857276500000006</v>
      </c>
      <c r="H784">
        <v>1.3</v>
      </c>
      <c r="I784">
        <v>1.2647512589763801</v>
      </c>
      <c r="J784">
        <v>1.23708347989352</v>
      </c>
      <c r="K784">
        <v>1.5571561866592301</v>
      </c>
      <c r="L784">
        <v>1.59278446508476</v>
      </c>
      <c r="M784">
        <v>1.25091736943495</v>
      </c>
      <c r="N784">
        <v>1.25084087263497</v>
      </c>
      <c r="Q784">
        <f t="shared" si="60"/>
        <v>1.3</v>
      </c>
      <c r="R784">
        <f t="shared" si="62"/>
        <v>1.1517918719750639</v>
      </c>
      <c r="S784">
        <f t="shared" si="63"/>
        <v>0.1482081280249361</v>
      </c>
      <c r="T784">
        <f t="shared" si="64"/>
        <v>2.1965649212655852E-2</v>
      </c>
    </row>
    <row r="785" spans="1:20" hidden="1" x14ac:dyDescent="0.25">
      <c r="A785" t="str">
        <f t="shared" si="61"/>
        <v>BAR</v>
      </c>
      <c r="B785" t="s">
        <v>791</v>
      </c>
      <c r="C785">
        <v>1.826440077</v>
      </c>
      <c r="D785">
        <v>5.9060969999999997E-2</v>
      </c>
      <c r="E785">
        <v>0.71716980799999996</v>
      </c>
      <c r="F785">
        <v>0.43889656999999999</v>
      </c>
      <c r="G785">
        <v>0.78487529899999997</v>
      </c>
      <c r="H785">
        <v>1.21</v>
      </c>
      <c r="I785">
        <v>1.3992948623324399</v>
      </c>
      <c r="J785">
        <v>1.37004954338298</v>
      </c>
      <c r="K785">
        <v>1.74604949076099</v>
      </c>
      <c r="L785">
        <v>1.7965500734459501</v>
      </c>
      <c r="M785">
        <v>1.3846722028577101</v>
      </c>
      <c r="N785">
        <v>1.38459499031186</v>
      </c>
      <c r="Q785">
        <f t="shared" si="60"/>
        <v>1.21</v>
      </c>
      <c r="R785">
        <f t="shared" si="62"/>
        <v>1.3073729298060517</v>
      </c>
      <c r="S785">
        <f t="shared" si="63"/>
        <v>-9.7372929806051722E-2</v>
      </c>
      <c r="T785">
        <f t="shared" si="64"/>
        <v>9.4814874590142765E-3</v>
      </c>
    </row>
    <row r="786" spans="1:20" hidden="1" x14ac:dyDescent="0.25">
      <c r="A786" t="str">
        <f t="shared" si="61"/>
        <v>BAR</v>
      </c>
      <c r="B786" t="s">
        <v>792</v>
      </c>
      <c r="C786">
        <v>1.9376864979999999</v>
      </c>
      <c r="D786">
        <v>5.9574120000000001E-2</v>
      </c>
      <c r="E786">
        <v>0.71155602600000001</v>
      </c>
      <c r="F786">
        <v>0.44458615899999998</v>
      </c>
      <c r="G786">
        <v>0.79572397399999995</v>
      </c>
      <c r="H786">
        <v>1.1599999999999999</v>
      </c>
      <c r="I786">
        <v>1.3078623113695</v>
      </c>
      <c r="J786">
        <v>1.2856824658857</v>
      </c>
      <c r="K786">
        <v>1.4318282069797501</v>
      </c>
      <c r="L786">
        <v>1.4342653674664101</v>
      </c>
      <c r="M786">
        <v>1.2967723886275999</v>
      </c>
      <c r="N786">
        <v>1.29672496757042</v>
      </c>
      <c r="Q786">
        <f t="shared" si="60"/>
        <v>1.1599999999999999</v>
      </c>
      <c r="R786">
        <f t="shared" si="62"/>
        <v>1.2025768953857723</v>
      </c>
      <c r="S786">
        <f t="shared" si="63"/>
        <v>-4.2576895385772362E-2</v>
      </c>
      <c r="T786">
        <f t="shared" si="64"/>
        <v>1.812792020691004E-3</v>
      </c>
    </row>
    <row r="787" spans="1:20" hidden="1" x14ac:dyDescent="0.25">
      <c r="A787" t="str">
        <f t="shared" si="61"/>
        <v>BAR</v>
      </c>
      <c r="B787" t="s">
        <v>793</v>
      </c>
      <c r="C787">
        <v>1.827060699</v>
      </c>
      <c r="D787">
        <v>5.9451047999999999E-2</v>
      </c>
      <c r="E787">
        <v>0.701776332</v>
      </c>
      <c r="F787">
        <v>0.43118372599999999</v>
      </c>
      <c r="G787">
        <v>0.76932811300000004</v>
      </c>
      <c r="H787">
        <v>1.02</v>
      </c>
      <c r="I787">
        <v>1.37939779643523</v>
      </c>
      <c r="J787">
        <v>1.3342492045387699</v>
      </c>
      <c r="K787">
        <v>1.7315609828533101</v>
      </c>
      <c r="L787">
        <v>1.81536016492324</v>
      </c>
      <c r="M787">
        <v>1.356823500487</v>
      </c>
      <c r="N787">
        <v>1.3566356963592801</v>
      </c>
      <c r="Q787">
        <f t="shared" si="60"/>
        <v>1.02</v>
      </c>
      <c r="R787">
        <f t="shared" si="62"/>
        <v>1.2662296973527649</v>
      </c>
      <c r="S787">
        <f t="shared" si="63"/>
        <v>-0.2462296973527649</v>
      </c>
      <c r="T787">
        <f t="shared" si="64"/>
        <v>6.0629063858434196E-2</v>
      </c>
    </row>
    <row r="788" spans="1:20" hidden="1" x14ac:dyDescent="0.25">
      <c r="A788" t="str">
        <f t="shared" si="61"/>
        <v>BAR</v>
      </c>
      <c r="B788" t="s">
        <v>794</v>
      </c>
      <c r="C788">
        <v>1.851857936</v>
      </c>
      <c r="D788">
        <v>5.9123755E-2</v>
      </c>
      <c r="E788">
        <v>0.68689845100000002</v>
      </c>
      <c r="F788">
        <v>0.384117869</v>
      </c>
      <c r="G788">
        <v>0.75282142500000004</v>
      </c>
      <c r="H788">
        <v>1.1399999999999999</v>
      </c>
      <c r="I788">
        <v>1.1397244624727501</v>
      </c>
      <c r="J788">
        <v>1.1140256164278499</v>
      </c>
      <c r="K788">
        <v>1.4246676668456699</v>
      </c>
      <c r="L788">
        <v>1.4577542070443701</v>
      </c>
      <c r="M788">
        <v>1.1268750394503</v>
      </c>
      <c r="N788">
        <v>1.1268017779823101</v>
      </c>
      <c r="Q788">
        <f t="shared" si="60"/>
        <v>1.1399999999999999</v>
      </c>
      <c r="R788">
        <f t="shared" si="62"/>
        <v>1.0112890460300483</v>
      </c>
      <c r="S788">
        <f t="shared" si="63"/>
        <v>0.12871095396995158</v>
      </c>
      <c r="T788">
        <f t="shared" si="64"/>
        <v>1.6566509671854995E-2</v>
      </c>
    </row>
    <row r="789" spans="1:20" hidden="1" x14ac:dyDescent="0.25">
      <c r="A789" t="str">
        <f t="shared" si="61"/>
        <v>BAR</v>
      </c>
      <c r="B789" t="s">
        <v>795</v>
      </c>
      <c r="C789">
        <v>1.9500814559999999</v>
      </c>
      <c r="D789">
        <v>6.3372251000000004E-2</v>
      </c>
      <c r="E789">
        <v>0.72042317099999997</v>
      </c>
      <c r="F789">
        <v>0.44040952</v>
      </c>
      <c r="G789">
        <v>0.78428672700000002</v>
      </c>
      <c r="H789">
        <v>1.58</v>
      </c>
      <c r="I789">
        <v>1.3179814847692399</v>
      </c>
      <c r="J789">
        <v>1.3564685633853499</v>
      </c>
      <c r="K789">
        <v>1.5194854316337301</v>
      </c>
      <c r="L789">
        <v>1.5721779238444</v>
      </c>
      <c r="M789">
        <v>1.33722502407729</v>
      </c>
      <c r="N789">
        <v>1.33708655337395</v>
      </c>
      <c r="Q789">
        <f t="shared" si="60"/>
        <v>1.58</v>
      </c>
      <c r="R789">
        <f t="shared" si="62"/>
        <v>1.2686463937043224</v>
      </c>
      <c r="S789">
        <f t="shared" si="63"/>
        <v>0.31135360629567765</v>
      </c>
      <c r="T789">
        <f t="shared" si="64"/>
        <v>9.6941068153323845E-2</v>
      </c>
    </row>
    <row r="790" spans="1:20" hidden="1" x14ac:dyDescent="0.25">
      <c r="A790" t="str">
        <f t="shared" si="61"/>
        <v>BAR</v>
      </c>
      <c r="B790" t="s">
        <v>796</v>
      </c>
      <c r="C790">
        <v>1.8287848879999999</v>
      </c>
      <c r="D790">
        <v>6.3495785999999999E-2</v>
      </c>
      <c r="E790">
        <v>0.73477471299999997</v>
      </c>
      <c r="F790">
        <v>0.41034720699999999</v>
      </c>
      <c r="G790">
        <v>0.80047237400000004</v>
      </c>
      <c r="H790">
        <v>1.46</v>
      </c>
      <c r="I790">
        <v>1.3463764181296101</v>
      </c>
      <c r="J790">
        <v>1.38604751130236</v>
      </c>
      <c r="K790">
        <v>1.5490805877334499</v>
      </c>
      <c r="L790">
        <v>1.56134006688525</v>
      </c>
      <c r="M790">
        <v>1.36621196471599</v>
      </c>
      <c r="N790">
        <v>1.36606796449691</v>
      </c>
      <c r="Q790">
        <f t="shared" si="60"/>
        <v>1.46</v>
      </c>
      <c r="R790">
        <f t="shared" si="62"/>
        <v>1.3062267229998774</v>
      </c>
      <c r="S790">
        <f t="shared" si="63"/>
        <v>0.15377327700012255</v>
      </c>
      <c r="T790">
        <f t="shared" si="64"/>
        <v>2.3646220719356421E-2</v>
      </c>
    </row>
    <row r="791" spans="1:20" hidden="1" x14ac:dyDescent="0.25">
      <c r="A791" t="str">
        <f t="shared" si="61"/>
        <v>BAR</v>
      </c>
      <c r="B791" t="s">
        <v>797</v>
      </c>
      <c r="C791">
        <v>1.8324319120000001</v>
      </c>
      <c r="D791">
        <v>6.7001750999999998E-2</v>
      </c>
      <c r="E791">
        <v>0.70609870600000002</v>
      </c>
      <c r="F791">
        <v>0.38051572099999997</v>
      </c>
      <c r="G791">
        <v>0.75917876699999998</v>
      </c>
      <c r="H791">
        <v>1.0900000000000001</v>
      </c>
      <c r="I791">
        <v>1.2523111416595401</v>
      </c>
      <c r="J791">
        <v>1.32711373844502</v>
      </c>
      <c r="K791">
        <v>1.4033084011563099</v>
      </c>
      <c r="L791">
        <v>1.4026555973175301</v>
      </c>
      <c r="M791">
        <v>1.2897124400522799</v>
      </c>
      <c r="N791">
        <v>1.2891700124126899</v>
      </c>
      <c r="Q791">
        <f t="shared" si="60"/>
        <v>1.0900000000000001</v>
      </c>
      <c r="R791">
        <f t="shared" si="62"/>
        <v>1.2269182738269624</v>
      </c>
      <c r="S791">
        <f t="shared" si="63"/>
        <v>-0.13691827382696231</v>
      </c>
      <c r="T791">
        <f t="shared" si="64"/>
        <v>1.8746613707755034E-2</v>
      </c>
    </row>
    <row r="792" spans="1:20" hidden="1" x14ac:dyDescent="0.25">
      <c r="A792" t="str">
        <f t="shared" si="61"/>
        <v>BAR</v>
      </c>
      <c r="B792" t="s">
        <v>798</v>
      </c>
      <c r="C792">
        <v>1.7987628069999999</v>
      </c>
      <c r="D792">
        <v>6.205741E-2</v>
      </c>
      <c r="E792">
        <v>0.71023402800000002</v>
      </c>
      <c r="F792">
        <v>0.38798470299999999</v>
      </c>
      <c r="G792">
        <v>0.76925175099999998</v>
      </c>
      <c r="H792">
        <v>1.07</v>
      </c>
      <c r="I792">
        <v>1.2602971661628599</v>
      </c>
      <c r="J792">
        <v>1.27293399782901</v>
      </c>
      <c r="K792">
        <v>1.54448208742611</v>
      </c>
      <c r="L792">
        <v>1.56899274791405</v>
      </c>
      <c r="M792">
        <v>1.2666155819959299</v>
      </c>
      <c r="N792">
        <v>1.2665998224286401</v>
      </c>
      <c r="Q792">
        <f t="shared" si="60"/>
        <v>1.07</v>
      </c>
      <c r="R792">
        <f t="shared" si="62"/>
        <v>1.1849106929672195</v>
      </c>
      <c r="S792">
        <f t="shared" si="63"/>
        <v>-0.11491069296721945</v>
      </c>
      <c r="T792">
        <f t="shared" si="64"/>
        <v>1.3204467358206578E-2</v>
      </c>
    </row>
    <row r="793" spans="1:20" hidden="1" x14ac:dyDescent="0.25">
      <c r="A793" t="str">
        <f t="shared" si="61"/>
        <v>BAR</v>
      </c>
      <c r="B793" t="s">
        <v>799</v>
      </c>
      <c r="C793">
        <v>1.8007549620000001</v>
      </c>
      <c r="D793">
        <v>5.6684948999999998E-2</v>
      </c>
      <c r="E793">
        <v>0.68405183000000003</v>
      </c>
      <c r="F793">
        <v>0.36919132399999999</v>
      </c>
      <c r="G793">
        <v>0.74780002899999998</v>
      </c>
      <c r="H793">
        <v>1.02</v>
      </c>
      <c r="I793">
        <v>1.10001679585423</v>
      </c>
      <c r="J793">
        <v>1.0538211987192101</v>
      </c>
      <c r="K793">
        <v>1.4469441741793601</v>
      </c>
      <c r="L793">
        <v>1.4399620244892</v>
      </c>
      <c r="M793">
        <v>1.0769189972867199</v>
      </c>
      <c r="N793">
        <v>1.0766712675735199</v>
      </c>
      <c r="Q793">
        <f t="shared" si="60"/>
        <v>1.02</v>
      </c>
      <c r="R793">
        <f t="shared" si="62"/>
        <v>0.95246316877957193</v>
      </c>
      <c r="S793">
        <f t="shared" si="63"/>
        <v>6.7536831220428084E-2</v>
      </c>
      <c r="T793">
        <f t="shared" si="64"/>
        <v>4.5612235712965896E-3</v>
      </c>
    </row>
    <row r="794" spans="1:20" hidden="1" x14ac:dyDescent="0.25">
      <c r="A794" t="str">
        <f t="shared" si="61"/>
        <v>BAR</v>
      </c>
      <c r="B794" t="s">
        <v>800</v>
      </c>
      <c r="C794">
        <v>1.817112925</v>
      </c>
      <c r="D794">
        <v>6.7974355E-2</v>
      </c>
      <c r="E794">
        <v>0.70152196899999997</v>
      </c>
      <c r="F794">
        <v>0.36079819299999999</v>
      </c>
      <c r="G794">
        <v>0.76693011899999997</v>
      </c>
      <c r="H794">
        <v>1.19</v>
      </c>
      <c r="I794">
        <v>1.2157819947283799</v>
      </c>
      <c r="J794">
        <v>1.2891534992598701</v>
      </c>
      <c r="K794">
        <v>1.3373989256274701</v>
      </c>
      <c r="L794">
        <v>1.30037019571451</v>
      </c>
      <c r="M794">
        <v>1.2524677469941199</v>
      </c>
      <c r="N794">
        <v>1.2519303546289</v>
      </c>
      <c r="Q794">
        <f t="shared" si="60"/>
        <v>1.19</v>
      </c>
      <c r="R794">
        <f t="shared" si="62"/>
        <v>1.1798055687196349</v>
      </c>
      <c r="S794">
        <f t="shared" si="63"/>
        <v>1.0194431280365013E-2</v>
      </c>
      <c r="T794">
        <f t="shared" si="64"/>
        <v>1.0392642913008464E-4</v>
      </c>
    </row>
    <row r="795" spans="1:20" hidden="1" x14ac:dyDescent="0.25">
      <c r="A795" t="str">
        <f t="shared" si="61"/>
        <v>BAR</v>
      </c>
      <c r="B795" t="s">
        <v>801</v>
      </c>
      <c r="C795">
        <v>1.766471237</v>
      </c>
      <c r="D795">
        <v>6.7338703999999999E-2</v>
      </c>
      <c r="E795">
        <v>0.71528403100000004</v>
      </c>
      <c r="F795">
        <v>0.348763145</v>
      </c>
      <c r="G795">
        <v>0.76812618899999996</v>
      </c>
      <c r="H795">
        <v>1.27</v>
      </c>
      <c r="I795">
        <v>1.2000970186128901</v>
      </c>
      <c r="J795">
        <v>1.2955736082210401</v>
      </c>
      <c r="K795">
        <v>1.3606708655108</v>
      </c>
      <c r="L795">
        <v>1.2899520648154901</v>
      </c>
      <c r="M795">
        <v>1.24783531341696</v>
      </c>
      <c r="N795">
        <v>1.2469218197704299</v>
      </c>
      <c r="Q795">
        <f t="shared" si="60"/>
        <v>1.27</v>
      </c>
      <c r="R795">
        <f t="shared" si="62"/>
        <v>1.190297434671054</v>
      </c>
      <c r="S795">
        <f t="shared" si="63"/>
        <v>7.970256532894604E-2</v>
      </c>
      <c r="T795">
        <f t="shared" si="64"/>
        <v>6.3524989200149113E-3</v>
      </c>
    </row>
    <row r="796" spans="1:20" hidden="1" x14ac:dyDescent="0.25">
      <c r="A796" t="str">
        <f t="shared" si="61"/>
        <v>BAR</v>
      </c>
      <c r="B796" t="s">
        <v>802</v>
      </c>
      <c r="C796">
        <v>1.8444560720000001</v>
      </c>
      <c r="D796">
        <v>6.6167960999999997E-2</v>
      </c>
      <c r="E796">
        <v>0.72572486300000005</v>
      </c>
      <c r="F796">
        <v>0.39807231500000001</v>
      </c>
      <c r="G796">
        <v>0.78281755099999994</v>
      </c>
      <c r="H796">
        <v>1.54</v>
      </c>
      <c r="I796">
        <v>1.30815542479109</v>
      </c>
      <c r="J796">
        <v>1.38121899422161</v>
      </c>
      <c r="K796">
        <v>1.4437902546638499</v>
      </c>
      <c r="L796">
        <v>1.4263527346879099</v>
      </c>
      <c r="M796">
        <v>1.34468720950635</v>
      </c>
      <c r="N796">
        <v>1.34419087934545</v>
      </c>
      <c r="Q796">
        <f t="shared" si="60"/>
        <v>1.54</v>
      </c>
      <c r="R796">
        <f t="shared" si="62"/>
        <v>1.2900634450036161</v>
      </c>
      <c r="S796">
        <f t="shared" si="63"/>
        <v>0.2499365549963839</v>
      </c>
      <c r="T796">
        <f t="shared" si="64"/>
        <v>6.2468281523460435E-2</v>
      </c>
    </row>
    <row r="797" spans="1:20" hidden="1" x14ac:dyDescent="0.25">
      <c r="A797" t="str">
        <f t="shared" si="61"/>
        <v>BAR</v>
      </c>
      <c r="B797" t="s">
        <v>803</v>
      </c>
      <c r="C797">
        <v>1.8427405240000001</v>
      </c>
      <c r="D797">
        <v>6.3507377000000004E-2</v>
      </c>
      <c r="E797">
        <v>0.70897622100000002</v>
      </c>
      <c r="F797">
        <v>0.411375669</v>
      </c>
      <c r="G797">
        <v>0.77170871500000005</v>
      </c>
      <c r="H797">
        <v>1.3</v>
      </c>
      <c r="I797">
        <v>1.3324688951597099</v>
      </c>
      <c r="J797">
        <v>1.3479025647339999</v>
      </c>
      <c r="K797">
        <v>1.53928605044203</v>
      </c>
      <c r="L797">
        <v>1.56859654732378</v>
      </c>
      <c r="M797">
        <v>1.34018572994685</v>
      </c>
      <c r="N797">
        <v>1.34016351286477</v>
      </c>
      <c r="Q797">
        <f t="shared" si="60"/>
        <v>1.3</v>
      </c>
      <c r="R797">
        <f t="shared" si="62"/>
        <v>1.2648001497945742</v>
      </c>
      <c r="S797">
        <f t="shared" si="63"/>
        <v>3.519985020542582E-2</v>
      </c>
      <c r="T797">
        <f t="shared" si="64"/>
        <v>1.2390294544844162E-3</v>
      </c>
    </row>
    <row r="798" spans="1:20" hidden="1" x14ac:dyDescent="0.25">
      <c r="A798" t="str">
        <f t="shared" si="61"/>
        <v>BAR</v>
      </c>
      <c r="B798" t="s">
        <v>804</v>
      </c>
      <c r="C798">
        <v>1.8179108690000001</v>
      </c>
      <c r="D798">
        <v>6.8235830999999997E-2</v>
      </c>
      <c r="E798">
        <v>0.705678523</v>
      </c>
      <c r="F798">
        <v>0.381294629</v>
      </c>
      <c r="G798">
        <v>0.75461850699999999</v>
      </c>
      <c r="H798">
        <v>1.06</v>
      </c>
      <c r="I798">
        <v>1.28930152476822</v>
      </c>
      <c r="J798">
        <v>1.3751452635338299</v>
      </c>
      <c r="K798">
        <v>1.42598573597068</v>
      </c>
      <c r="L798">
        <v>1.42643413212453</v>
      </c>
      <c r="M798">
        <v>1.33222339415103</v>
      </c>
      <c r="N798">
        <v>1.3315317814652301</v>
      </c>
      <c r="Q798">
        <f t="shared" si="60"/>
        <v>1.06</v>
      </c>
      <c r="R798">
        <f t="shared" si="62"/>
        <v>1.2783183937761011</v>
      </c>
      <c r="S798">
        <f t="shared" si="63"/>
        <v>-0.21831839377610107</v>
      </c>
      <c r="T798">
        <f t="shared" si="64"/>
        <v>4.7662921060976728E-2</v>
      </c>
    </row>
    <row r="799" spans="1:20" hidden="1" x14ac:dyDescent="0.25">
      <c r="A799" t="str">
        <f t="shared" si="61"/>
        <v>BAR</v>
      </c>
      <c r="B799" t="s">
        <v>805</v>
      </c>
      <c r="C799">
        <v>1.8472859349999999</v>
      </c>
      <c r="D799">
        <v>5.6104199E-2</v>
      </c>
      <c r="E799">
        <v>0.71865106599999995</v>
      </c>
      <c r="F799">
        <v>0.459952625</v>
      </c>
      <c r="G799">
        <v>0.79006761599999997</v>
      </c>
      <c r="H799">
        <v>1.27</v>
      </c>
      <c r="I799">
        <v>1.4128449107224801</v>
      </c>
      <c r="J799">
        <v>1.3615418477363499</v>
      </c>
      <c r="K799">
        <v>1.7568086959825</v>
      </c>
      <c r="L799">
        <v>1.80434142974273</v>
      </c>
      <c r="M799">
        <v>1.38719337922941</v>
      </c>
      <c r="N799">
        <v>1.3869561890377</v>
      </c>
      <c r="Q799">
        <f t="shared" si="60"/>
        <v>1.27</v>
      </c>
      <c r="R799">
        <f t="shared" si="62"/>
        <v>1.3069475511702402</v>
      </c>
      <c r="S799">
        <f t="shared" si="63"/>
        <v>-3.6947551170240178E-2</v>
      </c>
      <c r="T799">
        <f t="shared" si="64"/>
        <v>1.3651215374775164E-3</v>
      </c>
    </row>
    <row r="800" spans="1:20" hidden="1" x14ac:dyDescent="0.25">
      <c r="A800" t="str">
        <f t="shared" si="61"/>
        <v>BAR</v>
      </c>
      <c r="B800" t="s">
        <v>806</v>
      </c>
      <c r="C800">
        <v>1.943181515</v>
      </c>
      <c r="D800">
        <v>5.8645696999999997E-2</v>
      </c>
      <c r="E800">
        <v>0.72577961000000002</v>
      </c>
      <c r="F800">
        <v>0.48865015299999998</v>
      </c>
      <c r="G800">
        <v>0.80540692199999997</v>
      </c>
      <c r="H800">
        <v>1.36</v>
      </c>
      <c r="I800">
        <v>1.44714958809398</v>
      </c>
      <c r="J800">
        <v>1.4352806881529501</v>
      </c>
      <c r="K800">
        <v>1.66832781939601</v>
      </c>
      <c r="L800">
        <v>1.7189094536484699</v>
      </c>
      <c r="M800">
        <v>1.4412151381234599</v>
      </c>
      <c r="N800">
        <v>1.4412029200150001</v>
      </c>
      <c r="Q800">
        <f t="shared" si="60"/>
        <v>1.36</v>
      </c>
      <c r="R800">
        <f t="shared" si="62"/>
        <v>1.3784148648649657</v>
      </c>
      <c r="S800">
        <f t="shared" si="63"/>
        <v>-1.8414864864965574E-2</v>
      </c>
      <c r="T800">
        <f t="shared" si="64"/>
        <v>3.391072479949436E-4</v>
      </c>
    </row>
    <row r="801" spans="1:20" hidden="1" x14ac:dyDescent="0.25">
      <c r="A801" t="str">
        <f t="shared" si="61"/>
        <v>BAR</v>
      </c>
      <c r="B801" t="s">
        <v>807</v>
      </c>
      <c r="C801">
        <v>1.958965735</v>
      </c>
      <c r="D801">
        <v>6.0803719999999999E-2</v>
      </c>
      <c r="E801">
        <v>0.73848117800000002</v>
      </c>
      <c r="F801">
        <v>0.56742509200000002</v>
      </c>
      <c r="G801">
        <v>0.81864260300000002</v>
      </c>
      <c r="H801">
        <v>1.81</v>
      </c>
      <c r="I801">
        <v>1.74937802538135</v>
      </c>
      <c r="J801">
        <v>1.7720899189642001</v>
      </c>
      <c r="K801">
        <v>2.0030026317284202</v>
      </c>
      <c r="L801">
        <v>2.00489736130895</v>
      </c>
      <c r="M801">
        <v>1.7607339721727799</v>
      </c>
      <c r="N801">
        <v>1.7606973514024999</v>
      </c>
      <c r="Q801">
        <f t="shared" si="60"/>
        <v>1.81</v>
      </c>
      <c r="R801">
        <f t="shared" si="62"/>
        <v>1.7608492455423965</v>
      </c>
      <c r="S801">
        <f t="shared" si="63"/>
        <v>4.9150754457603529E-2</v>
      </c>
      <c r="T801">
        <f t="shared" si="64"/>
        <v>2.4157966637516331E-3</v>
      </c>
    </row>
    <row r="802" spans="1:20" hidden="1" x14ac:dyDescent="0.25">
      <c r="A802" t="str">
        <f t="shared" si="61"/>
        <v>BAR</v>
      </c>
      <c r="B802" t="s">
        <v>808</v>
      </c>
      <c r="C802">
        <v>1.9028144549999999</v>
      </c>
      <c r="D802">
        <v>5.9982639999999997E-2</v>
      </c>
      <c r="E802">
        <v>0.73088604199999996</v>
      </c>
      <c r="F802">
        <v>0.524161298</v>
      </c>
      <c r="G802">
        <v>0.81034350799999999</v>
      </c>
      <c r="H802">
        <v>1.75</v>
      </c>
      <c r="I802">
        <v>1.6477632955578401</v>
      </c>
      <c r="J802">
        <v>1.6421588070608499</v>
      </c>
      <c r="K802">
        <v>1.89425574817475</v>
      </c>
      <c r="L802">
        <v>1.88694304263718</v>
      </c>
      <c r="M802">
        <v>1.64496105130935</v>
      </c>
      <c r="N802">
        <v>1.64495866445085</v>
      </c>
      <c r="Q802">
        <f t="shared" si="60"/>
        <v>1.75</v>
      </c>
      <c r="R802">
        <f t="shared" si="62"/>
        <v>1.6160393172382852</v>
      </c>
      <c r="S802">
        <f t="shared" si="63"/>
        <v>0.1339606827617148</v>
      </c>
      <c r="T802">
        <f t="shared" si="64"/>
        <v>1.7945464525984792E-2</v>
      </c>
    </row>
    <row r="803" spans="1:20" hidden="1" x14ac:dyDescent="0.25">
      <c r="A803" t="str">
        <f t="shared" si="61"/>
        <v>BAR</v>
      </c>
      <c r="B803" t="s">
        <v>809</v>
      </c>
      <c r="C803">
        <v>2.0530858040000002</v>
      </c>
      <c r="D803">
        <v>6.4011443000000001E-2</v>
      </c>
      <c r="E803">
        <v>0.72945426599999996</v>
      </c>
      <c r="F803">
        <v>0.459430799</v>
      </c>
      <c r="G803">
        <v>0.79908771899999997</v>
      </c>
      <c r="H803">
        <v>1.35</v>
      </c>
      <c r="I803">
        <v>1.2820091418911901</v>
      </c>
      <c r="J803">
        <v>1.3487481837113</v>
      </c>
      <c r="K803">
        <v>1.2942672501485299</v>
      </c>
      <c r="L803">
        <v>1.33579198810448</v>
      </c>
      <c r="M803">
        <v>1.3153786628012401</v>
      </c>
      <c r="N803">
        <v>1.31495532305361</v>
      </c>
      <c r="Q803">
        <f t="shared" si="60"/>
        <v>1.35</v>
      </c>
      <c r="R803">
        <f t="shared" si="62"/>
        <v>1.250895991398691</v>
      </c>
      <c r="S803">
        <f t="shared" si="63"/>
        <v>9.9104008601309079E-2</v>
      </c>
      <c r="T803">
        <f t="shared" si="64"/>
        <v>9.8216045208483448E-3</v>
      </c>
    </row>
    <row r="804" spans="1:20" hidden="1" x14ac:dyDescent="0.25">
      <c r="A804" t="str">
        <f t="shared" si="61"/>
        <v>BAR</v>
      </c>
      <c r="B804" t="s">
        <v>810</v>
      </c>
      <c r="C804">
        <v>1.916323204</v>
      </c>
      <c r="D804">
        <v>5.7360687E-2</v>
      </c>
      <c r="E804">
        <v>0.70111266500000002</v>
      </c>
      <c r="F804">
        <v>0.43970055899999999</v>
      </c>
      <c r="G804">
        <v>0.77613918199999998</v>
      </c>
      <c r="H804">
        <v>1.38</v>
      </c>
      <c r="I804">
        <v>1.2763957360104401</v>
      </c>
      <c r="J804">
        <v>1.22878173401554</v>
      </c>
      <c r="K804">
        <v>1.51625168781004</v>
      </c>
      <c r="L804">
        <v>1.57196165964211</v>
      </c>
      <c r="M804">
        <v>1.2525887350129901</v>
      </c>
      <c r="N804">
        <v>1.252362473801</v>
      </c>
      <c r="Q804">
        <f t="shared" si="60"/>
        <v>1.38</v>
      </c>
      <c r="R804">
        <f t="shared" si="62"/>
        <v>1.1466342247967476</v>
      </c>
      <c r="S804">
        <f t="shared" si="63"/>
        <v>0.2333657752032523</v>
      </c>
      <c r="T804">
        <f t="shared" si="64"/>
        <v>5.445958503621489E-2</v>
      </c>
    </row>
    <row r="805" spans="1:20" hidden="1" x14ac:dyDescent="0.25">
      <c r="A805" t="str">
        <f t="shared" si="61"/>
        <v>BAR</v>
      </c>
      <c r="B805" t="s">
        <v>811</v>
      </c>
      <c r="C805">
        <v>1.9152342840000001</v>
      </c>
      <c r="D805">
        <v>5.8638916999999999E-2</v>
      </c>
      <c r="E805">
        <v>0.72993204</v>
      </c>
      <c r="F805">
        <v>0.53238089499999997</v>
      </c>
      <c r="G805">
        <v>0.80894066799999997</v>
      </c>
      <c r="H805">
        <v>1.59</v>
      </c>
      <c r="I805">
        <v>1.6420202381381901</v>
      </c>
      <c r="J805">
        <v>1.6278775220522399</v>
      </c>
      <c r="K805">
        <v>1.8584677317080101</v>
      </c>
      <c r="L805">
        <v>1.8614615765317799</v>
      </c>
      <c r="M805">
        <v>1.6349488800952101</v>
      </c>
      <c r="N805">
        <v>1.63493358777047</v>
      </c>
      <c r="Q805">
        <f t="shared" si="60"/>
        <v>1.59</v>
      </c>
      <c r="R805">
        <f t="shared" si="62"/>
        <v>1.6039617439198839</v>
      </c>
      <c r="S805">
        <f t="shared" si="63"/>
        <v>-1.3961743919883807E-2</v>
      </c>
      <c r="T805">
        <f t="shared" si="64"/>
        <v>1.9493029328441244E-4</v>
      </c>
    </row>
    <row r="806" spans="1:20" hidden="1" x14ac:dyDescent="0.25">
      <c r="A806" t="str">
        <f t="shared" si="61"/>
        <v>BAR</v>
      </c>
      <c r="B806" t="s">
        <v>812</v>
      </c>
      <c r="C806">
        <v>1.9320680079999999</v>
      </c>
      <c r="D806">
        <v>5.8945657999999998E-2</v>
      </c>
      <c r="E806">
        <v>0.70957608599999999</v>
      </c>
      <c r="F806">
        <v>0.39826164400000003</v>
      </c>
      <c r="G806">
        <v>0.78791988700000004</v>
      </c>
      <c r="H806">
        <v>1.44</v>
      </c>
      <c r="I806">
        <v>1.1148190203295301</v>
      </c>
      <c r="J806">
        <v>1.10483620670021</v>
      </c>
      <c r="K806">
        <v>1.2770768150517999</v>
      </c>
      <c r="L806">
        <v>1.2905803651407799</v>
      </c>
      <c r="M806">
        <v>1.1098276135148699</v>
      </c>
      <c r="N806">
        <v>1.10981638912845</v>
      </c>
      <c r="Q806">
        <f t="shared" si="60"/>
        <v>1.44</v>
      </c>
      <c r="R806">
        <f t="shared" si="62"/>
        <v>0.99437080089444452</v>
      </c>
      <c r="S806">
        <f t="shared" si="63"/>
        <v>0.44562919910555543</v>
      </c>
      <c r="T806">
        <f t="shared" si="64"/>
        <v>0.19858538309545876</v>
      </c>
    </row>
    <row r="807" spans="1:20" hidden="1" x14ac:dyDescent="0.25">
      <c r="A807" t="str">
        <f t="shared" si="61"/>
        <v>BAR</v>
      </c>
      <c r="B807" t="s">
        <v>813</v>
      </c>
      <c r="C807">
        <v>1.8924804710000001</v>
      </c>
      <c r="D807">
        <v>5.9621268999999998E-2</v>
      </c>
      <c r="E807">
        <v>0.72797448600000003</v>
      </c>
      <c r="F807">
        <v>0.475019146</v>
      </c>
      <c r="G807">
        <v>0.80405514</v>
      </c>
      <c r="H807">
        <v>1.57</v>
      </c>
      <c r="I807">
        <v>1.46889264708461</v>
      </c>
      <c r="J807">
        <v>1.4606136169698201</v>
      </c>
      <c r="K807">
        <v>1.70263497560979</v>
      </c>
      <c r="L807">
        <v>1.70952617092008</v>
      </c>
      <c r="M807">
        <v>1.46475313202722</v>
      </c>
      <c r="N807">
        <v>1.46474728270737</v>
      </c>
      <c r="Q807">
        <f t="shared" si="60"/>
        <v>1.57</v>
      </c>
      <c r="R807">
        <f t="shared" si="62"/>
        <v>1.4064097838026499</v>
      </c>
      <c r="S807">
        <f t="shared" si="63"/>
        <v>0.16359021619735015</v>
      </c>
      <c r="T807">
        <f t="shared" si="64"/>
        <v>2.6761758835495763E-2</v>
      </c>
    </row>
    <row r="808" spans="1:20" hidden="1" x14ac:dyDescent="0.25">
      <c r="A808" t="str">
        <f t="shared" si="61"/>
        <v>BAR</v>
      </c>
      <c r="B808" t="s">
        <v>814</v>
      </c>
      <c r="C808">
        <v>1.892033955</v>
      </c>
      <c r="D808">
        <v>6.0193047999999999E-2</v>
      </c>
      <c r="E808">
        <v>0.73070854299999999</v>
      </c>
      <c r="F808">
        <v>0.53403109699999995</v>
      </c>
      <c r="G808">
        <v>0.81061330200000004</v>
      </c>
      <c r="H808">
        <v>1.57</v>
      </c>
      <c r="I808">
        <v>1.70123388929571</v>
      </c>
      <c r="J808">
        <v>1.69391327360303</v>
      </c>
      <c r="K808">
        <v>1.9233254288069901</v>
      </c>
      <c r="L808">
        <v>1.93428102034391</v>
      </c>
      <c r="M808">
        <v>1.69757358144937</v>
      </c>
      <c r="N808">
        <v>1.69756963526723</v>
      </c>
      <c r="Q808">
        <f t="shared" si="60"/>
        <v>1.57</v>
      </c>
      <c r="R808">
        <f t="shared" si="62"/>
        <v>1.6761698052271883</v>
      </c>
      <c r="S808">
        <f t="shared" si="63"/>
        <v>-0.10616980522718822</v>
      </c>
      <c r="T808">
        <f t="shared" si="64"/>
        <v>1.1272027541979084E-2</v>
      </c>
    </row>
    <row r="809" spans="1:20" hidden="1" x14ac:dyDescent="0.25">
      <c r="A809" t="str">
        <f t="shared" si="61"/>
        <v>BAR</v>
      </c>
      <c r="B809" t="s">
        <v>815</v>
      </c>
      <c r="C809">
        <v>1.687833277</v>
      </c>
      <c r="D809">
        <v>6.1787095E-2</v>
      </c>
      <c r="E809">
        <v>0.68851888299999997</v>
      </c>
      <c r="F809">
        <v>0.32328118300000003</v>
      </c>
      <c r="G809">
        <v>0.74699871200000001</v>
      </c>
      <c r="H809">
        <v>1.1599999999999999</v>
      </c>
      <c r="I809">
        <v>1.0970502880567199</v>
      </c>
      <c r="J809">
        <v>1.1167497879327299</v>
      </c>
      <c r="K809">
        <v>1.2418101317624199</v>
      </c>
      <c r="L809">
        <v>1.0855249121007899</v>
      </c>
      <c r="M809">
        <v>1.10690003799472</v>
      </c>
      <c r="N809">
        <v>1.10685621312747</v>
      </c>
      <c r="Q809">
        <f t="shared" si="60"/>
        <v>1.1599999999999999</v>
      </c>
      <c r="R809">
        <f t="shared" si="62"/>
        <v>1.0119657424141524</v>
      </c>
      <c r="S809">
        <f t="shared" si="63"/>
        <v>0.14803425758584754</v>
      </c>
      <c r="T809">
        <f t="shared" si="64"/>
        <v>2.1914141418993061E-2</v>
      </c>
    </row>
    <row r="810" spans="1:20" hidden="1" x14ac:dyDescent="0.25">
      <c r="A810" t="str">
        <f t="shared" si="61"/>
        <v>BAR</v>
      </c>
      <c r="B810" t="s">
        <v>816</v>
      </c>
      <c r="C810">
        <v>1.8183105310000001</v>
      </c>
      <c r="D810">
        <v>5.9313580999999997E-2</v>
      </c>
      <c r="E810">
        <v>0.70959675600000005</v>
      </c>
      <c r="F810">
        <v>0.37561124699999998</v>
      </c>
      <c r="G810">
        <v>0.78391198100000004</v>
      </c>
      <c r="H810">
        <v>1.24</v>
      </c>
      <c r="I810">
        <v>1.1597348243535299</v>
      </c>
      <c r="J810">
        <v>1.14378708938444</v>
      </c>
      <c r="K810">
        <v>1.3091334099948699</v>
      </c>
      <c r="L810">
        <v>1.2511644293700901</v>
      </c>
      <c r="M810">
        <v>1.1517609568689799</v>
      </c>
      <c r="N810">
        <v>1.1517333542122901</v>
      </c>
      <c r="Q810">
        <f t="shared" si="60"/>
        <v>1.24</v>
      </c>
      <c r="R810">
        <f t="shared" si="62"/>
        <v>1.0437835263679869</v>
      </c>
      <c r="S810">
        <f t="shared" si="63"/>
        <v>0.19621647363201311</v>
      </c>
      <c r="T810">
        <f t="shared" si="64"/>
        <v>3.8500904524582498E-2</v>
      </c>
    </row>
    <row r="811" spans="1:20" hidden="1" x14ac:dyDescent="0.25">
      <c r="A811" t="str">
        <f t="shared" si="61"/>
        <v>BAR</v>
      </c>
      <c r="B811" t="s">
        <v>817</v>
      </c>
      <c r="C811">
        <v>1.8758821489999999</v>
      </c>
      <c r="D811">
        <v>6.0838886000000002E-2</v>
      </c>
      <c r="E811">
        <v>0.72711337099999995</v>
      </c>
      <c r="F811">
        <v>0.48482467400000001</v>
      </c>
      <c r="G811">
        <v>0.79747201999999995</v>
      </c>
      <c r="H811">
        <v>1.33</v>
      </c>
      <c r="I811">
        <v>1.54741038698718</v>
      </c>
      <c r="J811">
        <v>1.5407212496187901</v>
      </c>
      <c r="K811">
        <v>1.8628851499431001</v>
      </c>
      <c r="L811">
        <v>1.97674306682211</v>
      </c>
      <c r="M811">
        <v>1.5440658183029801</v>
      </c>
      <c r="N811">
        <v>1.5440621959985901</v>
      </c>
      <c r="Q811">
        <f t="shared" si="60"/>
        <v>1.33</v>
      </c>
      <c r="R811">
        <f t="shared" si="62"/>
        <v>1.4961636580357971</v>
      </c>
      <c r="S811">
        <f t="shared" si="63"/>
        <v>-0.16616365803579702</v>
      </c>
      <c r="T811">
        <f t="shared" si="64"/>
        <v>2.7610361251837294E-2</v>
      </c>
    </row>
    <row r="812" spans="1:20" hidden="1" x14ac:dyDescent="0.25">
      <c r="A812" t="str">
        <f t="shared" si="61"/>
        <v>BAR</v>
      </c>
      <c r="B812" t="s">
        <v>818</v>
      </c>
      <c r="C812">
        <v>1.8546300440000001</v>
      </c>
      <c r="D812">
        <v>5.6808384000000003E-2</v>
      </c>
      <c r="E812">
        <v>0.71539781099999999</v>
      </c>
      <c r="F812">
        <v>0.50705622299999997</v>
      </c>
      <c r="G812">
        <v>0.79079993599999998</v>
      </c>
      <c r="H812">
        <v>1.55</v>
      </c>
      <c r="I812">
        <v>1.6036335701841999</v>
      </c>
      <c r="J812">
        <v>1.53965172746428</v>
      </c>
      <c r="K812">
        <v>1.96465507339848</v>
      </c>
      <c r="L812">
        <v>1.9996035841268101</v>
      </c>
      <c r="M812">
        <v>1.5716426488242401</v>
      </c>
      <c r="N812">
        <v>1.57131702611338</v>
      </c>
      <c r="Q812">
        <f t="shared" si="60"/>
        <v>1.55</v>
      </c>
      <c r="R812">
        <f t="shared" si="62"/>
        <v>1.5124096193807737</v>
      </c>
      <c r="S812">
        <f t="shared" si="63"/>
        <v>3.7590380619226371E-2</v>
      </c>
      <c r="T812">
        <f t="shared" si="64"/>
        <v>1.4130367150983097E-3</v>
      </c>
    </row>
    <row r="813" spans="1:20" hidden="1" x14ac:dyDescent="0.25">
      <c r="A813" t="str">
        <f t="shared" si="61"/>
        <v>BAR</v>
      </c>
      <c r="B813" t="s">
        <v>819</v>
      </c>
      <c r="C813">
        <v>1.8926020379999999</v>
      </c>
      <c r="D813">
        <v>6.0245050000000001E-2</v>
      </c>
      <c r="E813">
        <v>0.72425492899999999</v>
      </c>
      <c r="F813">
        <v>0.47185729199999998</v>
      </c>
      <c r="G813">
        <v>0.79494900000000002</v>
      </c>
      <c r="H813">
        <v>1.4</v>
      </c>
      <c r="I813">
        <v>1.46776070235991</v>
      </c>
      <c r="J813">
        <v>1.45951605198596</v>
      </c>
      <c r="K813">
        <v>1.7209645446016499</v>
      </c>
      <c r="L813">
        <v>1.8057847852822</v>
      </c>
      <c r="M813">
        <v>1.46363837717294</v>
      </c>
      <c r="N813">
        <v>1.4636325719143</v>
      </c>
      <c r="Q813">
        <f t="shared" si="60"/>
        <v>1.4</v>
      </c>
      <c r="R813">
        <f t="shared" si="62"/>
        <v>1.4032795067933401</v>
      </c>
      <c r="S813">
        <f t="shared" si="63"/>
        <v>-3.2795067933402144E-3</v>
      </c>
      <c r="T813">
        <f t="shared" si="64"/>
        <v>1.0755164807564617E-5</v>
      </c>
    </row>
    <row r="814" spans="1:20" hidden="1" x14ac:dyDescent="0.25">
      <c r="A814" t="str">
        <f t="shared" si="61"/>
        <v>BAR</v>
      </c>
      <c r="B814" t="s">
        <v>820</v>
      </c>
      <c r="C814">
        <v>1.873223603</v>
      </c>
      <c r="D814">
        <v>5.9498052000000003E-2</v>
      </c>
      <c r="E814">
        <v>0.71971095799999996</v>
      </c>
      <c r="F814">
        <v>0.46172551699999997</v>
      </c>
      <c r="G814">
        <v>0.79028367399999999</v>
      </c>
      <c r="H814">
        <v>1.58</v>
      </c>
      <c r="I814">
        <v>1.4412894603485</v>
      </c>
      <c r="J814">
        <v>1.4197187665350901</v>
      </c>
      <c r="K814">
        <v>1.7659472230733999</v>
      </c>
      <c r="L814">
        <v>1.84329316153206</v>
      </c>
      <c r="M814">
        <v>1.43050411344179</v>
      </c>
      <c r="N814">
        <v>1.4304634545719801</v>
      </c>
      <c r="Q814">
        <f t="shared" si="60"/>
        <v>1.58</v>
      </c>
      <c r="R814">
        <f t="shared" si="62"/>
        <v>1.3611820504843517</v>
      </c>
      <c r="S814">
        <f t="shared" si="63"/>
        <v>0.21881794951564837</v>
      </c>
      <c r="T814">
        <f t="shared" si="64"/>
        <v>4.7881295030232841E-2</v>
      </c>
    </row>
    <row r="815" spans="1:20" hidden="1" x14ac:dyDescent="0.25">
      <c r="A815" t="str">
        <f t="shared" si="61"/>
        <v>BAR</v>
      </c>
      <c r="B815" t="s">
        <v>821</v>
      </c>
      <c r="C815">
        <v>1.8684468869999999</v>
      </c>
      <c r="D815">
        <v>6.1927340999999997E-2</v>
      </c>
      <c r="E815">
        <v>0.74749450100000003</v>
      </c>
      <c r="F815">
        <v>0.532880095</v>
      </c>
      <c r="G815">
        <v>0.81791094399999997</v>
      </c>
      <c r="H815">
        <v>1.41</v>
      </c>
      <c r="I815">
        <v>1.74285878652066</v>
      </c>
      <c r="J815">
        <v>1.77212272166413</v>
      </c>
      <c r="K815">
        <v>2.1349955137698999</v>
      </c>
      <c r="L815">
        <v>2.1806894170762301</v>
      </c>
      <c r="M815">
        <v>1.7574907540924001</v>
      </c>
      <c r="N815">
        <v>1.75742984390423</v>
      </c>
      <c r="Q815">
        <f t="shared" si="60"/>
        <v>1.41</v>
      </c>
      <c r="R815">
        <f t="shared" si="62"/>
        <v>1.7594263676358821</v>
      </c>
      <c r="S815">
        <f t="shared" si="63"/>
        <v>-0.3494263676358822</v>
      </c>
      <c r="T815">
        <f t="shared" si="64"/>
        <v>0.1220987863992067</v>
      </c>
    </row>
    <row r="816" spans="1:20" hidden="1" x14ac:dyDescent="0.25">
      <c r="A816" t="str">
        <f t="shared" si="61"/>
        <v>BAR</v>
      </c>
      <c r="B816" t="s">
        <v>822</v>
      </c>
      <c r="C816">
        <v>1.820402474</v>
      </c>
      <c r="D816">
        <v>6.6346162E-2</v>
      </c>
      <c r="E816">
        <v>0.72229962400000003</v>
      </c>
      <c r="F816">
        <v>0.398514702</v>
      </c>
      <c r="G816">
        <v>0.78088532700000002</v>
      </c>
      <c r="H816">
        <v>1.23</v>
      </c>
      <c r="I816">
        <v>1.3450854610202001</v>
      </c>
      <c r="J816">
        <v>1.4074520402457</v>
      </c>
      <c r="K816">
        <v>1.5232340235286399</v>
      </c>
      <c r="L816">
        <v>1.52585866500814</v>
      </c>
      <c r="M816">
        <v>1.3762687506329501</v>
      </c>
      <c r="N816">
        <v>1.37591543214607</v>
      </c>
      <c r="Q816">
        <f t="shared" si="60"/>
        <v>1.23</v>
      </c>
      <c r="R816">
        <f t="shared" si="62"/>
        <v>1.3215648251264018</v>
      </c>
      <c r="S816">
        <f t="shared" si="63"/>
        <v>-9.156482512640185E-2</v>
      </c>
      <c r="T816">
        <f t="shared" si="64"/>
        <v>8.3841172004285522E-3</v>
      </c>
    </row>
    <row r="817" spans="1:20" hidden="1" x14ac:dyDescent="0.25">
      <c r="A817" t="str">
        <f t="shared" si="61"/>
        <v>BAR</v>
      </c>
      <c r="B817" t="s">
        <v>823</v>
      </c>
      <c r="C817">
        <v>1.9052285959999999</v>
      </c>
      <c r="D817">
        <v>6.6723267000000003E-2</v>
      </c>
      <c r="E817">
        <v>0.74055538799999998</v>
      </c>
      <c r="F817">
        <v>0.508550379</v>
      </c>
      <c r="G817">
        <v>0.806856617</v>
      </c>
      <c r="H817">
        <v>1.2</v>
      </c>
      <c r="I817">
        <v>1.69729957644371</v>
      </c>
      <c r="J817">
        <v>1.7572260942999101</v>
      </c>
      <c r="K817">
        <v>1.91362000139803</v>
      </c>
      <c r="L817">
        <v>1.9565172166156399</v>
      </c>
      <c r="M817">
        <v>1.72726283537181</v>
      </c>
      <c r="N817">
        <v>1.7270029257563699</v>
      </c>
      <c r="Q817">
        <f t="shared" si="60"/>
        <v>1.2</v>
      </c>
      <c r="R817">
        <f t="shared" si="62"/>
        <v>1.721380514334951</v>
      </c>
      <c r="S817">
        <f t="shared" si="63"/>
        <v>-0.52138051433495103</v>
      </c>
      <c r="T817">
        <f t="shared" si="64"/>
        <v>0.27183764072817806</v>
      </c>
    </row>
    <row r="818" spans="1:20" hidden="1" x14ac:dyDescent="0.25">
      <c r="A818" t="str">
        <f t="shared" si="61"/>
        <v>BAR</v>
      </c>
      <c r="B818" t="s">
        <v>824</v>
      </c>
      <c r="C818">
        <v>1.8857032300000001</v>
      </c>
      <c r="D818">
        <v>6.7951712999999997E-2</v>
      </c>
      <c r="E818">
        <v>0.73252360100000002</v>
      </c>
      <c r="F818">
        <v>0.49817635900000001</v>
      </c>
      <c r="G818">
        <v>0.79415403699999998</v>
      </c>
      <c r="H818">
        <v>1.21</v>
      </c>
      <c r="I818">
        <v>1.7084764697102699</v>
      </c>
      <c r="J818">
        <v>1.76085044654597</v>
      </c>
      <c r="K818">
        <v>1.9300411354159801</v>
      </c>
      <c r="L818">
        <v>2.0868516630462</v>
      </c>
      <c r="M818">
        <v>1.73466345812812</v>
      </c>
      <c r="N818">
        <v>1.7344657836355899</v>
      </c>
      <c r="Q818">
        <f t="shared" si="60"/>
        <v>1.21</v>
      </c>
      <c r="R818">
        <f t="shared" si="62"/>
        <v>1.7223444179386727</v>
      </c>
      <c r="S818">
        <f t="shared" si="63"/>
        <v>-0.51234441793867269</v>
      </c>
      <c r="T818">
        <f t="shared" si="64"/>
        <v>0.2624968025929173</v>
      </c>
    </row>
    <row r="819" spans="1:20" hidden="1" x14ac:dyDescent="0.25">
      <c r="A819" t="str">
        <f t="shared" si="61"/>
        <v>BAR</v>
      </c>
      <c r="B819" t="s">
        <v>825</v>
      </c>
      <c r="C819">
        <v>1.91675087</v>
      </c>
      <c r="D819">
        <v>5.8685879000000003E-2</v>
      </c>
      <c r="E819">
        <v>0.72721180200000002</v>
      </c>
      <c r="F819">
        <v>0.43271421900000001</v>
      </c>
      <c r="G819">
        <v>0.78690057599999996</v>
      </c>
      <c r="H819">
        <v>1.37</v>
      </c>
      <c r="I819">
        <v>1.2506262047947601</v>
      </c>
      <c r="J819">
        <v>1.25864843501367</v>
      </c>
      <c r="K819">
        <v>1.54636369559473</v>
      </c>
      <c r="L819">
        <v>1.59584786091419</v>
      </c>
      <c r="M819">
        <v>1.25463731990422</v>
      </c>
      <c r="N819">
        <v>1.2546309080570299</v>
      </c>
      <c r="Q819">
        <f t="shared" si="60"/>
        <v>1.37</v>
      </c>
      <c r="R819">
        <f t="shared" si="62"/>
        <v>1.1731587112631123</v>
      </c>
      <c r="S819">
        <f t="shared" si="63"/>
        <v>0.19684128873688778</v>
      </c>
      <c r="T819">
        <f t="shared" si="64"/>
        <v>3.8746492951598821E-2</v>
      </c>
    </row>
    <row r="820" spans="1:20" hidden="1" x14ac:dyDescent="0.25">
      <c r="A820" t="str">
        <f t="shared" si="61"/>
        <v>BAR</v>
      </c>
      <c r="B820" t="s">
        <v>826</v>
      </c>
      <c r="C820">
        <v>1.747086911</v>
      </c>
      <c r="D820">
        <v>5.9287581999999998E-2</v>
      </c>
      <c r="E820">
        <v>0.71155704399999997</v>
      </c>
      <c r="F820">
        <v>0.422783725</v>
      </c>
      <c r="G820">
        <v>0.77465386300000005</v>
      </c>
      <c r="H820">
        <v>1.55</v>
      </c>
      <c r="I820">
        <v>1.43513607818577</v>
      </c>
      <c r="J820">
        <v>1.3896693364319099</v>
      </c>
      <c r="K820">
        <v>1.8554434876047301</v>
      </c>
      <c r="L820">
        <v>1.8979155499651399</v>
      </c>
      <c r="M820">
        <v>1.4124027073088401</v>
      </c>
      <c r="N820">
        <v>1.4122197426257399</v>
      </c>
      <c r="Q820">
        <f t="shared" si="60"/>
        <v>1.55</v>
      </c>
      <c r="R820">
        <f t="shared" si="62"/>
        <v>1.3339069677918083</v>
      </c>
      <c r="S820">
        <f t="shared" si="63"/>
        <v>0.21609303220819176</v>
      </c>
      <c r="T820">
        <f t="shared" si="64"/>
        <v>4.6696198568930598E-2</v>
      </c>
    </row>
    <row r="821" spans="1:20" hidden="1" x14ac:dyDescent="0.25">
      <c r="A821" t="str">
        <f t="shared" si="61"/>
        <v>BAR</v>
      </c>
      <c r="B821" t="s">
        <v>827</v>
      </c>
      <c r="C821">
        <v>1.905033894</v>
      </c>
      <c r="D821">
        <v>6.4977920999999994E-2</v>
      </c>
      <c r="E821">
        <v>0.72338462699999995</v>
      </c>
      <c r="F821">
        <v>0.43946917499999999</v>
      </c>
      <c r="G821">
        <v>0.78687421000000002</v>
      </c>
      <c r="H821">
        <v>1.57</v>
      </c>
      <c r="I821">
        <v>1.3947928331431501</v>
      </c>
      <c r="J821">
        <v>1.4404541276221401</v>
      </c>
      <c r="K821">
        <v>1.56957853755525</v>
      </c>
      <c r="L821">
        <v>1.6310540498430199</v>
      </c>
      <c r="M821">
        <v>1.41762348038265</v>
      </c>
      <c r="N821">
        <v>1.4174396261142199</v>
      </c>
      <c r="Q821">
        <f t="shared" si="60"/>
        <v>1.57</v>
      </c>
      <c r="R821">
        <f t="shared" si="62"/>
        <v>1.3617510256147685</v>
      </c>
      <c r="S821">
        <f t="shared" si="63"/>
        <v>0.2082489743852316</v>
      </c>
      <c r="T821">
        <f t="shared" si="64"/>
        <v>4.3367635332500848E-2</v>
      </c>
    </row>
    <row r="822" spans="1:20" hidden="1" x14ac:dyDescent="0.25">
      <c r="A822" t="str">
        <f t="shared" si="61"/>
        <v>BAR</v>
      </c>
      <c r="B822" t="s">
        <v>828</v>
      </c>
      <c r="C822">
        <v>1.9627599950000001</v>
      </c>
      <c r="D822">
        <v>6.4338451000000005E-2</v>
      </c>
      <c r="E822">
        <v>0.75127446399999998</v>
      </c>
      <c r="F822">
        <v>0.51877205000000004</v>
      </c>
      <c r="G822">
        <v>0.82287427700000004</v>
      </c>
      <c r="H822">
        <v>1.46</v>
      </c>
      <c r="I822">
        <v>1.6177248744328201</v>
      </c>
      <c r="J822">
        <v>1.68922545593884</v>
      </c>
      <c r="K822">
        <v>1.84908425255882</v>
      </c>
      <c r="L822">
        <v>1.8980029632157001</v>
      </c>
      <c r="M822">
        <v>1.6534751651858299</v>
      </c>
      <c r="N822">
        <v>1.6530886360378201</v>
      </c>
      <c r="Q822">
        <f t="shared" si="60"/>
        <v>1.46</v>
      </c>
      <c r="R822">
        <f t="shared" si="62"/>
        <v>1.6478921008132614</v>
      </c>
      <c r="S822">
        <f t="shared" si="63"/>
        <v>-0.18789210081326146</v>
      </c>
      <c r="T822">
        <f t="shared" si="64"/>
        <v>3.5303441548020807E-2</v>
      </c>
    </row>
    <row r="823" spans="1:20" hidden="1" x14ac:dyDescent="0.25">
      <c r="A823" t="str">
        <f t="shared" si="61"/>
        <v>BAR</v>
      </c>
      <c r="B823" t="s">
        <v>829</v>
      </c>
      <c r="C823">
        <v>2.0224629520000001</v>
      </c>
      <c r="D823">
        <v>6.3737111999999999E-2</v>
      </c>
      <c r="E823">
        <v>0.74203159600000002</v>
      </c>
      <c r="F823">
        <v>0.518775294</v>
      </c>
      <c r="G823">
        <v>0.81225434699999999</v>
      </c>
      <c r="H823">
        <v>1.41</v>
      </c>
      <c r="I823">
        <v>1.54117511188623</v>
      </c>
      <c r="J823">
        <v>1.60444998644159</v>
      </c>
      <c r="K823">
        <v>1.7284982516524801</v>
      </c>
      <c r="L823">
        <v>1.81634863894202</v>
      </c>
      <c r="M823">
        <v>1.57281254916391</v>
      </c>
      <c r="N823">
        <v>1.5724943202981601</v>
      </c>
      <c r="Q823">
        <f t="shared" si="60"/>
        <v>1.41</v>
      </c>
      <c r="R823">
        <f t="shared" si="62"/>
        <v>1.5500228920470915</v>
      </c>
      <c r="S823">
        <f t="shared" si="63"/>
        <v>-0.14002289204709162</v>
      </c>
      <c r="T823">
        <f t="shared" si="64"/>
        <v>1.9606410297231473E-2</v>
      </c>
    </row>
    <row r="824" spans="1:20" hidden="1" x14ac:dyDescent="0.25">
      <c r="A824" t="str">
        <f t="shared" si="61"/>
        <v>BAR</v>
      </c>
      <c r="B824" t="s">
        <v>830</v>
      </c>
      <c r="C824">
        <v>1.893824017</v>
      </c>
      <c r="D824">
        <v>6.2294731999999998E-2</v>
      </c>
      <c r="E824">
        <v>0.74272383799999997</v>
      </c>
      <c r="F824">
        <v>0.50290855800000001</v>
      </c>
      <c r="G824">
        <v>0.81261109399999998</v>
      </c>
      <c r="H824">
        <v>1.64</v>
      </c>
      <c r="I824">
        <v>1.60940289121588</v>
      </c>
      <c r="J824">
        <v>1.64043199216824</v>
      </c>
      <c r="K824">
        <v>1.96382001235036</v>
      </c>
      <c r="L824">
        <v>2.0573859726445001</v>
      </c>
      <c r="M824">
        <v>1.62491744169206</v>
      </c>
      <c r="N824">
        <v>1.62484337430984</v>
      </c>
      <c r="Q824">
        <f t="shared" si="60"/>
        <v>1.64</v>
      </c>
      <c r="R824">
        <f t="shared" si="62"/>
        <v>1.6037663228223793</v>
      </c>
      <c r="S824">
        <f t="shared" si="63"/>
        <v>3.6233677177620605E-2</v>
      </c>
      <c r="T824">
        <f t="shared" si="64"/>
        <v>1.3128793618120242E-3</v>
      </c>
    </row>
    <row r="825" spans="1:20" hidden="1" x14ac:dyDescent="0.25">
      <c r="A825" t="str">
        <f t="shared" si="61"/>
        <v>BAR</v>
      </c>
      <c r="B825" t="s">
        <v>831</v>
      </c>
      <c r="C825">
        <v>1.8868550879999999</v>
      </c>
      <c r="D825">
        <v>6.0129013000000002E-2</v>
      </c>
      <c r="E825">
        <v>0.72025004199999998</v>
      </c>
      <c r="F825">
        <v>0.45065704600000001</v>
      </c>
      <c r="G825">
        <v>0.78210254800000001</v>
      </c>
      <c r="H825">
        <v>1.57</v>
      </c>
      <c r="I825">
        <v>1.3882574699121399</v>
      </c>
      <c r="J825">
        <v>1.38055287413748</v>
      </c>
      <c r="K825">
        <v>1.71273372444363</v>
      </c>
      <c r="L825">
        <v>1.77653694719934</v>
      </c>
      <c r="M825">
        <v>1.3844051720248101</v>
      </c>
      <c r="N825">
        <v>1.3843998122399599</v>
      </c>
      <c r="Q825">
        <f t="shared" si="60"/>
        <v>1.57</v>
      </c>
      <c r="R825">
        <f t="shared" si="62"/>
        <v>1.3123876670615435</v>
      </c>
      <c r="S825">
        <f t="shared" si="63"/>
        <v>0.25761233293845653</v>
      </c>
      <c r="T825">
        <f t="shared" si="64"/>
        <v>6.6364114081994177E-2</v>
      </c>
    </row>
    <row r="826" spans="1:20" hidden="1" x14ac:dyDescent="0.25">
      <c r="A826" t="str">
        <f t="shared" si="61"/>
        <v>BAR</v>
      </c>
      <c r="B826" t="s">
        <v>832</v>
      </c>
      <c r="C826">
        <v>1.9283509489999999</v>
      </c>
      <c r="D826">
        <v>6.3081354000000006E-2</v>
      </c>
      <c r="E826">
        <v>0.72722759599999998</v>
      </c>
      <c r="F826">
        <v>0.45509187299999998</v>
      </c>
      <c r="G826">
        <v>0.79355203699999999</v>
      </c>
      <c r="H826">
        <v>1.55</v>
      </c>
      <c r="I826">
        <v>1.39984841255933</v>
      </c>
      <c r="J826">
        <v>1.43252830465352</v>
      </c>
      <c r="K826">
        <v>1.60173418292972</v>
      </c>
      <c r="L826">
        <v>1.6457770197934101</v>
      </c>
      <c r="M826">
        <v>1.4161883586064301</v>
      </c>
      <c r="N826">
        <v>1.41609409052349</v>
      </c>
      <c r="Q826">
        <f t="shared" si="60"/>
        <v>1.55</v>
      </c>
      <c r="R826">
        <f t="shared" si="62"/>
        <v>1.3586055772873431</v>
      </c>
      <c r="S826">
        <f t="shared" si="63"/>
        <v>0.19139442271265694</v>
      </c>
      <c r="T826">
        <f t="shared" si="64"/>
        <v>3.6631825045511213E-2</v>
      </c>
    </row>
    <row r="827" spans="1:20" hidden="1" x14ac:dyDescent="0.25">
      <c r="A827" t="str">
        <f t="shared" si="61"/>
        <v>BAR</v>
      </c>
      <c r="B827" t="s">
        <v>833</v>
      </c>
      <c r="C827">
        <v>1.9002412200000001</v>
      </c>
      <c r="D827">
        <v>6.3215546999999997E-2</v>
      </c>
      <c r="E827">
        <v>0.71650887100000005</v>
      </c>
      <c r="F827">
        <v>0.482604637</v>
      </c>
      <c r="G827">
        <v>0.786945699</v>
      </c>
      <c r="H827">
        <v>1.42</v>
      </c>
      <c r="I827">
        <v>1.55647616633111</v>
      </c>
      <c r="J827">
        <v>1.55323812923041</v>
      </c>
      <c r="K827">
        <v>1.8018960906639501</v>
      </c>
      <c r="L827">
        <v>1.8847269116638701</v>
      </c>
      <c r="M827">
        <v>1.55485714778076</v>
      </c>
      <c r="N827">
        <v>1.5548563048667401</v>
      </c>
      <c r="Q827">
        <f t="shared" si="60"/>
        <v>1.42</v>
      </c>
      <c r="R827">
        <f t="shared" si="62"/>
        <v>1.5018270005050409</v>
      </c>
      <c r="S827">
        <f t="shared" si="63"/>
        <v>-8.1827000505040992E-2</v>
      </c>
      <c r="T827">
        <f t="shared" si="64"/>
        <v>6.695658011651979E-3</v>
      </c>
    </row>
    <row r="828" spans="1:20" hidden="1" x14ac:dyDescent="0.25">
      <c r="A828" t="str">
        <f t="shared" si="61"/>
        <v>BAR</v>
      </c>
      <c r="B828" t="s">
        <v>834</v>
      </c>
      <c r="C828">
        <v>1.9120777250000001</v>
      </c>
      <c r="D828">
        <v>6.4903925000000001E-2</v>
      </c>
      <c r="E828">
        <v>0.73653296400000001</v>
      </c>
      <c r="F828">
        <v>0.53842328100000003</v>
      </c>
      <c r="G828">
        <v>0.81628499899999996</v>
      </c>
      <c r="H828">
        <v>1.47</v>
      </c>
      <c r="I828">
        <v>1.77492605994952</v>
      </c>
      <c r="J828">
        <v>1.8097226317174799</v>
      </c>
      <c r="K828">
        <v>1.9900845189838501</v>
      </c>
      <c r="L828">
        <v>2.0294541459193902</v>
      </c>
      <c r="M828">
        <v>1.7923243458335001</v>
      </c>
      <c r="N828">
        <v>1.7922399003246701</v>
      </c>
      <c r="Q828">
        <f t="shared" si="60"/>
        <v>1.47</v>
      </c>
      <c r="R828">
        <f t="shared" si="62"/>
        <v>1.7907290960622211</v>
      </c>
      <c r="S828">
        <f t="shared" si="63"/>
        <v>-0.32072909606222111</v>
      </c>
      <c r="T828">
        <f t="shared" si="64"/>
        <v>0.10286715306088945</v>
      </c>
    </row>
    <row r="829" spans="1:20" hidden="1" x14ac:dyDescent="0.25">
      <c r="A829" t="str">
        <f t="shared" si="61"/>
        <v>BAR</v>
      </c>
      <c r="B829" t="s">
        <v>835</v>
      </c>
      <c r="C829">
        <v>1.8186831429999999</v>
      </c>
      <c r="D829">
        <v>6.5499943000000005E-2</v>
      </c>
      <c r="E829">
        <v>0.69387807199999996</v>
      </c>
      <c r="F829">
        <v>0.38932288599999998</v>
      </c>
      <c r="G829">
        <v>0.73601679900000005</v>
      </c>
      <c r="H829">
        <v>0.96</v>
      </c>
      <c r="I829">
        <v>1.2830348233191</v>
      </c>
      <c r="J829">
        <v>1.3222196496202401</v>
      </c>
      <c r="K829">
        <v>1.5966070859941</v>
      </c>
      <c r="L829">
        <v>1.6384524356875101</v>
      </c>
      <c r="M829">
        <v>1.30262723646967</v>
      </c>
      <c r="N829">
        <v>1.30247988642418</v>
      </c>
      <c r="Q829">
        <f t="shared" si="60"/>
        <v>0.96</v>
      </c>
      <c r="R829">
        <f t="shared" si="62"/>
        <v>1.2300765726260949</v>
      </c>
      <c r="S829">
        <f t="shared" si="63"/>
        <v>-0.27007657262609497</v>
      </c>
      <c r="T829">
        <f t="shared" si="64"/>
        <v>7.2941355081458353E-2</v>
      </c>
    </row>
    <row r="830" spans="1:20" hidden="1" x14ac:dyDescent="0.25">
      <c r="A830" t="str">
        <f t="shared" si="61"/>
        <v>BAR</v>
      </c>
      <c r="B830" t="s">
        <v>836</v>
      </c>
      <c r="C830">
        <v>1.8347074910000001</v>
      </c>
      <c r="D830">
        <v>6.9364696000000003E-2</v>
      </c>
      <c r="E830">
        <v>0.68709951899999999</v>
      </c>
      <c r="F830">
        <v>0.348458253</v>
      </c>
      <c r="G830">
        <v>0.73612427499999999</v>
      </c>
      <c r="H830">
        <v>1.08</v>
      </c>
      <c r="I830">
        <v>1.1201106090994899</v>
      </c>
      <c r="J830">
        <v>1.24450237982151</v>
      </c>
      <c r="K830">
        <v>1.2361632555617901</v>
      </c>
      <c r="L830">
        <v>1.1782595980019099</v>
      </c>
      <c r="M830">
        <v>1.1823064944605</v>
      </c>
      <c r="N830">
        <v>1.18066943667042</v>
      </c>
      <c r="Q830">
        <f t="shared" si="60"/>
        <v>1.08</v>
      </c>
      <c r="R830">
        <f t="shared" si="62"/>
        <v>1.1229647232265494</v>
      </c>
      <c r="S830">
        <f t="shared" si="63"/>
        <v>-4.2964723226549317E-2</v>
      </c>
      <c r="T830">
        <f t="shared" si="64"/>
        <v>1.8459674419339864E-3</v>
      </c>
    </row>
    <row r="831" spans="1:20" hidden="1" x14ac:dyDescent="0.25">
      <c r="A831" t="str">
        <f t="shared" si="61"/>
        <v>BAR</v>
      </c>
      <c r="B831" t="s">
        <v>837</v>
      </c>
      <c r="C831">
        <v>1.7435614559999999</v>
      </c>
      <c r="D831">
        <v>6.9299620000000006E-2</v>
      </c>
      <c r="E831">
        <v>0.70986880600000002</v>
      </c>
      <c r="F831">
        <v>0.31145314699999999</v>
      </c>
      <c r="G831">
        <v>0.73980085299999998</v>
      </c>
      <c r="H831">
        <v>0.61</v>
      </c>
      <c r="I831">
        <v>1.03300329262011</v>
      </c>
      <c r="J831">
        <v>1.2252864787948501</v>
      </c>
      <c r="K831">
        <v>1.0737496485051401</v>
      </c>
      <c r="L831">
        <v>1.0577988679382699</v>
      </c>
      <c r="M831">
        <v>1.12914488570748</v>
      </c>
      <c r="N831">
        <v>1.12504442889958</v>
      </c>
      <c r="Q831">
        <f t="shared" si="60"/>
        <v>0.61</v>
      </c>
      <c r="R831">
        <f t="shared" si="62"/>
        <v>1.1014373335735863</v>
      </c>
      <c r="S831">
        <f t="shared" si="63"/>
        <v>-0.49143733357358632</v>
      </c>
      <c r="T831">
        <f t="shared" si="64"/>
        <v>0.24151065282991635</v>
      </c>
    </row>
    <row r="832" spans="1:20" hidden="1" x14ac:dyDescent="0.25">
      <c r="A832" t="str">
        <f t="shared" si="61"/>
        <v>BAR</v>
      </c>
      <c r="B832" t="s">
        <v>838</v>
      </c>
      <c r="C832">
        <v>1.7383350230000001</v>
      </c>
      <c r="D832">
        <v>7.4511109000000006E-2</v>
      </c>
      <c r="E832">
        <v>0.64318201799999997</v>
      </c>
      <c r="F832">
        <v>0.32147345199999999</v>
      </c>
      <c r="G832">
        <v>0.67480934000000004</v>
      </c>
      <c r="H832">
        <v>0.72</v>
      </c>
      <c r="I832">
        <v>1.12536312828927</v>
      </c>
      <c r="J832">
        <v>1.3223551626202501</v>
      </c>
      <c r="K832">
        <v>1.269815220975</v>
      </c>
      <c r="L832">
        <v>1.16439418531551</v>
      </c>
      <c r="M832">
        <v>1.22385914545476</v>
      </c>
      <c r="N832">
        <v>1.2198892337076299</v>
      </c>
      <c r="Q832">
        <f t="shared" si="60"/>
        <v>0.72</v>
      </c>
      <c r="R832">
        <f t="shared" si="62"/>
        <v>1.2010710204254238</v>
      </c>
      <c r="S832">
        <f t="shared" si="63"/>
        <v>-0.48107102042542382</v>
      </c>
      <c r="T832">
        <f t="shared" si="64"/>
        <v>0.23142932669315855</v>
      </c>
    </row>
    <row r="833" spans="1:20" hidden="1" x14ac:dyDescent="0.25">
      <c r="A833" t="str">
        <f t="shared" si="61"/>
        <v>BAR</v>
      </c>
      <c r="B833" t="s">
        <v>839</v>
      </c>
      <c r="C833">
        <v>1.827670422</v>
      </c>
      <c r="D833">
        <v>6.7004516E-2</v>
      </c>
      <c r="E833">
        <v>0.64994580400000002</v>
      </c>
      <c r="F833">
        <v>0.34699598399999998</v>
      </c>
      <c r="G833">
        <v>0.69231429899999997</v>
      </c>
      <c r="H833">
        <v>0.91</v>
      </c>
      <c r="I833">
        <v>1.0674209036687199</v>
      </c>
      <c r="J833">
        <v>1.14396669786146</v>
      </c>
      <c r="K833">
        <v>1.2636956247232101</v>
      </c>
      <c r="L833">
        <v>1.2061442324487599</v>
      </c>
      <c r="M833">
        <v>1.1056938007650901</v>
      </c>
      <c r="N833">
        <v>1.1050312060743801</v>
      </c>
      <c r="Q833">
        <f t="shared" ref="Q833:Q896" si="65">H833</f>
        <v>0.91</v>
      </c>
      <c r="R833">
        <f t="shared" si="62"/>
        <v>1.0220845757442749</v>
      </c>
      <c r="S833">
        <f t="shared" si="63"/>
        <v>-0.11208457574427488</v>
      </c>
      <c r="T833">
        <f t="shared" si="64"/>
        <v>1.2562952119774094E-2</v>
      </c>
    </row>
    <row r="834" spans="1:20" hidden="1" x14ac:dyDescent="0.25">
      <c r="A834" t="str">
        <f t="shared" si="61"/>
        <v>BAR</v>
      </c>
      <c r="B834" t="s">
        <v>840</v>
      </c>
      <c r="C834">
        <v>1.62261714</v>
      </c>
      <c r="D834">
        <v>7.1140114000000004E-2</v>
      </c>
      <c r="E834">
        <v>0.66800698000000003</v>
      </c>
      <c r="F834">
        <v>0.31184210499999998</v>
      </c>
      <c r="G834">
        <v>0.70123839099999996</v>
      </c>
      <c r="H834">
        <v>0.86</v>
      </c>
      <c r="I834">
        <v>1.20404146745467</v>
      </c>
      <c r="J834">
        <v>1.3446900875063601</v>
      </c>
      <c r="K834">
        <v>1.3249823583834599</v>
      </c>
      <c r="L834">
        <v>1.2731052813352599</v>
      </c>
      <c r="M834">
        <v>1.2743657774805199</v>
      </c>
      <c r="N834">
        <v>1.2724239176598799</v>
      </c>
      <c r="Q834">
        <f t="shared" si="65"/>
        <v>0.86</v>
      </c>
      <c r="R834">
        <f t="shared" si="62"/>
        <v>1.2447481396665936</v>
      </c>
      <c r="S834">
        <f t="shared" si="63"/>
        <v>-0.3847481396665936</v>
      </c>
      <c r="T834">
        <f t="shared" si="64"/>
        <v>0.14803113097690462</v>
      </c>
    </row>
    <row r="835" spans="1:20" hidden="1" x14ac:dyDescent="0.25">
      <c r="A835" t="str">
        <f t="shared" ref="A835:A898" si="66">LEFT(B835,3)</f>
        <v>BAR</v>
      </c>
      <c r="B835" t="s">
        <v>841</v>
      </c>
      <c r="C835">
        <v>1.8337319969999999</v>
      </c>
      <c r="D835">
        <v>6.5684042999999998E-2</v>
      </c>
      <c r="E835">
        <v>0.70986980600000005</v>
      </c>
      <c r="F835">
        <v>0.32880495300000001</v>
      </c>
      <c r="G835">
        <v>0.77404723099999995</v>
      </c>
      <c r="H835">
        <v>0.88</v>
      </c>
      <c r="I835">
        <v>1.0211954253441899</v>
      </c>
      <c r="J835">
        <v>1.10750140348212</v>
      </c>
      <c r="K835">
        <v>1.0855005705633101</v>
      </c>
      <c r="L835">
        <v>1.01155252505376</v>
      </c>
      <c r="M835">
        <v>1.0643484144131601</v>
      </c>
      <c r="N835">
        <v>1.0634732562684499</v>
      </c>
      <c r="Q835">
        <f t="shared" si="65"/>
        <v>0.88</v>
      </c>
      <c r="R835">
        <f t="shared" ref="R835:R898" si="67">$X$2*F835+$X$3*D835*E835+($X$4/(D835-$X$5))-$X$6*C835</f>
        <v>0.97557991572925085</v>
      </c>
      <c r="S835">
        <f t="shared" ref="S835:S898" si="68">Q835-R835</f>
        <v>-9.5579915729250842E-2</v>
      </c>
      <c r="T835">
        <f t="shared" ref="T835:T898" si="69">S835^2</f>
        <v>9.1355202908106926E-3</v>
      </c>
    </row>
    <row r="836" spans="1:20" hidden="1" x14ac:dyDescent="0.25">
      <c r="A836" t="str">
        <f t="shared" si="66"/>
        <v>BAR</v>
      </c>
      <c r="B836" t="s">
        <v>842</v>
      </c>
      <c r="C836">
        <v>1.8556793519999999</v>
      </c>
      <c r="D836">
        <v>6.8624404999999999E-2</v>
      </c>
      <c r="E836">
        <v>0.68072723700000004</v>
      </c>
      <c r="F836">
        <v>0.329041103</v>
      </c>
      <c r="G836">
        <v>0.72891475500000003</v>
      </c>
      <c r="H836">
        <v>0.84</v>
      </c>
      <c r="I836">
        <v>0.97816737401392595</v>
      </c>
      <c r="J836">
        <v>1.12586463604056</v>
      </c>
      <c r="K836">
        <v>1.0799051441934899</v>
      </c>
      <c r="L836">
        <v>1.0108243808808699</v>
      </c>
      <c r="M836">
        <v>1.05201600502724</v>
      </c>
      <c r="N836">
        <v>1.04942081860945</v>
      </c>
      <c r="Q836">
        <f t="shared" si="65"/>
        <v>0.84</v>
      </c>
      <c r="R836">
        <f t="shared" si="67"/>
        <v>0.98784834243765607</v>
      </c>
      <c r="S836">
        <f t="shared" si="68"/>
        <v>-0.1478483424376561</v>
      </c>
      <c r="T836">
        <f t="shared" si="69"/>
        <v>2.1859132361562422E-2</v>
      </c>
    </row>
    <row r="837" spans="1:20" hidden="1" x14ac:dyDescent="0.25">
      <c r="A837" t="str">
        <f t="shared" si="66"/>
        <v>BAR</v>
      </c>
      <c r="B837" t="s">
        <v>843</v>
      </c>
      <c r="C837">
        <v>1.722761757</v>
      </c>
      <c r="D837">
        <v>7.2601024E-2</v>
      </c>
      <c r="E837">
        <v>0.65332674800000001</v>
      </c>
      <c r="F837">
        <v>0.32296369699999999</v>
      </c>
      <c r="G837">
        <v>0.68903204799999995</v>
      </c>
      <c r="H837">
        <v>1</v>
      </c>
      <c r="I837">
        <v>1.1428859284711601</v>
      </c>
      <c r="J837">
        <v>1.305355545411</v>
      </c>
      <c r="K837">
        <v>1.30162848187764</v>
      </c>
      <c r="L837">
        <v>1.20978051238789</v>
      </c>
      <c r="M837">
        <v>1.22412073694108</v>
      </c>
      <c r="N837">
        <v>1.2214223202897601</v>
      </c>
      <c r="Q837">
        <f t="shared" si="65"/>
        <v>1</v>
      </c>
      <c r="R837">
        <f t="shared" si="67"/>
        <v>1.1896679345018204</v>
      </c>
      <c r="S837">
        <f t="shared" si="68"/>
        <v>-0.1896679345018204</v>
      </c>
      <c r="T837">
        <f t="shared" si="69"/>
        <v>3.5973925378186833E-2</v>
      </c>
    </row>
    <row r="838" spans="1:20" hidden="1" x14ac:dyDescent="0.25">
      <c r="A838" t="str">
        <f t="shared" si="66"/>
        <v>BAR</v>
      </c>
      <c r="B838" t="s">
        <v>844</v>
      </c>
      <c r="C838">
        <v>1.8735290870000001</v>
      </c>
      <c r="D838">
        <v>7.2758518999999994E-2</v>
      </c>
      <c r="E838">
        <v>0.65247694499999997</v>
      </c>
      <c r="F838">
        <v>0.34654922399999999</v>
      </c>
      <c r="G838">
        <v>0.69429930900000003</v>
      </c>
      <c r="H838">
        <v>0.8</v>
      </c>
      <c r="I838">
        <v>1.08139483226967</v>
      </c>
      <c r="J838">
        <v>1.2442916111045299</v>
      </c>
      <c r="K838">
        <v>1.16047641531664</v>
      </c>
      <c r="L838">
        <v>1.1113470418421001</v>
      </c>
      <c r="M838">
        <v>1.1628432216871001</v>
      </c>
      <c r="N838">
        <v>1.15998729220838</v>
      </c>
      <c r="Q838">
        <f t="shared" si="65"/>
        <v>0.8</v>
      </c>
      <c r="R838">
        <f t="shared" si="67"/>
        <v>1.1107397430785948</v>
      </c>
      <c r="S838">
        <f t="shared" si="68"/>
        <v>-0.31073974307859475</v>
      </c>
      <c r="T838">
        <f t="shared" si="69"/>
        <v>9.6559187928551074E-2</v>
      </c>
    </row>
    <row r="839" spans="1:20" hidden="1" x14ac:dyDescent="0.25">
      <c r="A839" t="str">
        <f t="shared" si="66"/>
        <v>BAR</v>
      </c>
      <c r="B839" t="s">
        <v>845</v>
      </c>
      <c r="C839">
        <v>1.8740150929999999</v>
      </c>
      <c r="D839">
        <v>7.0045241999999994E-2</v>
      </c>
      <c r="E839">
        <v>0.66179913000000001</v>
      </c>
      <c r="F839">
        <v>0.34874507100000002</v>
      </c>
      <c r="G839">
        <v>0.70691537599999998</v>
      </c>
      <c r="H839">
        <v>0.71</v>
      </c>
      <c r="I839">
        <v>1.06264034880423</v>
      </c>
      <c r="J839">
        <v>1.1931742479296601</v>
      </c>
      <c r="K839">
        <v>1.20996022777823</v>
      </c>
      <c r="L839">
        <v>1.17381211810174</v>
      </c>
      <c r="M839">
        <v>1.12790729836694</v>
      </c>
      <c r="N839">
        <v>1.1260173617685401</v>
      </c>
      <c r="Q839">
        <f t="shared" si="65"/>
        <v>0.71</v>
      </c>
      <c r="R839">
        <f t="shared" si="67"/>
        <v>1.0622257445958287</v>
      </c>
      <c r="S839">
        <f t="shared" si="68"/>
        <v>-0.35222574459582878</v>
      </c>
      <c r="T839">
        <f t="shared" si="69"/>
        <v>0.12406297515608601</v>
      </c>
    </row>
    <row r="840" spans="1:20" hidden="1" x14ac:dyDescent="0.25">
      <c r="A840" t="str">
        <f t="shared" si="66"/>
        <v>BAR</v>
      </c>
      <c r="B840" t="s">
        <v>846</v>
      </c>
      <c r="C840">
        <v>1.7774155519999999</v>
      </c>
      <c r="D840">
        <v>7.1117267999999997E-2</v>
      </c>
      <c r="E840">
        <v>0.66938372700000004</v>
      </c>
      <c r="F840">
        <v>0.31956928000000001</v>
      </c>
      <c r="G840">
        <v>0.71747797199999996</v>
      </c>
      <c r="H840">
        <v>0.74</v>
      </c>
      <c r="I840">
        <v>1.0618332672745701</v>
      </c>
      <c r="J840">
        <v>1.2193664071658701</v>
      </c>
      <c r="K840">
        <v>1.1247197302766001</v>
      </c>
      <c r="L840">
        <v>1.03745725321323</v>
      </c>
      <c r="M840">
        <v>1.14059983722022</v>
      </c>
      <c r="N840">
        <v>1.1378768897054701</v>
      </c>
      <c r="Q840">
        <f t="shared" si="65"/>
        <v>0.74</v>
      </c>
      <c r="R840">
        <f t="shared" si="67"/>
        <v>1.091132481946377</v>
      </c>
      <c r="S840">
        <f t="shared" si="68"/>
        <v>-0.35113248194637703</v>
      </c>
      <c r="T840">
        <f t="shared" si="69"/>
        <v>0.12329401987782279</v>
      </c>
    </row>
    <row r="841" spans="1:20" hidden="1" x14ac:dyDescent="0.25">
      <c r="A841" t="str">
        <f t="shared" si="66"/>
        <v>BAR</v>
      </c>
      <c r="B841" t="s">
        <v>847</v>
      </c>
      <c r="C841">
        <v>1.752477276</v>
      </c>
      <c r="D841">
        <v>7.0738345999999994E-2</v>
      </c>
      <c r="E841">
        <v>0.61952764699999996</v>
      </c>
      <c r="F841">
        <v>0.319327107</v>
      </c>
      <c r="G841">
        <v>0.65911011500000005</v>
      </c>
      <c r="H841">
        <v>0.85</v>
      </c>
      <c r="I841">
        <v>1.0383427864363799</v>
      </c>
      <c r="J841">
        <v>1.17280449460528</v>
      </c>
      <c r="K841">
        <v>1.21278338842426</v>
      </c>
      <c r="L841">
        <v>1.1166767488857501</v>
      </c>
      <c r="M841">
        <v>1.1055736405208301</v>
      </c>
      <c r="N841">
        <v>1.1035275650719201</v>
      </c>
      <c r="Q841">
        <f t="shared" si="65"/>
        <v>0.85</v>
      </c>
      <c r="R841">
        <f t="shared" si="67"/>
        <v>1.0478793484093649</v>
      </c>
      <c r="S841">
        <f t="shared" si="68"/>
        <v>-0.19787934840936494</v>
      </c>
      <c r="T841">
        <f t="shared" si="69"/>
        <v>3.9156236526914842E-2</v>
      </c>
    </row>
    <row r="842" spans="1:20" hidden="1" x14ac:dyDescent="0.25">
      <c r="A842" t="str">
        <f t="shared" si="66"/>
        <v>BAR</v>
      </c>
      <c r="B842" t="s">
        <v>848</v>
      </c>
      <c r="C842">
        <v>1.760248923</v>
      </c>
      <c r="D842">
        <v>7.1071440999999999E-2</v>
      </c>
      <c r="E842">
        <v>0.643206057</v>
      </c>
      <c r="F842">
        <v>0.336600381</v>
      </c>
      <c r="G842">
        <v>0.68330580500000004</v>
      </c>
      <c r="H842">
        <v>0.6</v>
      </c>
      <c r="I842">
        <v>1.1512268075749199</v>
      </c>
      <c r="J842">
        <v>1.2658147988338</v>
      </c>
      <c r="K842">
        <v>1.3730841148047099</v>
      </c>
      <c r="L842">
        <v>1.2896040798378099</v>
      </c>
      <c r="M842">
        <v>1.20852080320436</v>
      </c>
      <c r="N842">
        <v>1.20716193190579</v>
      </c>
      <c r="Q842">
        <f t="shared" si="65"/>
        <v>0.6</v>
      </c>
      <c r="R842">
        <f t="shared" si="67"/>
        <v>1.1506638457226099</v>
      </c>
      <c r="S842">
        <f t="shared" si="68"/>
        <v>-0.55066384572260996</v>
      </c>
      <c r="T842">
        <f t="shared" si="69"/>
        <v>0.30323067098601436</v>
      </c>
    </row>
    <row r="843" spans="1:20" hidden="1" x14ac:dyDescent="0.25">
      <c r="A843" t="str">
        <f t="shared" si="66"/>
        <v>BAR</v>
      </c>
      <c r="B843" t="s">
        <v>849</v>
      </c>
      <c r="C843">
        <v>1.87604858</v>
      </c>
      <c r="D843">
        <v>6.9512095999999995E-2</v>
      </c>
      <c r="E843">
        <v>0.63729031199999997</v>
      </c>
      <c r="F843">
        <v>0.33796915199999999</v>
      </c>
      <c r="G843">
        <v>0.677072954</v>
      </c>
      <c r="H843">
        <v>0.79</v>
      </c>
      <c r="I843">
        <v>0.97408111723835999</v>
      </c>
      <c r="J843">
        <v>1.10871267804063</v>
      </c>
      <c r="K843">
        <v>1.1001671945793701</v>
      </c>
      <c r="L843">
        <v>1.0352266366454199</v>
      </c>
      <c r="M843">
        <v>1.0413968976394901</v>
      </c>
      <c r="N843">
        <v>1.0392189779455301</v>
      </c>
      <c r="Q843">
        <f t="shared" si="65"/>
        <v>0.79</v>
      </c>
      <c r="R843">
        <f t="shared" si="67"/>
        <v>0.96989891041315301</v>
      </c>
      <c r="S843">
        <f t="shared" si="68"/>
        <v>-0.17989891041315298</v>
      </c>
      <c r="T843">
        <f t="shared" si="69"/>
        <v>3.2363617967839639E-2</v>
      </c>
    </row>
    <row r="844" spans="1:20" hidden="1" x14ac:dyDescent="0.25">
      <c r="A844" t="str">
        <f t="shared" si="66"/>
        <v>BAR</v>
      </c>
      <c r="B844" t="s">
        <v>850</v>
      </c>
      <c r="C844">
        <v>1.814682409</v>
      </c>
      <c r="D844">
        <v>5.9811980000000001E-2</v>
      </c>
      <c r="E844">
        <v>0.71803631000000001</v>
      </c>
      <c r="F844">
        <v>0.58777257999999999</v>
      </c>
      <c r="G844">
        <v>0.78752060499999998</v>
      </c>
      <c r="H844">
        <v>1.95</v>
      </c>
      <c r="I844">
        <v>2.03271863275079</v>
      </c>
      <c r="J844">
        <v>1.9466854040928301</v>
      </c>
      <c r="K844">
        <v>2.4140906108401201</v>
      </c>
      <c r="L844">
        <v>2.43870973910232</v>
      </c>
      <c r="M844">
        <v>1.9897020184218099</v>
      </c>
      <c r="N844">
        <v>1.98923696250685</v>
      </c>
      <c r="Q844">
        <f t="shared" si="65"/>
        <v>1.95</v>
      </c>
      <c r="R844">
        <f t="shared" si="67"/>
        <v>1.9779946837321285</v>
      </c>
      <c r="S844">
        <f t="shared" si="68"/>
        <v>-2.7994683732128545E-2</v>
      </c>
      <c r="T844">
        <f t="shared" si="69"/>
        <v>7.8370231726190257E-4</v>
      </c>
    </row>
    <row r="845" spans="1:20" hidden="1" x14ac:dyDescent="0.25">
      <c r="A845" t="str">
        <f t="shared" si="66"/>
        <v>BAR</v>
      </c>
      <c r="B845" t="s">
        <v>851</v>
      </c>
      <c r="C845">
        <v>1.7628977850000001</v>
      </c>
      <c r="D845">
        <v>5.8021159000000003E-2</v>
      </c>
      <c r="E845">
        <v>0.70772794400000005</v>
      </c>
      <c r="F845">
        <v>0.38120269000000001</v>
      </c>
      <c r="G845">
        <v>0.77727295399999996</v>
      </c>
      <c r="H845">
        <v>1.44</v>
      </c>
      <c r="I845">
        <v>1.22462396143814</v>
      </c>
      <c r="J845">
        <v>1.1886550840310901</v>
      </c>
      <c r="K845">
        <v>1.4694997045142799</v>
      </c>
      <c r="L845">
        <v>1.4032631561850599</v>
      </c>
      <c r="M845">
        <v>1.2066395227346101</v>
      </c>
      <c r="N845">
        <v>1.20650549016146</v>
      </c>
      <c r="Q845">
        <f t="shared" si="65"/>
        <v>1.44</v>
      </c>
      <c r="R845">
        <f t="shared" si="67"/>
        <v>1.1037177667789373</v>
      </c>
      <c r="S845">
        <f t="shared" si="68"/>
        <v>0.33628223322106265</v>
      </c>
      <c r="T845">
        <f t="shared" si="69"/>
        <v>0.11308574038014517</v>
      </c>
    </row>
    <row r="846" spans="1:20" hidden="1" x14ac:dyDescent="0.25">
      <c r="A846" t="str">
        <f t="shared" si="66"/>
        <v>BAR</v>
      </c>
      <c r="B846" t="s">
        <v>852</v>
      </c>
      <c r="C846">
        <v>2.0355629730000002</v>
      </c>
      <c r="D846">
        <v>5.7715258999999998E-2</v>
      </c>
      <c r="E846">
        <v>0.76022265700000002</v>
      </c>
      <c r="F846">
        <v>0.567757493</v>
      </c>
      <c r="G846">
        <v>0.84115198499999999</v>
      </c>
      <c r="H846">
        <v>1.68</v>
      </c>
      <c r="I846">
        <v>1.5858153274886</v>
      </c>
      <c r="J846">
        <v>1.6465303501369699</v>
      </c>
      <c r="K846">
        <v>1.8346118209907101</v>
      </c>
      <c r="L846">
        <v>1.64677145486067</v>
      </c>
      <c r="M846">
        <v>1.6161728388127901</v>
      </c>
      <c r="N846">
        <v>1.6158877022931999</v>
      </c>
      <c r="Q846">
        <f t="shared" si="65"/>
        <v>1.68</v>
      </c>
      <c r="R846">
        <f t="shared" si="67"/>
        <v>1.6194596654463602</v>
      </c>
      <c r="S846">
        <f t="shared" si="68"/>
        <v>6.0540334553639719E-2</v>
      </c>
      <c r="T846">
        <f t="shared" si="69"/>
        <v>3.6651321078666234E-3</v>
      </c>
    </row>
    <row r="847" spans="1:20" hidden="1" x14ac:dyDescent="0.25">
      <c r="A847" t="str">
        <f t="shared" si="66"/>
        <v>BAR</v>
      </c>
      <c r="B847" t="s">
        <v>853</v>
      </c>
      <c r="C847">
        <v>1.7893993619999999</v>
      </c>
      <c r="D847">
        <v>6.4948466999999996E-2</v>
      </c>
      <c r="E847">
        <v>0.73377377099999996</v>
      </c>
      <c r="F847">
        <v>0.58264355999999995</v>
      </c>
      <c r="G847">
        <v>0.80717349100000002</v>
      </c>
      <c r="H847">
        <v>1.78</v>
      </c>
      <c r="I847">
        <v>2.09872196866759</v>
      </c>
      <c r="J847">
        <v>2.0928222494563502</v>
      </c>
      <c r="K847">
        <v>2.4528839948249601</v>
      </c>
      <c r="L847">
        <v>2.4189138504788499</v>
      </c>
      <c r="M847">
        <v>2.0957721090619699</v>
      </c>
      <c r="N847">
        <v>2.0957700330547602</v>
      </c>
      <c r="Q847">
        <f t="shared" si="65"/>
        <v>1.78</v>
      </c>
      <c r="R847">
        <f t="shared" si="67"/>
        <v>2.1270928949862253</v>
      </c>
      <c r="S847">
        <f t="shared" si="68"/>
        <v>-0.34709289498622531</v>
      </c>
      <c r="T847">
        <f t="shared" si="69"/>
        <v>0.12047347774991883</v>
      </c>
    </row>
    <row r="848" spans="1:20" hidden="1" x14ac:dyDescent="0.25">
      <c r="A848" t="str">
        <f t="shared" si="66"/>
        <v>BAR</v>
      </c>
      <c r="B848" t="s">
        <v>854</v>
      </c>
      <c r="C848">
        <v>1.9487115669999999</v>
      </c>
      <c r="D848">
        <v>6.4498129000000001E-2</v>
      </c>
      <c r="E848">
        <v>0.74334636200000004</v>
      </c>
      <c r="F848">
        <v>0.572688953</v>
      </c>
      <c r="G848">
        <v>0.818378999</v>
      </c>
      <c r="H848">
        <v>1.47</v>
      </c>
      <c r="I848">
        <v>1.8460577640308</v>
      </c>
      <c r="J848">
        <v>1.89645618273628</v>
      </c>
      <c r="K848">
        <v>2.00038062805758</v>
      </c>
      <c r="L848">
        <v>2.00662064988322</v>
      </c>
      <c r="M848">
        <v>1.87125697338354</v>
      </c>
      <c r="N848">
        <v>1.8710872936035099</v>
      </c>
      <c r="Q848">
        <f t="shared" si="65"/>
        <v>1.47</v>
      </c>
      <c r="R848">
        <f t="shared" si="67"/>
        <v>1.8909224147527612</v>
      </c>
      <c r="S848">
        <f t="shared" si="68"/>
        <v>-0.42092241475276126</v>
      </c>
      <c r="T848">
        <f t="shared" si="69"/>
        <v>0.17717567924129557</v>
      </c>
    </row>
    <row r="849" spans="1:20" hidden="1" x14ac:dyDescent="0.25">
      <c r="A849" t="str">
        <f t="shared" si="66"/>
        <v>BAR</v>
      </c>
      <c r="B849" t="s">
        <v>855</v>
      </c>
      <c r="C849">
        <v>1.7540635920000001</v>
      </c>
      <c r="D849">
        <v>5.7665722000000003E-2</v>
      </c>
      <c r="E849">
        <v>0.74399617299999998</v>
      </c>
      <c r="F849">
        <v>0.62582695200000005</v>
      </c>
      <c r="G849">
        <v>0.81418170999999995</v>
      </c>
      <c r="H849">
        <v>1.7</v>
      </c>
      <c r="I849">
        <v>2.1591554592806701</v>
      </c>
      <c r="J849">
        <v>2.1240125588916001</v>
      </c>
      <c r="K849">
        <v>2.7106807715687902</v>
      </c>
      <c r="L849">
        <v>2.6311953939663102</v>
      </c>
      <c r="M849">
        <v>2.14158400908613</v>
      </c>
      <c r="N849">
        <v>2.14151192201013</v>
      </c>
      <c r="Q849">
        <f t="shared" si="65"/>
        <v>1.7</v>
      </c>
      <c r="R849">
        <f t="shared" si="67"/>
        <v>2.1922274502492574</v>
      </c>
      <c r="S849">
        <f t="shared" si="68"/>
        <v>-0.4922274502492574</v>
      </c>
      <c r="T849">
        <f t="shared" si="69"/>
        <v>0.24228786277888517</v>
      </c>
    </row>
    <row r="850" spans="1:20" hidden="1" x14ac:dyDescent="0.25">
      <c r="A850" t="str">
        <f t="shared" si="66"/>
        <v>BAR</v>
      </c>
      <c r="B850" t="s">
        <v>856</v>
      </c>
      <c r="C850">
        <v>1.79411768</v>
      </c>
      <c r="D850">
        <v>6.0893321E-2</v>
      </c>
      <c r="E850">
        <v>0.72315196800000003</v>
      </c>
      <c r="F850">
        <v>0.52451976600000005</v>
      </c>
      <c r="G850">
        <v>0.79360070699999996</v>
      </c>
      <c r="H850">
        <v>1.38</v>
      </c>
      <c r="I850">
        <v>1.80991531889096</v>
      </c>
      <c r="J850">
        <v>1.76538978649954</v>
      </c>
      <c r="K850">
        <v>2.14446640496881</v>
      </c>
      <c r="L850">
        <v>2.1433792069680999</v>
      </c>
      <c r="M850">
        <v>1.78765255269525</v>
      </c>
      <c r="N850">
        <v>1.78751392117633</v>
      </c>
      <c r="Q850">
        <f t="shared" si="65"/>
        <v>1.38</v>
      </c>
      <c r="R850">
        <f t="shared" si="67"/>
        <v>1.762542238144448</v>
      </c>
      <c r="S850">
        <f t="shared" si="68"/>
        <v>-0.3825422381444481</v>
      </c>
      <c r="T850">
        <f t="shared" si="69"/>
        <v>0.14633856396456366</v>
      </c>
    </row>
    <row r="851" spans="1:20" hidden="1" x14ac:dyDescent="0.25">
      <c r="A851" t="str">
        <f t="shared" si="66"/>
        <v>BAR</v>
      </c>
      <c r="B851" t="s">
        <v>857</v>
      </c>
      <c r="C851">
        <v>1.934952582</v>
      </c>
      <c r="D851">
        <v>6.3906497000000007E-2</v>
      </c>
      <c r="E851">
        <v>0.73037156000000003</v>
      </c>
      <c r="F851">
        <v>0.60671186300000002</v>
      </c>
      <c r="G851">
        <v>0.80189213999999998</v>
      </c>
      <c r="H851">
        <v>1.61</v>
      </c>
      <c r="I851">
        <v>2.00668802565747</v>
      </c>
      <c r="J851">
        <v>2.0062364368804499</v>
      </c>
      <c r="K851">
        <v>2.30302101764459</v>
      </c>
      <c r="L851">
        <v>2.2075180070009202</v>
      </c>
      <c r="M851">
        <v>2.00646223126896</v>
      </c>
      <c r="N851">
        <v>2.0064622185642298</v>
      </c>
      <c r="Q851">
        <f t="shared" si="65"/>
        <v>1.61</v>
      </c>
      <c r="R851">
        <f t="shared" si="67"/>
        <v>2.0240632531120486</v>
      </c>
      <c r="S851">
        <f t="shared" si="68"/>
        <v>-0.4140632531120485</v>
      </c>
      <c r="T851">
        <f t="shared" si="69"/>
        <v>0.17144837757773235</v>
      </c>
    </row>
    <row r="852" spans="1:20" hidden="1" x14ac:dyDescent="0.25">
      <c r="A852" t="str">
        <f t="shared" si="66"/>
        <v>BAR</v>
      </c>
      <c r="B852" t="s">
        <v>858</v>
      </c>
      <c r="C852">
        <v>1.8282147310000001</v>
      </c>
      <c r="D852">
        <v>6.3575459000000001E-2</v>
      </c>
      <c r="E852">
        <v>0.71936449899999999</v>
      </c>
      <c r="F852">
        <v>0.58919271399999995</v>
      </c>
      <c r="G852">
        <v>0.79872755500000003</v>
      </c>
      <c r="H852">
        <v>1.49</v>
      </c>
      <c r="I852">
        <v>2.0665433919423202</v>
      </c>
      <c r="J852">
        <v>2.0284998888827301</v>
      </c>
      <c r="K852">
        <v>2.36936326294094</v>
      </c>
      <c r="L852">
        <v>2.32839583934358</v>
      </c>
      <c r="M852">
        <v>2.0475216404125298</v>
      </c>
      <c r="N852">
        <v>2.0474332811904601</v>
      </c>
      <c r="Q852">
        <f t="shared" si="65"/>
        <v>1.49</v>
      </c>
      <c r="R852">
        <f t="shared" si="67"/>
        <v>2.0580027202716695</v>
      </c>
      <c r="S852">
        <f t="shared" si="68"/>
        <v>-0.56800272027166954</v>
      </c>
      <c r="T852">
        <f t="shared" si="69"/>
        <v>0.32262709023601649</v>
      </c>
    </row>
    <row r="853" spans="1:20" hidden="1" x14ac:dyDescent="0.25">
      <c r="A853" t="str">
        <f t="shared" si="66"/>
        <v>BAR</v>
      </c>
      <c r="B853" t="s">
        <v>859</v>
      </c>
      <c r="C853">
        <v>1.853647928</v>
      </c>
      <c r="D853">
        <v>6.0355654000000002E-2</v>
      </c>
      <c r="E853">
        <v>0.74138987599999995</v>
      </c>
      <c r="F853">
        <v>0.58628377300000001</v>
      </c>
      <c r="G853">
        <v>0.82018754900000002</v>
      </c>
      <c r="H853">
        <v>1.57</v>
      </c>
      <c r="I853">
        <v>1.9307378382687801</v>
      </c>
      <c r="J853">
        <v>1.93912120260636</v>
      </c>
      <c r="K853">
        <v>2.2106428197627301</v>
      </c>
      <c r="L853">
        <v>2.1255133686310401</v>
      </c>
      <c r="M853">
        <v>1.93492952043757</v>
      </c>
      <c r="N853">
        <v>1.9349249801636601</v>
      </c>
      <c r="Q853">
        <f t="shared" si="65"/>
        <v>1.57</v>
      </c>
      <c r="R853">
        <f t="shared" si="67"/>
        <v>1.9620326416286882</v>
      </c>
      <c r="S853">
        <f t="shared" si="68"/>
        <v>-0.39203264162868812</v>
      </c>
      <c r="T853">
        <f t="shared" si="69"/>
        <v>0.15368959210236741</v>
      </c>
    </row>
    <row r="854" spans="1:20" hidden="1" x14ac:dyDescent="0.25">
      <c r="A854" t="str">
        <f t="shared" si="66"/>
        <v>BAR</v>
      </c>
      <c r="B854" t="s">
        <v>860</v>
      </c>
      <c r="C854">
        <v>1.753800955</v>
      </c>
      <c r="D854">
        <v>6.4693008999999996E-2</v>
      </c>
      <c r="E854">
        <v>0.72774324700000004</v>
      </c>
      <c r="F854">
        <v>0.63129926199999997</v>
      </c>
      <c r="G854">
        <v>0.79824640999999996</v>
      </c>
      <c r="H854">
        <v>2.0299999999999998</v>
      </c>
      <c r="I854">
        <v>2.34756835622612</v>
      </c>
      <c r="J854">
        <v>2.2940608944155598</v>
      </c>
      <c r="K854">
        <v>2.6639691667496401</v>
      </c>
      <c r="L854">
        <v>2.7187205376579202</v>
      </c>
      <c r="M854">
        <v>2.3208146253208399</v>
      </c>
      <c r="N854">
        <v>2.3206604152666901</v>
      </c>
      <c r="Q854">
        <f t="shared" si="65"/>
        <v>2.0299999999999998</v>
      </c>
      <c r="R854">
        <f t="shared" si="67"/>
        <v>2.3655920924134928</v>
      </c>
      <c r="S854">
        <f t="shared" si="68"/>
        <v>-0.33559209241349297</v>
      </c>
      <c r="T854">
        <f t="shared" si="69"/>
        <v>0.1126220524904664</v>
      </c>
    </row>
    <row r="855" spans="1:20" hidden="1" x14ac:dyDescent="0.25">
      <c r="A855" t="str">
        <f t="shared" si="66"/>
        <v>BAR</v>
      </c>
      <c r="B855" t="s">
        <v>861</v>
      </c>
      <c r="C855">
        <v>1.8016927890000001</v>
      </c>
      <c r="D855">
        <v>6.5867654999999997E-2</v>
      </c>
      <c r="E855">
        <v>0.72017930399999996</v>
      </c>
      <c r="F855">
        <v>0.55561693400000001</v>
      </c>
      <c r="G855">
        <v>0.78592526100000004</v>
      </c>
      <c r="H855">
        <v>1.55</v>
      </c>
      <c r="I855">
        <v>2.0274806449121199</v>
      </c>
      <c r="J855">
        <v>1.98877201437759</v>
      </c>
      <c r="K855">
        <v>2.3157378957452601</v>
      </c>
      <c r="L855">
        <v>2.3373679843023498</v>
      </c>
      <c r="M855">
        <v>2.0081263296448602</v>
      </c>
      <c r="N855">
        <v>2.0080330590638802</v>
      </c>
      <c r="Q855">
        <f t="shared" si="65"/>
        <v>1.55</v>
      </c>
      <c r="R855">
        <f t="shared" si="67"/>
        <v>2.0032637595737572</v>
      </c>
      <c r="S855">
        <f t="shared" si="68"/>
        <v>-0.4532637595737572</v>
      </c>
      <c r="T855">
        <f t="shared" si="69"/>
        <v>0.20544803574293677</v>
      </c>
    </row>
    <row r="856" spans="1:20" hidden="1" x14ac:dyDescent="0.25">
      <c r="A856" t="str">
        <f t="shared" si="66"/>
        <v>BAR</v>
      </c>
      <c r="B856" t="s">
        <v>862</v>
      </c>
      <c r="C856">
        <v>2.1756647419999999</v>
      </c>
      <c r="D856">
        <v>6.2685538999999998E-2</v>
      </c>
      <c r="E856">
        <v>0.74757940899999997</v>
      </c>
      <c r="F856">
        <v>0.59608201900000002</v>
      </c>
      <c r="G856">
        <v>0.82636803400000003</v>
      </c>
      <c r="H856">
        <v>1.56</v>
      </c>
      <c r="I856">
        <v>1.6256433445056799</v>
      </c>
      <c r="J856">
        <v>1.71549145765475</v>
      </c>
      <c r="K856">
        <v>1.6513253892006901</v>
      </c>
      <c r="L856">
        <v>1.5342350098261901</v>
      </c>
      <c r="M856">
        <v>1.6705674010802101</v>
      </c>
      <c r="N856">
        <v>1.66996325429417</v>
      </c>
      <c r="Q856">
        <f t="shared" si="65"/>
        <v>1.56</v>
      </c>
      <c r="R856">
        <f t="shared" si="67"/>
        <v>1.6759328148363291</v>
      </c>
      <c r="S856">
        <f t="shared" si="68"/>
        <v>-0.115932814836329</v>
      </c>
      <c r="T856">
        <f t="shared" si="69"/>
        <v>1.3440417555874546E-2</v>
      </c>
    </row>
    <row r="857" spans="1:20" hidden="1" x14ac:dyDescent="0.25">
      <c r="A857" t="str">
        <f t="shared" si="66"/>
        <v>BAR</v>
      </c>
      <c r="B857" t="s">
        <v>863</v>
      </c>
      <c r="C857">
        <v>1.802627859</v>
      </c>
      <c r="D857">
        <v>6.6413787000000002E-2</v>
      </c>
      <c r="E857">
        <v>0.71838509100000003</v>
      </c>
      <c r="F857">
        <v>0.58424483999999999</v>
      </c>
      <c r="G857">
        <v>0.79019469399999998</v>
      </c>
      <c r="H857">
        <v>1.45</v>
      </c>
      <c r="I857">
        <v>2.1470395706669598</v>
      </c>
      <c r="J857">
        <v>2.1045565332868801</v>
      </c>
      <c r="K857">
        <v>2.3663881445520398</v>
      </c>
      <c r="L857">
        <v>2.3749779373702702</v>
      </c>
      <c r="M857">
        <v>2.1257980519769202</v>
      </c>
      <c r="N857">
        <v>2.1256919239797201</v>
      </c>
      <c r="Q857">
        <f t="shared" si="65"/>
        <v>1.45</v>
      </c>
      <c r="R857">
        <f t="shared" si="67"/>
        <v>2.136297541566833</v>
      </c>
      <c r="S857">
        <f t="shared" si="68"/>
        <v>-0.68629754156683309</v>
      </c>
      <c r="T857">
        <f t="shared" si="69"/>
        <v>0.47100431556067901</v>
      </c>
    </row>
    <row r="858" spans="1:20" hidden="1" x14ac:dyDescent="0.25">
      <c r="A858" t="str">
        <f t="shared" si="66"/>
        <v>BAR</v>
      </c>
      <c r="B858" t="s">
        <v>864</v>
      </c>
      <c r="C858">
        <v>1.7469986959999999</v>
      </c>
      <c r="D858">
        <v>6.0493375000000002E-2</v>
      </c>
      <c r="E858">
        <v>0.728947134</v>
      </c>
      <c r="F858">
        <v>0.61906172299999995</v>
      </c>
      <c r="G858">
        <v>0.80767832100000003</v>
      </c>
      <c r="H858">
        <v>1.59</v>
      </c>
      <c r="I858">
        <v>2.2031539241421401</v>
      </c>
      <c r="J858">
        <v>2.1564246506485598</v>
      </c>
      <c r="K858">
        <v>2.5696904970636698</v>
      </c>
      <c r="L858">
        <v>2.5320988760897798</v>
      </c>
      <c r="M858">
        <v>2.1797892873953502</v>
      </c>
      <c r="N858">
        <v>2.1796640638394802</v>
      </c>
      <c r="Q858">
        <f t="shared" si="65"/>
        <v>1.59</v>
      </c>
      <c r="R858">
        <f t="shared" si="67"/>
        <v>2.2218404729454035</v>
      </c>
      <c r="S858">
        <f t="shared" si="68"/>
        <v>-0.63184047294540346</v>
      </c>
      <c r="T858">
        <f t="shared" si="69"/>
        <v>0.39922238325187115</v>
      </c>
    </row>
    <row r="859" spans="1:20" hidden="1" x14ac:dyDescent="0.25">
      <c r="A859" t="str">
        <f t="shared" si="66"/>
        <v>BAR</v>
      </c>
      <c r="B859" t="s">
        <v>865</v>
      </c>
      <c r="C859">
        <v>1.816219912</v>
      </c>
      <c r="D859">
        <v>6.3907375000000002E-2</v>
      </c>
      <c r="E859">
        <v>0.69031753100000004</v>
      </c>
      <c r="F859">
        <v>0.34867410799999998</v>
      </c>
      <c r="G859">
        <v>0.75219816699999997</v>
      </c>
      <c r="H859">
        <v>0.88</v>
      </c>
      <c r="I859">
        <v>1.08803033084766</v>
      </c>
      <c r="J859">
        <v>1.1331812477495</v>
      </c>
      <c r="K859">
        <v>1.2403168343672699</v>
      </c>
      <c r="L859">
        <v>1.1715992383551199</v>
      </c>
      <c r="M859">
        <v>1.1106057892985799</v>
      </c>
      <c r="N859">
        <v>1.1103763181459101</v>
      </c>
      <c r="Q859">
        <f t="shared" si="65"/>
        <v>0.88</v>
      </c>
      <c r="R859">
        <f t="shared" si="67"/>
        <v>1.0165856108285189</v>
      </c>
      <c r="S859">
        <f t="shared" si="68"/>
        <v>-0.13658561082851894</v>
      </c>
      <c r="T859">
        <f t="shared" si="69"/>
        <v>1.8655629085399632E-2</v>
      </c>
    </row>
    <row r="860" spans="1:20" hidden="1" x14ac:dyDescent="0.25">
      <c r="A860" t="str">
        <f t="shared" si="66"/>
        <v>BAR</v>
      </c>
      <c r="B860" t="s">
        <v>866</v>
      </c>
      <c r="C860">
        <v>1.486403363</v>
      </c>
      <c r="D860">
        <v>6.7760010999999995E-2</v>
      </c>
      <c r="E860">
        <v>0.68206431499999998</v>
      </c>
      <c r="F860">
        <v>0.30510425899999999</v>
      </c>
      <c r="G860">
        <v>0.72000763099999998</v>
      </c>
      <c r="H860">
        <v>0.75</v>
      </c>
      <c r="I860">
        <v>1.32413626319052</v>
      </c>
      <c r="J860">
        <v>1.3871765082340399</v>
      </c>
      <c r="K860">
        <v>1.28174908088781</v>
      </c>
      <c r="L860">
        <v>1.4106195382917099</v>
      </c>
      <c r="M860">
        <v>1.3556563857122801</v>
      </c>
      <c r="N860">
        <v>1.35528990182864</v>
      </c>
      <c r="Q860">
        <f t="shared" si="65"/>
        <v>0.75</v>
      </c>
      <c r="R860">
        <f t="shared" si="67"/>
        <v>1.3136477739382852</v>
      </c>
      <c r="S860">
        <f t="shared" si="68"/>
        <v>-0.56364777393828525</v>
      </c>
      <c r="T860">
        <f t="shared" si="69"/>
        <v>0.31769881306558428</v>
      </c>
    </row>
    <row r="861" spans="1:20" hidden="1" x14ac:dyDescent="0.25">
      <c r="A861" t="str">
        <f t="shared" si="66"/>
        <v>BAR</v>
      </c>
      <c r="B861" t="s">
        <v>867</v>
      </c>
      <c r="C861">
        <v>1.515772127</v>
      </c>
      <c r="D861">
        <v>6.6333387999999993E-2</v>
      </c>
      <c r="E861">
        <v>0.69792091999999994</v>
      </c>
      <c r="F861">
        <v>0.30731597900000002</v>
      </c>
      <c r="G861">
        <v>0.72140036500000004</v>
      </c>
      <c r="H861">
        <v>0.99</v>
      </c>
      <c r="I861">
        <v>1.26857121915722</v>
      </c>
      <c r="J861">
        <v>1.3489417386757301</v>
      </c>
      <c r="K861">
        <v>1.28896343652503</v>
      </c>
      <c r="L861">
        <v>1.2766711976398</v>
      </c>
      <c r="M861">
        <v>1.3087564789164801</v>
      </c>
      <c r="N861">
        <v>1.3081393908922401</v>
      </c>
      <c r="Q861">
        <f t="shared" si="65"/>
        <v>0.99</v>
      </c>
      <c r="R861">
        <f t="shared" si="67"/>
        <v>1.2713034035919013</v>
      </c>
      <c r="S861">
        <f t="shared" si="68"/>
        <v>-0.28130340359190131</v>
      </c>
      <c r="T861">
        <f t="shared" si="69"/>
        <v>7.9131604872388114E-2</v>
      </c>
    </row>
    <row r="862" spans="1:20" hidden="1" x14ac:dyDescent="0.25">
      <c r="A862" t="str">
        <f t="shared" si="66"/>
        <v>BAR</v>
      </c>
      <c r="B862" t="s">
        <v>868</v>
      </c>
      <c r="C862">
        <v>1.493523006</v>
      </c>
      <c r="D862">
        <v>7.3102306000000006E-2</v>
      </c>
      <c r="E862">
        <v>0.66583111800000006</v>
      </c>
      <c r="F862">
        <v>0.303379232</v>
      </c>
      <c r="G862">
        <v>0.68928748500000003</v>
      </c>
      <c r="H862">
        <v>0.79</v>
      </c>
      <c r="I862">
        <v>1.34973871155742</v>
      </c>
      <c r="J862">
        <v>1.49167218721842</v>
      </c>
      <c r="K862">
        <v>1.03269800822538</v>
      </c>
      <c r="L862">
        <v>1.24577982074773</v>
      </c>
      <c r="M862">
        <v>1.4207054493879201</v>
      </c>
      <c r="N862">
        <v>1.41893188562462</v>
      </c>
      <c r="Q862">
        <f t="shared" si="65"/>
        <v>0.79</v>
      </c>
      <c r="R862">
        <f t="shared" si="67"/>
        <v>1.4132759258886169</v>
      </c>
      <c r="S862">
        <f t="shared" si="68"/>
        <v>-0.62327592588861691</v>
      </c>
      <c r="T862">
        <f t="shared" si="69"/>
        <v>0.38847287979231265</v>
      </c>
    </row>
    <row r="863" spans="1:20" hidden="1" x14ac:dyDescent="0.25">
      <c r="A863" t="str">
        <f t="shared" si="66"/>
        <v>BAR</v>
      </c>
      <c r="B863" t="s">
        <v>869</v>
      </c>
      <c r="C863">
        <v>1.853253359</v>
      </c>
      <c r="D863">
        <v>6.0682925999999998E-2</v>
      </c>
      <c r="E863">
        <v>0.69819602800000002</v>
      </c>
      <c r="F863">
        <v>0.51947742699999999</v>
      </c>
      <c r="G863">
        <v>0.77525939200000005</v>
      </c>
      <c r="H863">
        <v>1.3</v>
      </c>
      <c r="I863">
        <v>1.7392117721645499</v>
      </c>
      <c r="J863">
        <v>1.6567029014482699</v>
      </c>
      <c r="K863">
        <v>1.9988456907515999</v>
      </c>
      <c r="L863">
        <v>1.95787201783464</v>
      </c>
      <c r="M863">
        <v>1.69795733680641</v>
      </c>
      <c r="N863">
        <v>1.6974560934463101</v>
      </c>
      <c r="Q863">
        <f t="shared" si="65"/>
        <v>1.3</v>
      </c>
      <c r="R863">
        <f t="shared" si="67"/>
        <v>1.6372430838515855</v>
      </c>
      <c r="S863">
        <f t="shared" si="68"/>
        <v>-0.33724308385158541</v>
      </c>
      <c r="T863">
        <f t="shared" si="69"/>
        <v>0.11373289760572747</v>
      </c>
    </row>
    <row r="864" spans="1:20" hidden="1" x14ac:dyDescent="0.25">
      <c r="A864" t="str">
        <f t="shared" si="66"/>
        <v>BAR</v>
      </c>
      <c r="B864" t="s">
        <v>870</v>
      </c>
      <c r="C864">
        <v>1.9467822189999999</v>
      </c>
      <c r="D864">
        <v>6.2550517999999999E-2</v>
      </c>
      <c r="E864">
        <v>0.70289034399999994</v>
      </c>
      <c r="F864">
        <v>0.50992588599999999</v>
      </c>
      <c r="G864">
        <v>0.77233324299999995</v>
      </c>
      <c r="H864">
        <v>1.26</v>
      </c>
      <c r="I864">
        <v>1.6168085305322699</v>
      </c>
      <c r="J864">
        <v>1.57647346040489</v>
      </c>
      <c r="K864">
        <v>1.73442217003416</v>
      </c>
      <c r="L864">
        <v>1.7910190511189401</v>
      </c>
      <c r="M864">
        <v>1.5966409954685801</v>
      </c>
      <c r="N864">
        <v>1.5965136200297101</v>
      </c>
      <c r="Q864">
        <f t="shared" si="65"/>
        <v>1.26</v>
      </c>
      <c r="R864">
        <f t="shared" si="67"/>
        <v>1.5313885054481431</v>
      </c>
      <c r="S864">
        <f t="shared" si="68"/>
        <v>-0.27138850544814308</v>
      </c>
      <c r="T864">
        <f t="shared" si="69"/>
        <v>7.3651720889376784E-2</v>
      </c>
    </row>
    <row r="865" spans="1:20" hidden="1" x14ac:dyDescent="0.25">
      <c r="A865" t="str">
        <f t="shared" si="66"/>
        <v>BAR</v>
      </c>
      <c r="B865" t="s">
        <v>871</v>
      </c>
      <c r="C865">
        <v>1.817992101</v>
      </c>
      <c r="D865">
        <v>6.4759923999999996E-2</v>
      </c>
      <c r="E865">
        <v>0.69502249900000002</v>
      </c>
      <c r="F865">
        <v>0.49726685799999998</v>
      </c>
      <c r="G865">
        <v>0.76952772700000005</v>
      </c>
      <c r="H865">
        <v>1.31</v>
      </c>
      <c r="I865">
        <v>1.7646078904729801</v>
      </c>
      <c r="J865">
        <v>1.7027326839335699</v>
      </c>
      <c r="K865">
        <v>1.92423604328621</v>
      </c>
      <c r="L865">
        <v>1.9234340346866901</v>
      </c>
      <c r="M865">
        <v>1.7336702872032801</v>
      </c>
      <c r="N865">
        <v>1.73339422216512</v>
      </c>
      <c r="Q865">
        <f t="shared" si="65"/>
        <v>1.31</v>
      </c>
      <c r="R865">
        <f t="shared" si="67"/>
        <v>1.6770795027937093</v>
      </c>
      <c r="S865">
        <f t="shared" si="68"/>
        <v>-0.36707950279370927</v>
      </c>
      <c r="T865">
        <f t="shared" si="69"/>
        <v>0.1347473613712768</v>
      </c>
    </row>
    <row r="866" spans="1:20" hidden="1" x14ac:dyDescent="0.25">
      <c r="A866" t="str">
        <f t="shared" si="66"/>
        <v>BAR</v>
      </c>
      <c r="B866" t="s">
        <v>872</v>
      </c>
      <c r="C866">
        <v>1.7640333399999999</v>
      </c>
      <c r="D866">
        <v>6.1301715999999999E-2</v>
      </c>
      <c r="E866">
        <v>0.70503497400000004</v>
      </c>
      <c r="F866">
        <v>0.532218101</v>
      </c>
      <c r="G866">
        <v>0.77770580899999997</v>
      </c>
      <c r="H866">
        <v>1.56</v>
      </c>
      <c r="I866">
        <v>1.90788578037808</v>
      </c>
      <c r="J866">
        <v>1.8141862851602899</v>
      </c>
      <c r="K866">
        <v>2.1871618939171902</v>
      </c>
      <c r="L866">
        <v>2.1894261836646001</v>
      </c>
      <c r="M866">
        <v>1.8610360327691799</v>
      </c>
      <c r="N866">
        <v>1.8604462412051099</v>
      </c>
      <c r="Q866">
        <f t="shared" si="65"/>
        <v>1.56</v>
      </c>
      <c r="R866">
        <f t="shared" si="67"/>
        <v>1.821892200986444</v>
      </c>
      <c r="S866">
        <f t="shared" si="68"/>
        <v>-0.26189220098644395</v>
      </c>
      <c r="T866">
        <f t="shared" si="69"/>
        <v>6.8587524937523958E-2</v>
      </c>
    </row>
    <row r="867" spans="1:20" hidden="1" x14ac:dyDescent="0.25">
      <c r="A867" t="str">
        <f t="shared" si="66"/>
        <v>BAR</v>
      </c>
      <c r="B867" t="s">
        <v>873</v>
      </c>
      <c r="C867">
        <v>1.885693573</v>
      </c>
      <c r="D867">
        <v>6.1392292000000001E-2</v>
      </c>
      <c r="E867">
        <v>0.69379929399999996</v>
      </c>
      <c r="F867">
        <v>0.55256585400000002</v>
      </c>
      <c r="G867">
        <v>0.75747777299999997</v>
      </c>
      <c r="H867">
        <v>1.51</v>
      </c>
      <c r="I867">
        <v>1.8850771367310999</v>
      </c>
      <c r="J867">
        <v>1.7574668915834499</v>
      </c>
      <c r="K867">
        <v>2.1031101119123901</v>
      </c>
      <c r="L867">
        <v>2.22646464993973</v>
      </c>
      <c r="M867">
        <v>1.82127201415727</v>
      </c>
      <c r="N867">
        <v>1.8201540198252</v>
      </c>
      <c r="Q867">
        <f t="shared" si="65"/>
        <v>1.51</v>
      </c>
      <c r="R867">
        <f t="shared" si="67"/>
        <v>1.7512612411856856</v>
      </c>
      <c r="S867">
        <f t="shared" si="68"/>
        <v>-0.24126124118568559</v>
      </c>
      <c r="T867">
        <f t="shared" si="69"/>
        <v>5.8206986498457555E-2</v>
      </c>
    </row>
    <row r="868" spans="1:20" hidden="1" x14ac:dyDescent="0.25">
      <c r="A868" t="str">
        <f t="shared" si="66"/>
        <v>BAR</v>
      </c>
      <c r="B868" t="s">
        <v>874</v>
      </c>
      <c r="C868">
        <v>1.8332174990000001</v>
      </c>
      <c r="D868">
        <v>5.9280171E-2</v>
      </c>
      <c r="E868">
        <v>0.69295508299999997</v>
      </c>
      <c r="F868">
        <v>0.53352206700000004</v>
      </c>
      <c r="G868">
        <v>0.76704413500000002</v>
      </c>
      <c r="H868">
        <v>1.33</v>
      </c>
      <c r="I868">
        <v>1.8117635485767001</v>
      </c>
      <c r="J868">
        <v>1.69105655403251</v>
      </c>
      <c r="K868">
        <v>2.0657147663255202</v>
      </c>
      <c r="L868">
        <v>2.12108506353499</v>
      </c>
      <c r="M868">
        <v>1.7514100513046</v>
      </c>
      <c r="N868">
        <v>1.7503698532532499</v>
      </c>
      <c r="Q868">
        <f t="shared" si="65"/>
        <v>1.33</v>
      </c>
      <c r="R868">
        <f t="shared" si="67"/>
        <v>1.6842125113327895</v>
      </c>
      <c r="S868">
        <f t="shared" si="68"/>
        <v>-0.35421251133278941</v>
      </c>
      <c r="T868">
        <f t="shared" si="69"/>
        <v>0.12546650318468147</v>
      </c>
    </row>
    <row r="869" spans="1:20" hidden="1" x14ac:dyDescent="0.25">
      <c r="A869" t="str">
        <f t="shared" si="66"/>
        <v>BAR</v>
      </c>
      <c r="B869" t="s">
        <v>875</v>
      </c>
      <c r="C869">
        <v>1.8306544769999999</v>
      </c>
      <c r="D869">
        <v>5.6704179E-2</v>
      </c>
      <c r="E869">
        <v>0.69227273300000003</v>
      </c>
      <c r="F869">
        <v>0.55529425300000002</v>
      </c>
      <c r="G869">
        <v>0.76831047699999999</v>
      </c>
      <c r="H869">
        <v>1.43</v>
      </c>
      <c r="I869">
        <v>1.86217100836703</v>
      </c>
      <c r="J869">
        <v>1.7158612815741101</v>
      </c>
      <c r="K869">
        <v>2.2077488362596398</v>
      </c>
      <c r="L869">
        <v>2.2517553688535301</v>
      </c>
      <c r="M869">
        <v>1.7890161449705699</v>
      </c>
      <c r="N869">
        <v>1.78751982728215</v>
      </c>
      <c r="Q869">
        <f t="shared" si="65"/>
        <v>1.43</v>
      </c>
      <c r="R869">
        <f t="shared" si="67"/>
        <v>1.7225885572386295</v>
      </c>
      <c r="S869">
        <f t="shared" si="68"/>
        <v>-0.29258855723862953</v>
      </c>
      <c r="T869">
        <f t="shared" si="69"/>
        <v>8.5608063826982786E-2</v>
      </c>
    </row>
    <row r="870" spans="1:20" hidden="1" x14ac:dyDescent="0.25">
      <c r="A870" t="str">
        <f t="shared" si="66"/>
        <v>BAR</v>
      </c>
      <c r="B870" t="s">
        <v>876</v>
      </c>
      <c r="C870">
        <v>1.9265061590000001</v>
      </c>
      <c r="D870">
        <v>6.2175925999999999E-2</v>
      </c>
      <c r="E870">
        <v>0.70088928299999997</v>
      </c>
      <c r="F870">
        <v>0.43509879600000001</v>
      </c>
      <c r="G870">
        <v>0.77449333300000001</v>
      </c>
      <c r="H870">
        <v>1.19</v>
      </c>
      <c r="I870">
        <v>1.3187853467423301</v>
      </c>
      <c r="J870">
        <v>1.3109950391290199</v>
      </c>
      <c r="K870">
        <v>1.3910581308063501</v>
      </c>
      <c r="L870">
        <v>1.3798320709628</v>
      </c>
      <c r="M870">
        <v>1.31489019293568</v>
      </c>
      <c r="N870">
        <v>1.3148844235351</v>
      </c>
      <c r="Q870">
        <f t="shared" si="65"/>
        <v>1.19</v>
      </c>
      <c r="R870">
        <f t="shared" si="67"/>
        <v>1.2242467934229091</v>
      </c>
      <c r="S870">
        <f t="shared" si="68"/>
        <v>-3.424679342290915E-2</v>
      </c>
      <c r="T870">
        <f t="shared" si="69"/>
        <v>1.1728428597514134E-3</v>
      </c>
    </row>
    <row r="871" spans="1:20" hidden="1" x14ac:dyDescent="0.25">
      <c r="A871" t="str">
        <f t="shared" si="66"/>
        <v>BAR</v>
      </c>
      <c r="B871" t="s">
        <v>877</v>
      </c>
      <c r="C871">
        <v>1.781882634</v>
      </c>
      <c r="D871">
        <v>6.4595799999999995E-2</v>
      </c>
      <c r="E871">
        <v>0.69835379799999997</v>
      </c>
      <c r="F871">
        <v>0.51455165800000002</v>
      </c>
      <c r="G871">
        <v>0.76634624500000004</v>
      </c>
      <c r="H871">
        <v>1.37</v>
      </c>
      <c r="I871">
        <v>1.88460172254832</v>
      </c>
      <c r="J871">
        <v>1.8020850963695101</v>
      </c>
      <c r="K871">
        <v>2.1595569166360402</v>
      </c>
      <c r="L871">
        <v>2.2075833214023701</v>
      </c>
      <c r="M871">
        <v>1.8433434094589201</v>
      </c>
      <c r="N871">
        <v>1.84288162311002</v>
      </c>
      <c r="Q871">
        <f t="shared" si="65"/>
        <v>1.37</v>
      </c>
      <c r="R871">
        <f t="shared" si="67"/>
        <v>1.7948917323214633</v>
      </c>
      <c r="S871">
        <f t="shared" si="68"/>
        <v>-0.42489173232146316</v>
      </c>
      <c r="T871">
        <f t="shared" si="69"/>
        <v>0.18053298419513389</v>
      </c>
    </row>
    <row r="872" spans="1:20" hidden="1" x14ac:dyDescent="0.25">
      <c r="A872" t="str">
        <f t="shared" si="66"/>
        <v>BAR</v>
      </c>
      <c r="B872" t="s">
        <v>878</v>
      </c>
      <c r="C872">
        <v>1.832274747</v>
      </c>
      <c r="D872">
        <v>6.2523945999999997E-2</v>
      </c>
      <c r="E872">
        <v>0.697687579</v>
      </c>
      <c r="F872">
        <v>0.52851507900000005</v>
      </c>
      <c r="G872">
        <v>0.76184100200000004</v>
      </c>
      <c r="H872">
        <v>1.49</v>
      </c>
      <c r="I872">
        <v>1.85522785338408</v>
      </c>
      <c r="J872">
        <v>1.75301780590764</v>
      </c>
      <c r="K872">
        <v>2.0873088165507698</v>
      </c>
      <c r="L872">
        <v>2.1779816732386599</v>
      </c>
      <c r="M872">
        <v>1.80412282964586</v>
      </c>
      <c r="N872">
        <v>1.8033988635346601</v>
      </c>
      <c r="Q872">
        <f t="shared" si="65"/>
        <v>1.49</v>
      </c>
      <c r="R872">
        <f t="shared" si="67"/>
        <v>1.7436390379370903</v>
      </c>
      <c r="S872">
        <f t="shared" si="68"/>
        <v>-0.25363903793709031</v>
      </c>
      <c r="T872">
        <f t="shared" si="69"/>
        <v>6.4332761565652735E-2</v>
      </c>
    </row>
    <row r="873" spans="1:20" hidden="1" x14ac:dyDescent="0.25">
      <c r="A873" t="str">
        <f t="shared" si="66"/>
        <v>BAR</v>
      </c>
      <c r="B873" t="s">
        <v>879</v>
      </c>
      <c r="C873">
        <v>1.718254569</v>
      </c>
      <c r="D873">
        <v>6.2912924999999995E-2</v>
      </c>
      <c r="E873">
        <v>0.68882722399999996</v>
      </c>
      <c r="F873">
        <v>0.56199160500000001</v>
      </c>
      <c r="G873">
        <v>0.767204844</v>
      </c>
      <c r="H873">
        <v>1.49</v>
      </c>
      <c r="I873">
        <v>2.1359450085571798</v>
      </c>
      <c r="J873">
        <v>1.98951465000057</v>
      </c>
      <c r="K873">
        <v>2.3811184406389998</v>
      </c>
      <c r="L873">
        <v>2.4200114530999799</v>
      </c>
      <c r="M873">
        <v>2.0627298292788701</v>
      </c>
      <c r="N873">
        <v>2.0614300585079501</v>
      </c>
      <c r="Q873">
        <f t="shared" si="65"/>
        <v>1.49</v>
      </c>
      <c r="R873">
        <f t="shared" si="67"/>
        <v>2.0247447108348826</v>
      </c>
      <c r="S873">
        <f t="shared" si="68"/>
        <v>-0.53474471083488262</v>
      </c>
      <c r="T873">
        <f t="shared" si="69"/>
        <v>0.28595190576588225</v>
      </c>
    </row>
    <row r="874" spans="1:20" hidden="1" x14ac:dyDescent="0.25">
      <c r="A874" t="str">
        <f t="shared" si="66"/>
        <v>BAR</v>
      </c>
      <c r="B874" t="s">
        <v>880</v>
      </c>
      <c r="C874">
        <v>1.8612583069999999</v>
      </c>
      <c r="D874">
        <v>6.5846682000000004E-2</v>
      </c>
      <c r="E874">
        <v>0.66677757900000001</v>
      </c>
      <c r="F874">
        <v>0.43574210800000002</v>
      </c>
      <c r="G874">
        <v>0.73437474400000002</v>
      </c>
      <c r="H874">
        <v>0.97</v>
      </c>
      <c r="I874">
        <v>1.47768769446127</v>
      </c>
      <c r="J874">
        <v>1.42780225577405</v>
      </c>
      <c r="K874">
        <v>1.52866675826109</v>
      </c>
      <c r="L874">
        <v>1.54624460289789</v>
      </c>
      <c r="M874">
        <v>1.45274497511766</v>
      </c>
      <c r="N874">
        <v>1.4525308339176</v>
      </c>
      <c r="Q874">
        <f t="shared" si="65"/>
        <v>0.97</v>
      </c>
      <c r="R874">
        <f t="shared" si="67"/>
        <v>1.3539993754515374</v>
      </c>
      <c r="S874">
        <f t="shared" si="68"/>
        <v>-0.38399937545153739</v>
      </c>
      <c r="T874">
        <f t="shared" si="69"/>
        <v>0.14745552034717077</v>
      </c>
    </row>
    <row r="875" spans="1:20" hidden="1" x14ac:dyDescent="0.25">
      <c r="A875" t="str">
        <f t="shared" si="66"/>
        <v>BAR</v>
      </c>
      <c r="B875" t="s">
        <v>881</v>
      </c>
      <c r="C875">
        <v>2.0414748550000001</v>
      </c>
      <c r="D875">
        <v>6.3902138999999997E-2</v>
      </c>
      <c r="E875">
        <v>0.688853033</v>
      </c>
      <c r="F875">
        <v>0.57953431799999999</v>
      </c>
      <c r="G875">
        <v>0.77356402199999996</v>
      </c>
      <c r="H875">
        <v>1.71</v>
      </c>
      <c r="I875">
        <v>1.82294681404369</v>
      </c>
      <c r="J875">
        <v>1.7540502100068101</v>
      </c>
      <c r="K875">
        <v>1.8155260764921499</v>
      </c>
      <c r="L875">
        <v>1.8673015824441801</v>
      </c>
      <c r="M875">
        <v>1.7884985120252499</v>
      </c>
      <c r="N875">
        <v>1.78816672656791</v>
      </c>
      <c r="Q875">
        <f t="shared" si="65"/>
        <v>1.71</v>
      </c>
      <c r="R875">
        <f t="shared" si="67"/>
        <v>1.7309184190296887</v>
      </c>
      <c r="S875">
        <f t="shared" si="68"/>
        <v>-2.0918419029688717E-2</v>
      </c>
      <c r="T875">
        <f t="shared" si="69"/>
        <v>4.3758025470164304E-4</v>
      </c>
    </row>
    <row r="876" spans="1:20" hidden="1" x14ac:dyDescent="0.25">
      <c r="A876" t="str">
        <f t="shared" si="66"/>
        <v>BAR</v>
      </c>
      <c r="B876" t="s">
        <v>882</v>
      </c>
      <c r="C876">
        <v>1.8900596789999999</v>
      </c>
      <c r="D876">
        <v>6.5326865999999997E-2</v>
      </c>
      <c r="E876">
        <v>0.69369169600000002</v>
      </c>
      <c r="F876">
        <v>0.51657644199999997</v>
      </c>
      <c r="G876">
        <v>0.765477725</v>
      </c>
      <c r="H876">
        <v>1.77</v>
      </c>
      <c r="I876">
        <v>1.7728878972644599</v>
      </c>
      <c r="J876">
        <v>1.7137863364575701</v>
      </c>
      <c r="K876">
        <v>1.9260813692713701</v>
      </c>
      <c r="L876">
        <v>1.9855993498042099</v>
      </c>
      <c r="M876">
        <v>1.7433371168610099</v>
      </c>
      <c r="N876">
        <v>1.7430866456957399</v>
      </c>
      <c r="Q876">
        <f t="shared" si="65"/>
        <v>1.77</v>
      </c>
      <c r="R876">
        <f t="shared" si="67"/>
        <v>1.6844851871948445</v>
      </c>
      <c r="S876">
        <f t="shared" si="68"/>
        <v>8.5514812805155493E-2</v>
      </c>
      <c r="T876">
        <f t="shared" si="69"/>
        <v>7.3127832091007859E-3</v>
      </c>
    </row>
    <row r="877" spans="1:20" hidden="1" x14ac:dyDescent="0.25">
      <c r="A877" t="str">
        <f t="shared" si="66"/>
        <v>BAR</v>
      </c>
      <c r="B877" t="s">
        <v>883</v>
      </c>
      <c r="C877">
        <v>2.1181395200000002</v>
      </c>
      <c r="D877">
        <v>6.3959026000000002E-2</v>
      </c>
      <c r="E877">
        <v>0.69995794</v>
      </c>
      <c r="F877">
        <v>0.52563073400000004</v>
      </c>
      <c r="G877">
        <v>0.77259382899999995</v>
      </c>
      <c r="H877">
        <v>1.55</v>
      </c>
      <c r="I877">
        <v>1.4969484643320401</v>
      </c>
      <c r="J877">
        <v>1.4930133397493499</v>
      </c>
      <c r="K877">
        <v>1.5000066490277899</v>
      </c>
      <c r="L877">
        <v>1.60494587991731</v>
      </c>
      <c r="M877">
        <v>1.4949809020406899</v>
      </c>
      <c r="N877">
        <v>1.4949796072739701</v>
      </c>
      <c r="Q877">
        <f t="shared" si="65"/>
        <v>1.55</v>
      </c>
      <c r="R877">
        <f t="shared" si="67"/>
        <v>1.4208099671282768</v>
      </c>
      <c r="S877">
        <f t="shared" si="68"/>
        <v>0.12919003287172326</v>
      </c>
      <c r="T877">
        <f t="shared" si="69"/>
        <v>1.6690064593396937E-2</v>
      </c>
    </row>
    <row r="878" spans="1:20" hidden="1" x14ac:dyDescent="0.25">
      <c r="A878" t="str">
        <f t="shared" si="66"/>
        <v>BAR</v>
      </c>
      <c r="B878" t="s">
        <v>884</v>
      </c>
      <c r="C878">
        <v>1.6149729589999999</v>
      </c>
      <c r="D878">
        <v>7.3278176E-2</v>
      </c>
      <c r="E878">
        <v>0.66903675100000004</v>
      </c>
      <c r="F878">
        <v>0.33728185999999999</v>
      </c>
      <c r="G878">
        <v>0.73825206799999998</v>
      </c>
      <c r="H878">
        <v>0.94</v>
      </c>
      <c r="I878">
        <v>1.44473546586055</v>
      </c>
      <c r="J878">
        <v>1.5034948833330399</v>
      </c>
      <c r="K878">
        <v>1.4000233938425</v>
      </c>
      <c r="L878">
        <v>1.1856695816227101</v>
      </c>
      <c r="M878">
        <v>1.47411517459679</v>
      </c>
      <c r="N878">
        <v>1.47382237080698</v>
      </c>
      <c r="Q878">
        <f t="shared" si="65"/>
        <v>0.94</v>
      </c>
      <c r="R878">
        <f t="shared" si="67"/>
        <v>1.4199906936225066</v>
      </c>
      <c r="S878">
        <f t="shared" si="68"/>
        <v>-0.47999069362250668</v>
      </c>
      <c r="T878">
        <f t="shared" si="69"/>
        <v>0.23039106596421507</v>
      </c>
    </row>
    <row r="879" spans="1:20" hidden="1" x14ac:dyDescent="0.25">
      <c r="A879" t="str">
        <f t="shared" si="66"/>
        <v>BAR</v>
      </c>
      <c r="B879" t="s">
        <v>885</v>
      </c>
      <c r="C879">
        <v>0.51972597799999998</v>
      </c>
      <c r="D879">
        <v>6.5657858999999999E-2</v>
      </c>
      <c r="E879">
        <v>0.65277149599999995</v>
      </c>
      <c r="F879">
        <v>0.30065759199999997</v>
      </c>
      <c r="G879">
        <v>0.67877294600000004</v>
      </c>
      <c r="H879">
        <v>0.79</v>
      </c>
      <c r="I879">
        <v>2.59600465332238</v>
      </c>
      <c r="J879">
        <v>2.2528490103849599</v>
      </c>
      <c r="K879">
        <v>0.63014144993746701</v>
      </c>
      <c r="L879">
        <v>2.8010077598413998</v>
      </c>
      <c r="M879">
        <v>2.4244268318536699</v>
      </c>
      <c r="N879">
        <v>2.4183478894055099</v>
      </c>
      <c r="Q879">
        <f t="shared" si="65"/>
        <v>0.79</v>
      </c>
      <c r="R879">
        <f t="shared" si="67"/>
        <v>2.3824774952833732</v>
      </c>
      <c r="S879">
        <f t="shared" si="68"/>
        <v>-1.5924774952833731</v>
      </c>
      <c r="T879">
        <f t="shared" si="69"/>
        <v>2.5359845729840056</v>
      </c>
    </row>
    <row r="880" spans="1:20" hidden="1" x14ac:dyDescent="0.25">
      <c r="A880" t="str">
        <f t="shared" si="66"/>
        <v>BAR</v>
      </c>
      <c r="B880" t="s">
        <v>886</v>
      </c>
      <c r="C880">
        <v>0.72607094000000005</v>
      </c>
      <c r="D880">
        <v>6.5808279999999997E-2</v>
      </c>
      <c r="E880">
        <v>0.72933300199999995</v>
      </c>
      <c r="F880">
        <v>0.30083152099999999</v>
      </c>
      <c r="G880">
        <v>0.77895608000000005</v>
      </c>
      <c r="H880">
        <v>0.87</v>
      </c>
      <c r="I880">
        <v>2.3104209493969599</v>
      </c>
      <c r="J880">
        <v>2.13757396048684</v>
      </c>
      <c r="K880">
        <v>0.23369212270206799</v>
      </c>
      <c r="L880">
        <v>2.6703674651073102</v>
      </c>
      <c r="M880">
        <v>2.2239974549418999</v>
      </c>
      <c r="N880">
        <v>2.2223176323816101</v>
      </c>
      <c r="Q880">
        <f t="shared" si="65"/>
        <v>0.87</v>
      </c>
      <c r="R880">
        <f t="shared" si="67"/>
        <v>2.2260294932605045</v>
      </c>
      <c r="S880">
        <f t="shared" si="68"/>
        <v>-1.3560294932605044</v>
      </c>
      <c r="T880">
        <f t="shared" si="69"/>
        <v>1.8388159865923404</v>
      </c>
    </row>
    <row r="881" spans="1:20" hidden="1" x14ac:dyDescent="0.25">
      <c r="A881" t="str">
        <f t="shared" si="66"/>
        <v>BAR</v>
      </c>
      <c r="B881" t="s">
        <v>887</v>
      </c>
      <c r="C881">
        <v>1.7577648930000001</v>
      </c>
      <c r="D881">
        <v>6.5391809999999995E-2</v>
      </c>
      <c r="E881">
        <v>0.72837726800000002</v>
      </c>
      <c r="F881">
        <v>0.52942388100000004</v>
      </c>
      <c r="G881">
        <v>0.78583880699999997</v>
      </c>
      <c r="H881">
        <v>1.48</v>
      </c>
      <c r="I881">
        <v>1.96469010421163</v>
      </c>
      <c r="J881">
        <v>1.9339469282900399</v>
      </c>
      <c r="K881">
        <v>2.5652620874801899</v>
      </c>
      <c r="L881">
        <v>2.6944555404280202</v>
      </c>
      <c r="M881">
        <v>1.94931851625083</v>
      </c>
      <c r="N881">
        <v>1.94925790804652</v>
      </c>
      <c r="Q881">
        <f t="shared" si="65"/>
        <v>1.48</v>
      </c>
      <c r="R881">
        <f t="shared" si="67"/>
        <v>1.9420968551158841</v>
      </c>
      <c r="S881">
        <f t="shared" si="68"/>
        <v>-0.46209685511588416</v>
      </c>
      <c r="T881">
        <f t="shared" si="69"/>
        <v>0.21353350350799044</v>
      </c>
    </row>
    <row r="882" spans="1:20" hidden="1" x14ac:dyDescent="0.25">
      <c r="A882" t="str">
        <f t="shared" si="66"/>
        <v>BAR</v>
      </c>
      <c r="B882" t="s">
        <v>888</v>
      </c>
      <c r="C882">
        <v>1.7524879499999999</v>
      </c>
      <c r="D882">
        <v>6.6235819000000001E-2</v>
      </c>
      <c r="E882">
        <v>0.72487737799999996</v>
      </c>
      <c r="F882">
        <v>0.49261335099999998</v>
      </c>
      <c r="G882">
        <v>0.78874577199999996</v>
      </c>
      <c r="H882">
        <v>1.62</v>
      </c>
      <c r="I882">
        <v>1.82791002413373</v>
      </c>
      <c r="J882">
        <v>1.8211345213019401</v>
      </c>
      <c r="K882">
        <v>2.36194785549612</v>
      </c>
      <c r="L882">
        <v>2.5019075650329401</v>
      </c>
      <c r="M882">
        <v>1.8245222727178301</v>
      </c>
      <c r="N882">
        <v>1.8245191275467001</v>
      </c>
      <c r="Q882">
        <f t="shared" si="65"/>
        <v>1.62</v>
      </c>
      <c r="R882">
        <f t="shared" si="67"/>
        <v>1.8076240828629526</v>
      </c>
      <c r="S882">
        <f t="shared" si="68"/>
        <v>-0.18762408286295251</v>
      </c>
      <c r="T882">
        <f t="shared" si="69"/>
        <v>3.5202796470164069E-2</v>
      </c>
    </row>
    <row r="883" spans="1:20" hidden="1" x14ac:dyDescent="0.25">
      <c r="A883" t="str">
        <f t="shared" si="66"/>
        <v>BAR</v>
      </c>
      <c r="B883" t="s">
        <v>889</v>
      </c>
      <c r="C883">
        <v>1.817790859</v>
      </c>
      <c r="D883">
        <v>6.6255791999999994E-2</v>
      </c>
      <c r="E883">
        <v>0.71500861100000002</v>
      </c>
      <c r="F883">
        <v>0.46955000800000002</v>
      </c>
      <c r="G883">
        <v>0.77179132500000003</v>
      </c>
      <c r="H883">
        <v>1.51</v>
      </c>
      <c r="I883">
        <v>1.6601579595723599</v>
      </c>
      <c r="J883">
        <v>1.66035590234175</v>
      </c>
      <c r="K883">
        <v>2.1035849437408101</v>
      </c>
      <c r="L883">
        <v>2.26477773733694</v>
      </c>
      <c r="M883">
        <v>1.6602569309570501</v>
      </c>
      <c r="N883">
        <v>1.66025692800711</v>
      </c>
      <c r="Q883">
        <f t="shared" si="65"/>
        <v>1.51</v>
      </c>
      <c r="R883">
        <f t="shared" si="67"/>
        <v>1.6183564411524975</v>
      </c>
      <c r="S883">
        <f t="shared" si="68"/>
        <v>-0.10835644115249754</v>
      </c>
      <c r="T883">
        <f t="shared" si="69"/>
        <v>1.1741118339234663E-2</v>
      </c>
    </row>
    <row r="884" spans="1:20" hidden="1" x14ac:dyDescent="0.25">
      <c r="A884" t="str">
        <f t="shared" si="66"/>
        <v>BAR</v>
      </c>
      <c r="B884" t="s">
        <v>890</v>
      </c>
      <c r="C884">
        <v>1.910056601</v>
      </c>
      <c r="D884">
        <v>6.6635147000000006E-2</v>
      </c>
      <c r="E884">
        <v>0.74083256900000005</v>
      </c>
      <c r="F884">
        <v>0.51536448199999996</v>
      </c>
      <c r="G884">
        <v>0.79819253700000004</v>
      </c>
      <c r="H884">
        <v>1.53</v>
      </c>
      <c r="I884">
        <v>1.7192718789294901</v>
      </c>
      <c r="J884">
        <v>1.77549506847468</v>
      </c>
      <c r="K884">
        <v>2.0052233824899002</v>
      </c>
      <c r="L884">
        <v>2.0709148801664701</v>
      </c>
      <c r="M884">
        <v>1.7473834737020799</v>
      </c>
      <c r="N884">
        <v>1.7471573318984499</v>
      </c>
      <c r="Q884">
        <f t="shared" si="65"/>
        <v>1.53</v>
      </c>
      <c r="R884">
        <f t="shared" si="67"/>
        <v>1.7428186362265974</v>
      </c>
      <c r="S884">
        <f t="shared" si="68"/>
        <v>-0.21281863622659736</v>
      </c>
      <c r="T884">
        <f t="shared" si="69"/>
        <v>4.5291771925348778E-2</v>
      </c>
    </row>
    <row r="885" spans="1:20" hidden="1" x14ac:dyDescent="0.25">
      <c r="A885" t="str">
        <f t="shared" si="66"/>
        <v>BAR</v>
      </c>
      <c r="B885" t="s">
        <v>891</v>
      </c>
      <c r="C885">
        <v>1.9079851649999999</v>
      </c>
      <c r="D885">
        <v>6.6258818999999997E-2</v>
      </c>
      <c r="E885">
        <v>0.74381325899999995</v>
      </c>
      <c r="F885">
        <v>0.49290375600000003</v>
      </c>
      <c r="G885">
        <v>0.79826261600000004</v>
      </c>
      <c r="H885">
        <v>1.53</v>
      </c>
      <c r="I885">
        <v>1.6207703345448801</v>
      </c>
      <c r="J885">
        <v>1.6889135843403</v>
      </c>
      <c r="K885">
        <v>1.9229878186149101</v>
      </c>
      <c r="L885">
        <v>2.0789034880868398</v>
      </c>
      <c r="M885">
        <v>1.65484195944259</v>
      </c>
      <c r="N885">
        <v>1.65449117105793</v>
      </c>
      <c r="Q885">
        <f t="shared" si="65"/>
        <v>1.53</v>
      </c>
      <c r="R885">
        <f t="shared" si="67"/>
        <v>1.6430437106029583</v>
      </c>
      <c r="S885">
        <f t="shared" si="68"/>
        <v>-0.11304371060295826</v>
      </c>
      <c r="T885">
        <f t="shared" si="69"/>
        <v>1.2778880506885377E-2</v>
      </c>
    </row>
    <row r="886" spans="1:20" hidden="1" x14ac:dyDescent="0.25">
      <c r="A886" t="str">
        <f t="shared" si="66"/>
        <v>BAR</v>
      </c>
      <c r="B886" t="s">
        <v>892</v>
      </c>
      <c r="C886">
        <v>1.813778584</v>
      </c>
      <c r="D886">
        <v>6.7088969999999998E-2</v>
      </c>
      <c r="E886">
        <v>0.71091806899999999</v>
      </c>
      <c r="F886">
        <v>0.45631457199999997</v>
      </c>
      <c r="G886">
        <v>0.76172919699999997</v>
      </c>
      <c r="H886">
        <v>1.1499999999999999</v>
      </c>
      <c r="I886">
        <v>1.6259402713964</v>
      </c>
      <c r="J886">
        <v>1.6319055142254999</v>
      </c>
      <c r="K886">
        <v>2.0503972024412001</v>
      </c>
      <c r="L886">
        <v>2.1648207164644702</v>
      </c>
      <c r="M886">
        <v>1.62892289281095</v>
      </c>
      <c r="N886">
        <v>1.62892016216053</v>
      </c>
      <c r="Q886">
        <f t="shared" si="65"/>
        <v>1.1499999999999999</v>
      </c>
      <c r="R886">
        <f t="shared" si="67"/>
        <v>1.5823872616998522</v>
      </c>
      <c r="S886">
        <f t="shared" si="68"/>
        <v>-0.43238726169985231</v>
      </c>
      <c r="T886">
        <f t="shared" si="69"/>
        <v>0.18695874408029656</v>
      </c>
    </row>
    <row r="887" spans="1:20" hidden="1" x14ac:dyDescent="0.25">
      <c r="A887" t="str">
        <f t="shared" si="66"/>
        <v>BAR</v>
      </c>
      <c r="B887" t="s">
        <v>893</v>
      </c>
      <c r="C887">
        <v>1.8207843260000001</v>
      </c>
      <c r="D887">
        <v>6.6041071000000007E-2</v>
      </c>
      <c r="E887">
        <v>0.71159205199999997</v>
      </c>
      <c r="F887">
        <v>0.41867810500000002</v>
      </c>
      <c r="G887">
        <v>0.76502441200000004</v>
      </c>
      <c r="H887">
        <v>1.23</v>
      </c>
      <c r="I887">
        <v>1.42699010897066</v>
      </c>
      <c r="J887">
        <v>1.46129683692771</v>
      </c>
      <c r="K887">
        <v>1.8122863717291799</v>
      </c>
      <c r="L887">
        <v>1.88213051514431</v>
      </c>
      <c r="M887">
        <v>1.44414347294918</v>
      </c>
      <c r="N887">
        <v>1.44404159654975</v>
      </c>
      <c r="Q887">
        <f t="shared" si="65"/>
        <v>1.23</v>
      </c>
      <c r="R887">
        <f t="shared" si="67"/>
        <v>1.3873306141492336</v>
      </c>
      <c r="S887">
        <f t="shared" si="68"/>
        <v>-0.15733061414923366</v>
      </c>
      <c r="T887">
        <f t="shared" si="69"/>
        <v>2.4752922148575041E-2</v>
      </c>
    </row>
    <row r="888" spans="1:20" hidden="1" x14ac:dyDescent="0.25">
      <c r="A888" t="str">
        <f t="shared" si="66"/>
        <v>BAR</v>
      </c>
      <c r="B888" t="s">
        <v>894</v>
      </c>
      <c r="C888">
        <v>1.8499031889999999</v>
      </c>
      <c r="D888">
        <v>7.0215726000000006E-2</v>
      </c>
      <c r="E888">
        <v>0.69906889999999999</v>
      </c>
      <c r="F888">
        <v>0.401110566</v>
      </c>
      <c r="G888">
        <v>0.73462452199999995</v>
      </c>
      <c r="H888">
        <v>1.08</v>
      </c>
      <c r="I888">
        <v>1.3663050195462301</v>
      </c>
      <c r="J888">
        <v>1.45905878359578</v>
      </c>
      <c r="K888">
        <v>1.66650484977291</v>
      </c>
      <c r="L888">
        <v>1.7541736081380599</v>
      </c>
      <c r="M888">
        <v>1.4126819015710099</v>
      </c>
      <c r="N888">
        <v>1.41192044387775</v>
      </c>
      <c r="Q888">
        <f t="shared" si="65"/>
        <v>1.08</v>
      </c>
      <c r="R888">
        <f t="shared" si="67"/>
        <v>1.3668357021419686</v>
      </c>
      <c r="S888">
        <f t="shared" si="68"/>
        <v>-0.28683570214196852</v>
      </c>
      <c r="T888">
        <f t="shared" si="69"/>
        <v>8.2274720023276085E-2</v>
      </c>
    </row>
    <row r="889" spans="1:20" hidden="1" x14ac:dyDescent="0.25">
      <c r="A889" t="str">
        <f t="shared" si="66"/>
        <v>BAR</v>
      </c>
      <c r="B889" t="s">
        <v>895</v>
      </c>
      <c r="C889">
        <v>1.800217956</v>
      </c>
      <c r="D889">
        <v>6.6465568000000003E-2</v>
      </c>
      <c r="E889">
        <v>0.69332439999999995</v>
      </c>
      <c r="F889">
        <v>0.395763117</v>
      </c>
      <c r="G889">
        <v>0.73777424700000005</v>
      </c>
      <c r="H889">
        <v>1.1200000000000001</v>
      </c>
      <c r="I889">
        <v>1.35505347505313</v>
      </c>
      <c r="J889">
        <v>1.38732186515902</v>
      </c>
      <c r="K889">
        <v>1.71663965385515</v>
      </c>
      <c r="L889">
        <v>1.81170892981085</v>
      </c>
      <c r="M889">
        <v>1.3711876701060699</v>
      </c>
      <c r="N889">
        <v>1.37109274463871</v>
      </c>
      <c r="Q889">
        <f t="shared" si="65"/>
        <v>1.1200000000000001</v>
      </c>
      <c r="R889">
        <f t="shared" si="67"/>
        <v>1.3029572753931329</v>
      </c>
      <c r="S889">
        <f t="shared" si="68"/>
        <v>-0.18295727539313278</v>
      </c>
      <c r="T889">
        <f t="shared" si="69"/>
        <v>3.3473364619278627E-2</v>
      </c>
    </row>
    <row r="890" spans="1:20" hidden="1" x14ac:dyDescent="0.25">
      <c r="A890" t="str">
        <f t="shared" si="66"/>
        <v>BAR</v>
      </c>
      <c r="B890" t="s">
        <v>896</v>
      </c>
      <c r="C890">
        <v>1.877183177</v>
      </c>
      <c r="D890">
        <v>6.4890481999999999E-2</v>
      </c>
      <c r="E890">
        <v>0.71096724700000002</v>
      </c>
      <c r="F890">
        <v>0.39438957699999999</v>
      </c>
      <c r="G890">
        <v>0.75306996999999998</v>
      </c>
      <c r="H890">
        <v>1.33</v>
      </c>
      <c r="I890">
        <v>1.21724521673736</v>
      </c>
      <c r="J890">
        <v>1.2866985193145899</v>
      </c>
      <c r="K890">
        <v>1.4638422689358199</v>
      </c>
      <c r="L890">
        <v>1.50711562220627</v>
      </c>
      <c r="M890">
        <v>1.2519718680259699</v>
      </c>
      <c r="N890">
        <v>1.2514901589779801</v>
      </c>
      <c r="Q890">
        <f t="shared" si="65"/>
        <v>1.33</v>
      </c>
      <c r="R890">
        <f t="shared" si="67"/>
        <v>1.1858325030000159</v>
      </c>
      <c r="S890">
        <f t="shared" si="68"/>
        <v>0.14416749699998421</v>
      </c>
      <c r="T890">
        <f t="shared" si="69"/>
        <v>2.0784267191240456E-2</v>
      </c>
    </row>
    <row r="891" spans="1:20" hidden="1" x14ac:dyDescent="0.25">
      <c r="A891" t="str">
        <f t="shared" si="66"/>
        <v>BAR</v>
      </c>
      <c r="B891" t="s">
        <v>897</v>
      </c>
      <c r="C891">
        <v>1.8998119090000001</v>
      </c>
      <c r="D891">
        <v>7.0586400999999993E-2</v>
      </c>
      <c r="E891">
        <v>0.69533904199999996</v>
      </c>
      <c r="F891">
        <v>0.37974520699999997</v>
      </c>
      <c r="G891">
        <v>0.729282608</v>
      </c>
      <c r="H891">
        <v>1.07</v>
      </c>
      <c r="I891">
        <v>1.19135918752166</v>
      </c>
      <c r="J891">
        <v>1.3358441523745099</v>
      </c>
      <c r="K891">
        <v>1.4153228707113801</v>
      </c>
      <c r="L891">
        <v>1.44733544146102</v>
      </c>
      <c r="M891">
        <v>1.2636016699480801</v>
      </c>
      <c r="N891">
        <v>1.26153486040952</v>
      </c>
      <c r="Q891">
        <f t="shared" si="65"/>
        <v>1.07</v>
      </c>
      <c r="R891">
        <f t="shared" si="67"/>
        <v>1.2195824952693184</v>
      </c>
      <c r="S891">
        <f t="shared" si="68"/>
        <v>-0.14958249526931833</v>
      </c>
      <c r="T891">
        <f t="shared" si="69"/>
        <v>2.237492289099564E-2</v>
      </c>
    </row>
    <row r="892" spans="1:20" hidden="1" x14ac:dyDescent="0.25">
      <c r="A892" t="str">
        <f t="shared" si="66"/>
        <v>BAR</v>
      </c>
      <c r="B892" t="s">
        <v>898</v>
      </c>
      <c r="C892">
        <v>1.7949015340000001</v>
      </c>
      <c r="D892">
        <v>6.8282732999999998E-2</v>
      </c>
      <c r="E892">
        <v>0.68188711999999996</v>
      </c>
      <c r="F892">
        <v>0.370548826</v>
      </c>
      <c r="G892">
        <v>0.71465432699999998</v>
      </c>
      <c r="H892">
        <v>1.04</v>
      </c>
      <c r="I892">
        <v>1.2547512654889601</v>
      </c>
      <c r="J892">
        <v>1.33187340538264</v>
      </c>
      <c r="K892">
        <v>1.6177141589944299</v>
      </c>
      <c r="L892">
        <v>1.62313913280188</v>
      </c>
      <c r="M892">
        <v>1.2933123354358</v>
      </c>
      <c r="N892">
        <v>1.2927373441171099</v>
      </c>
      <c r="Q892">
        <f t="shared" si="65"/>
        <v>1.04</v>
      </c>
      <c r="R892">
        <f t="shared" si="67"/>
        <v>1.2324415773997504</v>
      </c>
      <c r="S892">
        <f t="shared" si="68"/>
        <v>-0.19244157739975032</v>
      </c>
      <c r="T892">
        <f t="shared" si="69"/>
        <v>3.703376071210409E-2</v>
      </c>
    </row>
    <row r="893" spans="1:20" hidden="1" x14ac:dyDescent="0.25">
      <c r="A893" t="str">
        <f t="shared" si="66"/>
        <v>BAR</v>
      </c>
      <c r="B893" t="s">
        <v>899</v>
      </c>
      <c r="C893">
        <v>1.745129087</v>
      </c>
      <c r="D893">
        <v>6.8351299000000004E-2</v>
      </c>
      <c r="E893">
        <v>0.67535118999999999</v>
      </c>
      <c r="F893">
        <v>0.38599829699999999</v>
      </c>
      <c r="G893">
        <v>0.70602474400000004</v>
      </c>
      <c r="H893">
        <v>0.98</v>
      </c>
      <c r="I893">
        <v>1.4117980290707901</v>
      </c>
      <c r="J893">
        <v>1.4324023230449401</v>
      </c>
      <c r="K893">
        <v>1.85858278413613</v>
      </c>
      <c r="L893">
        <v>1.90041353533334</v>
      </c>
      <c r="M893">
        <v>1.42210017605786</v>
      </c>
      <c r="N893">
        <v>1.4220628595499101</v>
      </c>
      <c r="Q893">
        <f t="shared" si="65"/>
        <v>0.98</v>
      </c>
      <c r="R893">
        <f t="shared" si="67"/>
        <v>1.3528264471031499</v>
      </c>
      <c r="S893">
        <f t="shared" si="68"/>
        <v>-0.37282644710314994</v>
      </c>
      <c r="T893">
        <f t="shared" si="69"/>
        <v>0.13899955965955785</v>
      </c>
    </row>
    <row r="894" spans="1:20" hidden="1" x14ac:dyDescent="0.25">
      <c r="A894" t="str">
        <f t="shared" si="66"/>
        <v>BAR</v>
      </c>
      <c r="B894" t="s">
        <v>900</v>
      </c>
      <c r="C894">
        <v>1.8473931610000001</v>
      </c>
      <c r="D894">
        <v>6.9794269000000006E-2</v>
      </c>
      <c r="E894">
        <v>0.68217315999999995</v>
      </c>
      <c r="F894">
        <v>0.36914290399999999</v>
      </c>
      <c r="G894">
        <v>0.71485742600000002</v>
      </c>
      <c r="H894">
        <v>1.03</v>
      </c>
      <c r="I894">
        <v>1.19551942349881</v>
      </c>
      <c r="J894">
        <v>1.3128689400889999</v>
      </c>
      <c r="K894">
        <v>1.3853884074471701</v>
      </c>
      <c r="L894">
        <v>1.3749556161120799</v>
      </c>
      <c r="M894">
        <v>1.2541941817939</v>
      </c>
      <c r="N894">
        <v>1.2528209442632601</v>
      </c>
      <c r="Q894">
        <f t="shared" si="65"/>
        <v>1.03</v>
      </c>
      <c r="R894">
        <f t="shared" si="67"/>
        <v>1.2010084748487744</v>
      </c>
      <c r="S894">
        <f t="shared" si="68"/>
        <v>-0.17100847484877435</v>
      </c>
      <c r="T894">
        <f t="shared" si="69"/>
        <v>2.9243898470103891E-2</v>
      </c>
    </row>
    <row r="895" spans="1:20" hidden="1" x14ac:dyDescent="0.25">
      <c r="A895" t="str">
        <f t="shared" si="66"/>
        <v>BAR</v>
      </c>
      <c r="B895" t="s">
        <v>901</v>
      </c>
      <c r="C895">
        <v>1.8284106090000001</v>
      </c>
      <c r="D895">
        <v>6.9460260999999995E-2</v>
      </c>
      <c r="E895">
        <v>0.70399076900000002</v>
      </c>
      <c r="F895">
        <v>0.37254265399999997</v>
      </c>
      <c r="G895">
        <v>0.73983756700000003</v>
      </c>
      <c r="H895">
        <v>1.1000000000000001</v>
      </c>
      <c r="I895">
        <v>1.2374261814483201</v>
      </c>
      <c r="J895">
        <v>1.3619254436997701</v>
      </c>
      <c r="K895">
        <v>1.4537701707489501</v>
      </c>
      <c r="L895">
        <v>1.45355617563382</v>
      </c>
      <c r="M895">
        <v>1.29967581257405</v>
      </c>
      <c r="N895">
        <v>1.29818419387032</v>
      </c>
      <c r="Q895">
        <f t="shared" si="65"/>
        <v>1.1000000000000001</v>
      </c>
      <c r="R895">
        <f t="shared" si="67"/>
        <v>1.2571562549726107</v>
      </c>
      <c r="S895">
        <f t="shared" si="68"/>
        <v>-0.15715625497261065</v>
      </c>
      <c r="T895">
        <f t="shared" si="69"/>
        <v>2.4698088477016211E-2</v>
      </c>
    </row>
    <row r="896" spans="1:20" hidden="1" x14ac:dyDescent="0.25">
      <c r="A896" t="str">
        <f t="shared" si="66"/>
        <v>BAR</v>
      </c>
      <c r="B896" t="s">
        <v>902</v>
      </c>
      <c r="C896">
        <v>1.8083358410000001</v>
      </c>
      <c r="D896">
        <v>6.5224779999999996E-2</v>
      </c>
      <c r="E896">
        <v>0.72268236299999999</v>
      </c>
      <c r="F896">
        <v>0.40763561500000001</v>
      </c>
      <c r="G896">
        <v>0.79204852699999995</v>
      </c>
      <c r="H896">
        <v>1.3</v>
      </c>
      <c r="I896">
        <v>1.3930158577084599</v>
      </c>
      <c r="J896">
        <v>1.42554192550292</v>
      </c>
      <c r="K896">
        <v>1.56441530781833</v>
      </c>
      <c r="L896">
        <v>1.5822934129066599</v>
      </c>
      <c r="M896">
        <v>1.40927889160569</v>
      </c>
      <c r="N896">
        <v>1.40918505103263</v>
      </c>
      <c r="Q896">
        <f t="shared" si="65"/>
        <v>1.3</v>
      </c>
      <c r="R896">
        <f t="shared" si="67"/>
        <v>1.3479376601830206</v>
      </c>
      <c r="S896">
        <f t="shared" si="68"/>
        <v>-4.7937660183020592E-2</v>
      </c>
      <c r="T896">
        <f t="shared" si="69"/>
        <v>2.298019263822758E-3</v>
      </c>
    </row>
    <row r="897" spans="1:20" hidden="1" x14ac:dyDescent="0.25">
      <c r="A897" t="str">
        <f t="shared" si="66"/>
        <v>BAR</v>
      </c>
      <c r="B897" t="s">
        <v>903</v>
      </c>
      <c r="C897">
        <v>1.8613313469999999</v>
      </c>
      <c r="D897">
        <v>6.7899965000000007E-2</v>
      </c>
      <c r="E897">
        <v>0.72104678200000005</v>
      </c>
      <c r="F897">
        <v>0.371945839</v>
      </c>
      <c r="G897">
        <v>0.77091822099999996</v>
      </c>
      <c r="H897">
        <v>1.36</v>
      </c>
      <c r="I897">
        <v>1.18745729450096</v>
      </c>
      <c r="J897">
        <v>1.3068543169710001</v>
      </c>
      <c r="K897">
        <v>1.2543236972652401</v>
      </c>
      <c r="L897">
        <v>1.2265093311413999</v>
      </c>
      <c r="M897">
        <v>1.2471558057359799</v>
      </c>
      <c r="N897">
        <v>1.2457261703670199</v>
      </c>
      <c r="Q897">
        <f t="shared" ref="Q897:Q960" si="70">H897</f>
        <v>1.36</v>
      </c>
      <c r="R897">
        <f t="shared" si="67"/>
        <v>1.1956581061274738</v>
      </c>
      <c r="S897">
        <f t="shared" si="68"/>
        <v>0.16434189387252629</v>
      </c>
      <c r="T897">
        <f t="shared" si="69"/>
        <v>2.7008258081608696E-2</v>
      </c>
    </row>
    <row r="898" spans="1:20" hidden="1" x14ac:dyDescent="0.25">
      <c r="A898" t="str">
        <f t="shared" si="66"/>
        <v>BAR</v>
      </c>
      <c r="B898" t="s">
        <v>904</v>
      </c>
      <c r="C898">
        <v>1.8154198859999999</v>
      </c>
      <c r="D898">
        <v>6.5463775000000002E-2</v>
      </c>
      <c r="E898">
        <v>0.71495112400000005</v>
      </c>
      <c r="F898">
        <v>0.37827408400000001</v>
      </c>
      <c r="G898">
        <v>0.77458813000000004</v>
      </c>
      <c r="H898">
        <v>1.27</v>
      </c>
      <c r="I898">
        <v>1.25002078358345</v>
      </c>
      <c r="J898">
        <v>1.3078117251544199</v>
      </c>
      <c r="K898">
        <v>1.4098555318496599</v>
      </c>
      <c r="L898">
        <v>1.39188293948229</v>
      </c>
      <c r="M898">
        <v>1.2789162543689401</v>
      </c>
      <c r="N898">
        <v>1.2785897846679199</v>
      </c>
      <c r="Q898">
        <f t="shared" si="70"/>
        <v>1.27</v>
      </c>
      <c r="R898">
        <f t="shared" si="67"/>
        <v>1.2103710700864467</v>
      </c>
      <c r="S898">
        <f t="shared" si="68"/>
        <v>5.9628929913553286E-2</v>
      </c>
      <c r="T898">
        <f t="shared" si="69"/>
        <v>3.5556092826354497E-3</v>
      </c>
    </row>
    <row r="899" spans="1:20" hidden="1" x14ac:dyDescent="0.25">
      <c r="A899" t="str">
        <f t="shared" ref="A899:A962" si="71">LEFT(B899,3)</f>
        <v>BAR</v>
      </c>
      <c r="B899" t="s">
        <v>905</v>
      </c>
      <c r="C899">
        <v>1.8030245279999999</v>
      </c>
      <c r="D899">
        <v>6.6959402000000001E-2</v>
      </c>
      <c r="E899">
        <v>0.72294520799999995</v>
      </c>
      <c r="F899">
        <v>0.35129486799999998</v>
      </c>
      <c r="G899">
        <v>0.77654587399999997</v>
      </c>
      <c r="H899">
        <v>1.27</v>
      </c>
      <c r="I899">
        <v>1.1635581393780501</v>
      </c>
      <c r="J899">
        <v>1.2675942148036501</v>
      </c>
      <c r="K899">
        <v>1.2871132573955</v>
      </c>
      <c r="L899">
        <v>1.2201964950184301</v>
      </c>
      <c r="M899">
        <v>1.21557617709085</v>
      </c>
      <c r="N899">
        <v>1.21446266556997</v>
      </c>
      <c r="Q899">
        <f t="shared" si="70"/>
        <v>1.27</v>
      </c>
      <c r="R899">
        <f t="shared" ref="R899:R962" si="72">$X$2*F899+$X$3*D899*E899+($X$4/(D899-$X$5))-$X$6*C899</f>
        <v>1.156398892278756</v>
      </c>
      <c r="S899">
        <f t="shared" ref="S899:S962" si="73">Q899-R899</f>
        <v>0.11360110772124399</v>
      </c>
      <c r="T899">
        <f t="shared" ref="T899:T962" si="74">S899^2</f>
        <v>1.290521167549368E-2</v>
      </c>
    </row>
    <row r="900" spans="1:20" hidden="1" x14ac:dyDescent="0.25">
      <c r="A900" t="str">
        <f t="shared" si="71"/>
        <v>BAR</v>
      </c>
      <c r="B900" t="s">
        <v>906</v>
      </c>
      <c r="C900">
        <v>1.8637874720000001</v>
      </c>
      <c r="D900">
        <v>7.2465165999999998E-2</v>
      </c>
      <c r="E900">
        <v>0.69248729799999997</v>
      </c>
      <c r="F900">
        <v>0.34004467700000002</v>
      </c>
      <c r="G900">
        <v>0.75226929499999995</v>
      </c>
      <c r="H900">
        <v>1.1299999999999999</v>
      </c>
      <c r="I900">
        <v>1.11475188512222</v>
      </c>
      <c r="J900">
        <v>1.2724202691406299</v>
      </c>
      <c r="K900">
        <v>1.0714722723722601</v>
      </c>
      <c r="L900">
        <v>0.99416609412419599</v>
      </c>
      <c r="M900">
        <v>1.19358607713142</v>
      </c>
      <c r="N900">
        <v>1.1909798040656401</v>
      </c>
      <c r="Q900">
        <f t="shared" si="70"/>
        <v>1.1299999999999999</v>
      </c>
      <c r="R900">
        <f t="shared" si="72"/>
        <v>1.1387291600267724</v>
      </c>
      <c r="S900">
        <f t="shared" si="73"/>
        <v>-8.7291600267724867E-3</v>
      </c>
      <c r="T900">
        <f t="shared" si="74"/>
        <v>7.6198234773002638E-5</v>
      </c>
    </row>
    <row r="901" spans="1:20" hidden="1" x14ac:dyDescent="0.25">
      <c r="A901" t="str">
        <f t="shared" si="71"/>
        <v>BAR</v>
      </c>
      <c r="B901" t="s">
        <v>907</v>
      </c>
      <c r="C901">
        <v>1.868458033</v>
      </c>
      <c r="D901">
        <v>6.2668208000000003E-2</v>
      </c>
      <c r="E901">
        <v>0.71743430699999999</v>
      </c>
      <c r="F901">
        <v>0.38347018399999999</v>
      </c>
      <c r="G901">
        <v>0.77602798200000001</v>
      </c>
      <c r="H901">
        <v>1.28</v>
      </c>
      <c r="I901">
        <v>1.16181660159525</v>
      </c>
      <c r="J901">
        <v>1.2088615173828501</v>
      </c>
      <c r="K901">
        <v>1.35228937025839</v>
      </c>
      <c r="L901">
        <v>1.3742861357903799</v>
      </c>
      <c r="M901">
        <v>1.1853390594890501</v>
      </c>
      <c r="N901">
        <v>1.1851056408291301</v>
      </c>
      <c r="Q901">
        <f t="shared" si="70"/>
        <v>1.28</v>
      </c>
      <c r="R901">
        <f t="shared" si="72"/>
        <v>1.103435496307255</v>
      </c>
      <c r="S901">
        <f t="shared" si="73"/>
        <v>0.17656450369274501</v>
      </c>
      <c r="T901">
        <f t="shared" si="74"/>
        <v>3.1175023964265369E-2</v>
      </c>
    </row>
    <row r="902" spans="1:20" hidden="1" x14ac:dyDescent="0.25">
      <c r="A902" t="str">
        <f t="shared" si="71"/>
        <v>BAR</v>
      </c>
      <c r="B902" t="s">
        <v>908</v>
      </c>
      <c r="C902">
        <v>1.849125825</v>
      </c>
      <c r="D902">
        <v>6.8351945999999997E-2</v>
      </c>
      <c r="E902">
        <v>0.72849048900000002</v>
      </c>
      <c r="F902">
        <v>0.34593790299999999</v>
      </c>
      <c r="G902">
        <v>0.79000429800000005</v>
      </c>
      <c r="H902">
        <v>1.51</v>
      </c>
      <c r="I902">
        <v>1.1254767230023399</v>
      </c>
      <c r="J902">
        <v>1.2439205779948601</v>
      </c>
      <c r="K902">
        <v>1.13788516413735</v>
      </c>
      <c r="L902">
        <v>1.0678398827261</v>
      </c>
      <c r="M902">
        <v>1.1846986504985999</v>
      </c>
      <c r="N902">
        <v>1.1832175014750399</v>
      </c>
      <c r="Q902">
        <f t="shared" si="70"/>
        <v>1.51</v>
      </c>
      <c r="R902">
        <f t="shared" si="72"/>
        <v>1.1195835264103007</v>
      </c>
      <c r="S902">
        <f t="shared" si="73"/>
        <v>0.39041647358969933</v>
      </c>
      <c r="T902">
        <f t="shared" si="74"/>
        <v>0.15242502285021639</v>
      </c>
    </row>
    <row r="903" spans="1:20" hidden="1" x14ac:dyDescent="0.25">
      <c r="A903" t="str">
        <f t="shared" si="71"/>
        <v>BAR</v>
      </c>
      <c r="B903" t="s">
        <v>909</v>
      </c>
      <c r="C903">
        <v>1.5624456499999999</v>
      </c>
      <c r="D903">
        <v>7.2969223999999999E-2</v>
      </c>
      <c r="E903">
        <v>0.70755046300000002</v>
      </c>
      <c r="F903">
        <v>0.32019045299999999</v>
      </c>
      <c r="G903">
        <v>0.76518803899999999</v>
      </c>
      <c r="H903">
        <v>1.24</v>
      </c>
      <c r="I903">
        <v>1.4315617541666601</v>
      </c>
      <c r="J903">
        <v>1.5334233429497299</v>
      </c>
      <c r="K903">
        <v>1.4524889894122299</v>
      </c>
      <c r="L903">
        <v>1.31519608062928</v>
      </c>
      <c r="M903">
        <v>1.4824925485581899</v>
      </c>
      <c r="N903">
        <v>1.48161743061872</v>
      </c>
      <c r="Q903">
        <f t="shared" si="70"/>
        <v>1.24</v>
      </c>
      <c r="R903">
        <f t="shared" si="72"/>
        <v>1.4523931055978627</v>
      </c>
      <c r="S903">
        <f t="shared" si="73"/>
        <v>-0.21239310559786273</v>
      </c>
      <c r="T903">
        <f t="shared" si="74"/>
        <v>4.5110831305504868E-2</v>
      </c>
    </row>
    <row r="904" spans="1:20" hidden="1" x14ac:dyDescent="0.25">
      <c r="A904" t="str">
        <f t="shared" si="71"/>
        <v>BAR</v>
      </c>
      <c r="B904" t="s">
        <v>910</v>
      </c>
      <c r="C904">
        <v>1.6602923730000001</v>
      </c>
      <c r="D904">
        <v>6.6336745000000003E-2</v>
      </c>
      <c r="E904">
        <v>0.74605403999999997</v>
      </c>
      <c r="F904">
        <v>0.31463464200000002</v>
      </c>
      <c r="G904">
        <v>0.79585610299999998</v>
      </c>
      <c r="H904">
        <v>1.1599999999999999</v>
      </c>
      <c r="I904">
        <v>1.1868301133513299</v>
      </c>
      <c r="J904">
        <v>1.28643605224751</v>
      </c>
      <c r="K904">
        <v>1.1944102965261201</v>
      </c>
      <c r="L904">
        <v>1.0823708375510901</v>
      </c>
      <c r="M904">
        <v>1.2366330827994201</v>
      </c>
      <c r="N904">
        <v>1.2356298174243601</v>
      </c>
      <c r="Q904">
        <f t="shared" si="70"/>
        <v>1.1599999999999999</v>
      </c>
      <c r="R904">
        <f t="shared" si="72"/>
        <v>1.1841993727380098</v>
      </c>
      <c r="S904">
        <f t="shared" si="73"/>
        <v>-2.4199372738009872E-2</v>
      </c>
      <c r="T904">
        <f t="shared" si="74"/>
        <v>5.8560964091313545E-4</v>
      </c>
    </row>
    <row r="905" spans="1:20" hidden="1" x14ac:dyDescent="0.25">
      <c r="A905" t="str">
        <f t="shared" si="71"/>
        <v>BAR</v>
      </c>
      <c r="B905" t="s">
        <v>911</v>
      </c>
      <c r="C905">
        <v>1.7687639900000001</v>
      </c>
      <c r="D905">
        <v>6.7984167999999998E-2</v>
      </c>
      <c r="E905">
        <v>0.70384408200000004</v>
      </c>
      <c r="F905">
        <v>0.34144302199999998</v>
      </c>
      <c r="G905">
        <v>0.75039963300000001</v>
      </c>
      <c r="H905">
        <v>1.18</v>
      </c>
      <c r="I905">
        <v>1.1563785246053799</v>
      </c>
      <c r="J905">
        <v>1.26938831528459</v>
      </c>
      <c r="K905">
        <v>1.3059883139513799</v>
      </c>
      <c r="L905">
        <v>1.21817290564771</v>
      </c>
      <c r="M905">
        <v>1.21288341994499</v>
      </c>
      <c r="N905">
        <v>1.2115665013444801</v>
      </c>
      <c r="Q905">
        <f t="shared" si="70"/>
        <v>1.18</v>
      </c>
      <c r="R905">
        <f t="shared" si="72"/>
        <v>1.1585873993954778</v>
      </c>
      <c r="S905">
        <f t="shared" si="73"/>
        <v>2.1412600604522103E-2</v>
      </c>
      <c r="T905">
        <f t="shared" si="74"/>
        <v>4.5849946464878035E-4</v>
      </c>
    </row>
    <row r="906" spans="1:20" hidden="1" x14ac:dyDescent="0.25">
      <c r="A906" t="str">
        <f t="shared" si="71"/>
        <v>BAR</v>
      </c>
      <c r="B906" t="s">
        <v>912</v>
      </c>
      <c r="C906">
        <v>1.8294383649999999</v>
      </c>
      <c r="D906">
        <v>6.2271737000000001E-2</v>
      </c>
      <c r="E906">
        <v>0.70971263600000001</v>
      </c>
      <c r="F906">
        <v>0.31333943800000003</v>
      </c>
      <c r="G906">
        <v>0.78021976400000004</v>
      </c>
      <c r="H906">
        <v>1.23</v>
      </c>
      <c r="I906">
        <v>0.92577551268148395</v>
      </c>
      <c r="J906">
        <v>0.972603589010822</v>
      </c>
      <c r="K906">
        <v>0.85749753171148901</v>
      </c>
      <c r="L906">
        <v>0.80889349531543797</v>
      </c>
      <c r="M906">
        <v>0.94918955084615297</v>
      </c>
      <c r="N906">
        <v>0.94890072518274804</v>
      </c>
      <c r="Q906">
        <f t="shared" si="70"/>
        <v>1.23</v>
      </c>
      <c r="R906">
        <f t="shared" si="72"/>
        <v>0.83219944494793374</v>
      </c>
      <c r="S906">
        <f t="shared" si="73"/>
        <v>0.39780055505206624</v>
      </c>
      <c r="T906">
        <f t="shared" si="74"/>
        <v>0.15824528159973197</v>
      </c>
    </row>
    <row r="907" spans="1:20" hidden="1" x14ac:dyDescent="0.25">
      <c r="A907" t="str">
        <f t="shared" si="71"/>
        <v>BAR</v>
      </c>
      <c r="B907" t="s">
        <v>913</v>
      </c>
      <c r="C907">
        <v>0.94184513700000005</v>
      </c>
      <c r="D907">
        <v>6.9671888000000001E-2</v>
      </c>
      <c r="E907">
        <v>0.710563002</v>
      </c>
      <c r="F907">
        <v>0.303213232</v>
      </c>
      <c r="G907">
        <v>0.76270538399999999</v>
      </c>
      <c r="H907">
        <v>1.08</v>
      </c>
      <c r="I907">
        <v>2.1026190315629898</v>
      </c>
      <c r="J907">
        <v>2.00725172761463</v>
      </c>
      <c r="K907">
        <v>2.0615090732794599</v>
      </c>
      <c r="L907">
        <v>2.26895888544917</v>
      </c>
      <c r="M907">
        <v>2.0549353795888101</v>
      </c>
      <c r="N907">
        <v>2.05438206855984</v>
      </c>
      <c r="Q907">
        <f t="shared" si="70"/>
        <v>1.08</v>
      </c>
      <c r="R907">
        <f t="shared" si="72"/>
        <v>2.0496993784560704</v>
      </c>
      <c r="S907">
        <f t="shared" si="73"/>
        <v>-0.96969937845607035</v>
      </c>
      <c r="T907">
        <f t="shared" si="74"/>
        <v>0.94031688457808915</v>
      </c>
    </row>
    <row r="908" spans="1:20" hidden="1" x14ac:dyDescent="0.25">
      <c r="A908" t="str">
        <f t="shared" si="71"/>
        <v>BAR</v>
      </c>
      <c r="B908" t="s">
        <v>914</v>
      </c>
      <c r="C908">
        <v>1.916009877</v>
      </c>
      <c r="D908">
        <v>7.1073117000000005E-2</v>
      </c>
      <c r="E908">
        <v>0.70173741599999995</v>
      </c>
      <c r="F908">
        <v>0.371304409</v>
      </c>
      <c r="G908">
        <v>0.746427603</v>
      </c>
      <c r="H908">
        <v>1.19</v>
      </c>
      <c r="I908">
        <v>1.14751251907609</v>
      </c>
      <c r="J908">
        <v>1.30927749421505</v>
      </c>
      <c r="K908">
        <v>1.21055928217777</v>
      </c>
      <c r="L908">
        <v>1.2255960367857299</v>
      </c>
      <c r="M908">
        <v>1.22839500664557</v>
      </c>
      <c r="N908">
        <v>1.2257292994606701</v>
      </c>
      <c r="Q908">
        <f t="shared" si="70"/>
        <v>1.19</v>
      </c>
      <c r="R908">
        <f t="shared" si="72"/>
        <v>1.1844792376679116</v>
      </c>
      <c r="S908">
        <f t="shared" si="73"/>
        <v>5.5207623320883137E-3</v>
      </c>
      <c r="T908">
        <f t="shared" si="74"/>
        <v>3.0478816727405197E-5</v>
      </c>
    </row>
    <row r="909" spans="1:20" hidden="1" x14ac:dyDescent="0.25">
      <c r="A909" t="str">
        <f t="shared" si="71"/>
        <v>BAR</v>
      </c>
      <c r="B909" t="s">
        <v>915</v>
      </c>
      <c r="C909">
        <v>1.778676283</v>
      </c>
      <c r="D909">
        <v>7.0450286000000001E-2</v>
      </c>
      <c r="E909">
        <v>0.68613667899999997</v>
      </c>
      <c r="F909">
        <v>0.33489911</v>
      </c>
      <c r="G909">
        <v>0.736997554</v>
      </c>
      <c r="H909">
        <v>0.94</v>
      </c>
      <c r="I909">
        <v>1.14630888443557</v>
      </c>
      <c r="J909">
        <v>1.2775393835555899</v>
      </c>
      <c r="K909">
        <v>1.2586392718796999</v>
      </c>
      <c r="L909">
        <v>1.15352576617056</v>
      </c>
      <c r="M909">
        <v>1.21192413399558</v>
      </c>
      <c r="N909">
        <v>1.2101465802067599</v>
      </c>
      <c r="Q909">
        <f t="shared" si="70"/>
        <v>0.94</v>
      </c>
      <c r="R909">
        <f t="shared" si="72"/>
        <v>1.1593282961870268</v>
      </c>
      <c r="S909">
        <f t="shared" si="73"/>
        <v>-0.21932829618702687</v>
      </c>
      <c r="T909">
        <f t="shared" si="74"/>
        <v>4.8104901508304189E-2</v>
      </c>
    </row>
    <row r="910" spans="1:20" hidden="1" x14ac:dyDescent="0.25">
      <c r="A910" t="str">
        <f t="shared" si="71"/>
        <v>BAR</v>
      </c>
      <c r="B910" t="s">
        <v>916</v>
      </c>
      <c r="C910">
        <v>1.7533511879999999</v>
      </c>
      <c r="D910">
        <v>6.8933781E-2</v>
      </c>
      <c r="E910">
        <v>0.71163695800000004</v>
      </c>
      <c r="F910">
        <v>0.34833262399999998</v>
      </c>
      <c r="G910">
        <v>0.75638674699999997</v>
      </c>
      <c r="H910">
        <v>1.08</v>
      </c>
      <c r="I910">
        <v>1.22465018587035</v>
      </c>
      <c r="J910">
        <v>1.34358438421024</v>
      </c>
      <c r="K910">
        <v>1.3617568046794299</v>
      </c>
      <c r="L910">
        <v>1.27389577057471</v>
      </c>
      <c r="M910">
        <v>1.2841172850403</v>
      </c>
      <c r="N910">
        <v>1.2827395939377499</v>
      </c>
      <c r="Q910">
        <f t="shared" si="70"/>
        <v>1.08</v>
      </c>
      <c r="R910">
        <f t="shared" si="72"/>
        <v>1.2404250939517287</v>
      </c>
      <c r="S910">
        <f t="shared" si="73"/>
        <v>-0.16042509395172866</v>
      </c>
      <c r="T910">
        <f t="shared" si="74"/>
        <v>2.5736210769420967E-2</v>
      </c>
    </row>
    <row r="911" spans="1:20" hidden="1" x14ac:dyDescent="0.25">
      <c r="A911" t="str">
        <f t="shared" si="71"/>
        <v>BAR</v>
      </c>
      <c r="B911" t="s">
        <v>917</v>
      </c>
      <c r="C911">
        <v>1.925491037</v>
      </c>
      <c r="D911">
        <v>6.1090621999999997E-2</v>
      </c>
      <c r="E911">
        <v>0.72794864000000004</v>
      </c>
      <c r="F911">
        <v>0.48908252200000002</v>
      </c>
      <c r="G911">
        <v>0.79731293299999995</v>
      </c>
      <c r="H911">
        <v>1.42</v>
      </c>
      <c r="I911">
        <v>1.50789820390212</v>
      </c>
      <c r="J911">
        <v>1.5135476341235401</v>
      </c>
      <c r="K911">
        <v>1.81277071460089</v>
      </c>
      <c r="L911">
        <v>1.86773145912092</v>
      </c>
      <c r="M911">
        <v>1.51072291901283</v>
      </c>
      <c r="N911">
        <v>1.51072027821671</v>
      </c>
      <c r="Q911">
        <f t="shared" si="70"/>
        <v>1.42</v>
      </c>
      <c r="R911">
        <f t="shared" si="72"/>
        <v>1.4610428634412091</v>
      </c>
      <c r="S911">
        <f t="shared" si="73"/>
        <v>-4.1042863441209221E-2</v>
      </c>
      <c r="T911">
        <f t="shared" si="74"/>
        <v>1.6845166394537485E-3</v>
      </c>
    </row>
    <row r="912" spans="1:20" hidden="1" x14ac:dyDescent="0.25">
      <c r="A912" t="str">
        <f t="shared" si="71"/>
        <v>BAR</v>
      </c>
      <c r="B912" t="s">
        <v>918</v>
      </c>
      <c r="C912">
        <v>1.731925975</v>
      </c>
      <c r="D912">
        <v>5.558594E-2</v>
      </c>
      <c r="E912">
        <v>0.73114669700000001</v>
      </c>
      <c r="F912">
        <v>0.35397746899999999</v>
      </c>
      <c r="G912">
        <v>0.78579722500000004</v>
      </c>
      <c r="H912">
        <v>1.44</v>
      </c>
      <c r="I912">
        <v>1.1034177634618101</v>
      </c>
      <c r="J912">
        <v>1.08822877004273</v>
      </c>
      <c r="K912">
        <v>1.4596692942569001</v>
      </c>
      <c r="L912">
        <v>1.39721109333578</v>
      </c>
      <c r="M912">
        <v>1.09582326675227</v>
      </c>
      <c r="N912">
        <v>1.0957969499753799</v>
      </c>
      <c r="Q912">
        <f t="shared" si="70"/>
        <v>1.44</v>
      </c>
      <c r="R912">
        <f t="shared" si="72"/>
        <v>0.99356218252033068</v>
      </c>
      <c r="S912">
        <f t="shared" si="73"/>
        <v>0.44643781747966926</v>
      </c>
      <c r="T912">
        <f t="shared" si="74"/>
        <v>0.19930672487601048</v>
      </c>
    </row>
    <row r="913" spans="1:20" hidden="1" x14ac:dyDescent="0.25">
      <c r="A913" t="str">
        <f t="shared" si="71"/>
        <v>BAR</v>
      </c>
      <c r="B913" t="s">
        <v>919</v>
      </c>
      <c r="C913">
        <v>1.855974309</v>
      </c>
      <c r="D913">
        <v>5.9902902000000001E-2</v>
      </c>
      <c r="E913">
        <v>0.71939576500000002</v>
      </c>
      <c r="F913">
        <v>0.38901255400000001</v>
      </c>
      <c r="G913">
        <v>0.77473362199999996</v>
      </c>
      <c r="H913">
        <v>1.1599999999999999</v>
      </c>
      <c r="I913">
        <v>1.1575715713544701</v>
      </c>
      <c r="J913">
        <v>1.17892374480616</v>
      </c>
      <c r="K913">
        <v>1.46043838628015</v>
      </c>
      <c r="L913">
        <v>1.44477716268874</v>
      </c>
      <c r="M913">
        <v>1.1682476580803201</v>
      </c>
      <c r="N913">
        <v>1.1681988750989101</v>
      </c>
      <c r="Q913">
        <f t="shared" si="70"/>
        <v>1.1599999999999999</v>
      </c>
      <c r="R913">
        <f t="shared" si="72"/>
        <v>1.0794804534423981</v>
      </c>
      <c r="S913">
        <f t="shared" si="73"/>
        <v>8.0519546557601851E-2</v>
      </c>
      <c r="T913">
        <f t="shared" si="74"/>
        <v>6.4833973778418118E-3</v>
      </c>
    </row>
    <row r="914" spans="1:20" hidden="1" x14ac:dyDescent="0.25">
      <c r="A914" t="str">
        <f t="shared" si="71"/>
        <v>BAR</v>
      </c>
      <c r="B914" t="s">
        <v>920</v>
      </c>
      <c r="C914">
        <v>1.7280065769999999</v>
      </c>
      <c r="D914">
        <v>6.3707876999999996E-2</v>
      </c>
      <c r="E914">
        <v>0.75223258999999998</v>
      </c>
      <c r="F914">
        <v>0.55757071999999996</v>
      </c>
      <c r="G914">
        <v>0.82797414499999999</v>
      </c>
      <c r="H914">
        <v>1.79</v>
      </c>
      <c r="I914">
        <v>2.0252332759446698</v>
      </c>
      <c r="J914">
        <v>2.0518741958084901</v>
      </c>
      <c r="K914">
        <v>2.54959859150047</v>
      </c>
      <c r="L914">
        <v>2.5639114456880399</v>
      </c>
      <c r="M914">
        <v>2.03855373587658</v>
      </c>
      <c r="N914">
        <v>2.0385102156730901</v>
      </c>
      <c r="Q914">
        <f t="shared" si="70"/>
        <v>1.79</v>
      </c>
      <c r="R914">
        <f t="shared" si="72"/>
        <v>2.0845819657622848</v>
      </c>
      <c r="S914">
        <f t="shared" si="73"/>
        <v>-0.29458196576228479</v>
      </c>
      <c r="T914">
        <f t="shared" si="74"/>
        <v>8.677853455237193E-2</v>
      </c>
    </row>
    <row r="915" spans="1:20" hidden="1" x14ac:dyDescent="0.25">
      <c r="A915" t="str">
        <f t="shared" si="71"/>
        <v>BAR</v>
      </c>
      <c r="B915" t="s">
        <v>921</v>
      </c>
      <c r="C915">
        <v>1.739334208</v>
      </c>
      <c r="D915">
        <v>6.8711005000000006E-2</v>
      </c>
      <c r="E915">
        <v>0.74585055300000003</v>
      </c>
      <c r="F915">
        <v>0.52263822199999999</v>
      </c>
      <c r="G915">
        <v>0.82129925100000001</v>
      </c>
      <c r="H915">
        <v>1.64</v>
      </c>
      <c r="I915">
        <v>1.98807559481194</v>
      </c>
      <c r="J915">
        <v>2.0325510174978398</v>
      </c>
      <c r="K915">
        <v>2.3655804897678299</v>
      </c>
      <c r="L915">
        <v>2.4783781496888899</v>
      </c>
      <c r="M915">
        <v>2.0103133061548899</v>
      </c>
      <c r="N915">
        <v>2.0101903076817398</v>
      </c>
      <c r="Q915">
        <f t="shared" si="70"/>
        <v>1.64</v>
      </c>
      <c r="R915">
        <f t="shared" si="72"/>
        <v>2.0407388822210564</v>
      </c>
      <c r="S915">
        <f t="shared" si="73"/>
        <v>-0.40073888222105647</v>
      </c>
      <c r="T915">
        <f t="shared" si="74"/>
        <v>0.16059165172378176</v>
      </c>
    </row>
    <row r="916" spans="1:20" hidden="1" x14ac:dyDescent="0.25">
      <c r="A916" t="str">
        <f t="shared" si="71"/>
        <v>BAR</v>
      </c>
      <c r="B916" t="s">
        <v>922</v>
      </c>
      <c r="C916">
        <v>1.810945239</v>
      </c>
      <c r="D916">
        <v>6.2618064000000001E-2</v>
      </c>
      <c r="E916">
        <v>0.73348072600000003</v>
      </c>
      <c r="F916">
        <v>0.411814717</v>
      </c>
      <c r="G916">
        <v>0.79926571099999999</v>
      </c>
      <c r="H916">
        <v>1.53</v>
      </c>
      <c r="I916">
        <v>1.3598527562192899</v>
      </c>
      <c r="J916">
        <v>1.3866031803762</v>
      </c>
      <c r="K916">
        <v>1.62720847922321</v>
      </c>
      <c r="L916">
        <v>1.61902352802672</v>
      </c>
      <c r="M916">
        <v>1.37322796829775</v>
      </c>
      <c r="N916">
        <v>1.3731628296079901</v>
      </c>
      <c r="Q916">
        <f t="shared" si="70"/>
        <v>1.53</v>
      </c>
      <c r="R916">
        <f t="shared" si="72"/>
        <v>1.311437747872382</v>
      </c>
      <c r="S916">
        <f t="shared" si="73"/>
        <v>0.21856225212761804</v>
      </c>
      <c r="T916">
        <f t="shared" si="74"/>
        <v>4.7769458055096477E-2</v>
      </c>
    </row>
    <row r="917" spans="1:20" hidden="1" x14ac:dyDescent="0.25">
      <c r="A917" t="str">
        <f t="shared" si="71"/>
        <v>BAR</v>
      </c>
      <c r="B917" t="s">
        <v>923</v>
      </c>
      <c r="C917">
        <v>1.8654541899999999</v>
      </c>
      <c r="D917">
        <v>6.3203433000000003E-2</v>
      </c>
      <c r="E917">
        <v>0.73566240999999999</v>
      </c>
      <c r="F917">
        <v>0.44446608500000001</v>
      </c>
      <c r="G917">
        <v>0.79827823200000003</v>
      </c>
      <c r="H917">
        <v>1.62</v>
      </c>
      <c r="I917">
        <v>1.43091337740203</v>
      </c>
      <c r="J917">
        <v>1.4685388337637899</v>
      </c>
      <c r="K917">
        <v>1.7709877077859799</v>
      </c>
      <c r="L917">
        <v>1.8364602603179401</v>
      </c>
      <c r="M917">
        <v>1.44972610558291</v>
      </c>
      <c r="N917">
        <v>1.4496040364413301</v>
      </c>
      <c r="Q917">
        <f t="shared" si="70"/>
        <v>1.62</v>
      </c>
      <c r="R917">
        <f t="shared" si="72"/>
        <v>1.4018463659181344</v>
      </c>
      <c r="S917">
        <f t="shared" si="73"/>
        <v>0.21815363408186572</v>
      </c>
      <c r="T917">
        <f t="shared" si="74"/>
        <v>4.7591008063124565E-2</v>
      </c>
    </row>
    <row r="918" spans="1:20" hidden="1" x14ac:dyDescent="0.25">
      <c r="A918" t="str">
        <f t="shared" si="71"/>
        <v>BAR</v>
      </c>
      <c r="B918" t="s">
        <v>924</v>
      </c>
      <c r="C918">
        <v>1.855510631</v>
      </c>
      <c r="D918">
        <v>6.5023189999999995E-2</v>
      </c>
      <c r="E918">
        <v>0.73822344100000004</v>
      </c>
      <c r="F918">
        <v>0.49255392599999998</v>
      </c>
      <c r="G918">
        <v>0.80876633799999997</v>
      </c>
      <c r="H918">
        <v>1.41</v>
      </c>
      <c r="I918">
        <v>1.6668881885239</v>
      </c>
      <c r="J918">
        <v>1.7026892798965501</v>
      </c>
      <c r="K918">
        <v>2.0360627997157099</v>
      </c>
      <c r="L918">
        <v>2.0826040484086801</v>
      </c>
      <c r="M918">
        <v>1.6847887342102199</v>
      </c>
      <c r="N918">
        <v>1.6846936366549901</v>
      </c>
      <c r="Q918">
        <f t="shared" si="70"/>
        <v>1.41</v>
      </c>
      <c r="R918">
        <f t="shared" si="72"/>
        <v>1.6676974130218389</v>
      </c>
      <c r="S918">
        <f t="shared" si="73"/>
        <v>-0.25769741302183902</v>
      </c>
      <c r="T918">
        <f t="shared" si="74"/>
        <v>6.6407956678148292E-2</v>
      </c>
    </row>
    <row r="919" spans="1:20" hidden="1" x14ac:dyDescent="0.25">
      <c r="A919" t="str">
        <f t="shared" si="71"/>
        <v>BAR</v>
      </c>
      <c r="B919" t="s">
        <v>925</v>
      </c>
      <c r="C919">
        <v>1.731347481</v>
      </c>
      <c r="D919">
        <v>6.3914003999999996E-2</v>
      </c>
      <c r="E919">
        <v>0.74356608499999999</v>
      </c>
      <c r="F919">
        <v>0.386972598</v>
      </c>
      <c r="G919">
        <v>0.80096216600000003</v>
      </c>
      <c r="H919">
        <v>1.32</v>
      </c>
      <c r="I919">
        <v>1.37023090676114</v>
      </c>
      <c r="J919">
        <v>1.41754647855845</v>
      </c>
      <c r="K919">
        <v>1.73149032435521</v>
      </c>
      <c r="L919">
        <v>1.7219471381498399</v>
      </c>
      <c r="M919">
        <v>1.3938886926598</v>
      </c>
      <c r="N919">
        <v>1.3936879122282699</v>
      </c>
      <c r="Q919">
        <f t="shared" si="70"/>
        <v>1.32</v>
      </c>
      <c r="R919">
        <f t="shared" si="72"/>
        <v>1.3445305767267337</v>
      </c>
      <c r="S919">
        <f t="shared" si="73"/>
        <v>-2.4530576726733644E-2</v>
      </c>
      <c r="T919">
        <f t="shared" si="74"/>
        <v>6.0174919454616634E-4</v>
      </c>
    </row>
    <row r="920" spans="1:20" hidden="1" x14ac:dyDescent="0.25">
      <c r="A920" t="str">
        <f t="shared" si="71"/>
        <v>BAR</v>
      </c>
      <c r="B920" t="s">
        <v>926</v>
      </c>
      <c r="C920">
        <v>1.772155266</v>
      </c>
      <c r="D920">
        <v>6.1074036999999998E-2</v>
      </c>
      <c r="E920">
        <v>0.73732701899999997</v>
      </c>
      <c r="F920">
        <v>0.45893091600000002</v>
      </c>
      <c r="G920">
        <v>0.80299015100000004</v>
      </c>
      <c r="H920">
        <v>1.63</v>
      </c>
      <c r="I920">
        <v>1.56818447435968</v>
      </c>
      <c r="J920">
        <v>1.5656330608706599</v>
      </c>
      <c r="K920">
        <v>2.0412713169013199</v>
      </c>
      <c r="L920">
        <v>2.1277029643379302</v>
      </c>
      <c r="M920">
        <v>1.5669087676151701</v>
      </c>
      <c r="N920">
        <v>1.5669082483035199</v>
      </c>
      <c r="Q920">
        <f t="shared" si="70"/>
        <v>1.63</v>
      </c>
      <c r="R920">
        <f t="shared" si="72"/>
        <v>1.5277326566718497</v>
      </c>
      <c r="S920">
        <f t="shared" si="73"/>
        <v>0.10226734332815024</v>
      </c>
      <c r="T920">
        <f t="shared" si="74"/>
        <v>1.0458609511397755E-2</v>
      </c>
    </row>
    <row r="921" spans="1:20" hidden="1" x14ac:dyDescent="0.25">
      <c r="A921" t="str">
        <f t="shared" si="71"/>
        <v>BAR</v>
      </c>
      <c r="B921" t="s">
        <v>927</v>
      </c>
      <c r="C921">
        <v>1.804033762</v>
      </c>
      <c r="D921">
        <v>6.2401882999999998E-2</v>
      </c>
      <c r="E921">
        <v>0.74541105399999996</v>
      </c>
      <c r="F921">
        <v>0.48889423900000001</v>
      </c>
      <c r="G921">
        <v>0.80371797099999998</v>
      </c>
      <c r="H921">
        <v>1.27</v>
      </c>
      <c r="I921">
        <v>1.6666983213075499</v>
      </c>
      <c r="J921">
        <v>1.6842339680585401</v>
      </c>
      <c r="K921">
        <v>2.0283277402225601</v>
      </c>
      <c r="L921">
        <v>2.0911146434047199</v>
      </c>
      <c r="M921">
        <v>1.6754661446830399</v>
      </c>
      <c r="N921">
        <v>1.67544320323081</v>
      </c>
      <c r="Q921">
        <f t="shared" si="70"/>
        <v>1.27</v>
      </c>
      <c r="R921">
        <f t="shared" si="72"/>
        <v>1.6582652314571842</v>
      </c>
      <c r="S921">
        <f t="shared" si="73"/>
        <v>-0.38826523145718417</v>
      </c>
      <c r="T921">
        <f t="shared" si="74"/>
        <v>0.1507498899585008</v>
      </c>
    </row>
    <row r="922" spans="1:20" hidden="1" x14ac:dyDescent="0.25">
      <c r="A922" t="str">
        <f t="shared" si="71"/>
        <v>BAR</v>
      </c>
      <c r="B922" t="s">
        <v>928</v>
      </c>
      <c r="C922">
        <v>1.7805931399999999</v>
      </c>
      <c r="D922">
        <v>6.4607023999999999E-2</v>
      </c>
      <c r="E922">
        <v>0.75551616099999996</v>
      </c>
      <c r="F922">
        <v>0.55820278199999995</v>
      </c>
      <c r="G922">
        <v>0.81820488700000005</v>
      </c>
      <c r="H922">
        <v>1.75</v>
      </c>
      <c r="I922">
        <v>1.9908196036908801</v>
      </c>
      <c r="J922">
        <v>2.0276346368629898</v>
      </c>
      <c r="K922">
        <v>2.4840450975574901</v>
      </c>
      <c r="L922">
        <v>2.5379828398838402</v>
      </c>
      <c r="M922">
        <v>2.0092271202769298</v>
      </c>
      <c r="N922">
        <v>2.0091427983569199</v>
      </c>
      <c r="Q922">
        <f t="shared" si="70"/>
        <v>1.75</v>
      </c>
      <c r="R922">
        <f t="shared" si="72"/>
        <v>2.0495989862782489</v>
      </c>
      <c r="S922">
        <f t="shared" si="73"/>
        <v>-0.29959898627824888</v>
      </c>
      <c r="T922">
        <f t="shared" si="74"/>
        <v>8.9759552578954363E-2</v>
      </c>
    </row>
    <row r="923" spans="1:20" hidden="1" x14ac:dyDescent="0.25">
      <c r="A923" t="str">
        <f t="shared" si="71"/>
        <v>BAR</v>
      </c>
      <c r="B923" t="s">
        <v>929</v>
      </c>
      <c r="C923">
        <v>1.8705724619999999</v>
      </c>
      <c r="D923">
        <v>6.4270184999999994E-2</v>
      </c>
      <c r="E923">
        <v>0.75138685100000002</v>
      </c>
      <c r="F923">
        <v>0.53655601799999997</v>
      </c>
      <c r="G923">
        <v>0.80841890400000005</v>
      </c>
      <c r="H923">
        <v>1.79</v>
      </c>
      <c r="I923">
        <v>1.8014333696045799</v>
      </c>
      <c r="J923">
        <v>1.8451510676094101</v>
      </c>
      <c r="K923">
        <v>2.2150816335995498</v>
      </c>
      <c r="L923">
        <v>2.3049792267429901</v>
      </c>
      <c r="M923">
        <v>1.82329221860699</v>
      </c>
      <c r="N923">
        <v>1.8231611846331901</v>
      </c>
      <c r="Q923">
        <f t="shared" si="70"/>
        <v>1.79</v>
      </c>
      <c r="R923">
        <f t="shared" si="72"/>
        <v>1.8344473587649159</v>
      </c>
      <c r="S923">
        <f t="shared" si="73"/>
        <v>-4.4447358764915901E-2</v>
      </c>
      <c r="T923">
        <f t="shared" si="74"/>
        <v>1.9755677011771464E-3</v>
      </c>
    </row>
    <row r="924" spans="1:20" hidden="1" x14ac:dyDescent="0.25">
      <c r="A924" t="str">
        <f t="shared" si="71"/>
        <v>BAR</v>
      </c>
      <c r="B924" t="s">
        <v>930</v>
      </c>
      <c r="C924">
        <v>1.8233148050000001</v>
      </c>
      <c r="D924">
        <v>6.5054213E-2</v>
      </c>
      <c r="E924">
        <v>0.755565975</v>
      </c>
      <c r="F924">
        <v>0.52344991399999996</v>
      </c>
      <c r="G924">
        <v>0.81074265999999995</v>
      </c>
      <c r="H924">
        <v>1.64</v>
      </c>
      <c r="I924">
        <v>1.8183883158619101</v>
      </c>
      <c r="J924">
        <v>1.8685795731741</v>
      </c>
      <c r="K924">
        <v>2.2614639611162399</v>
      </c>
      <c r="L924">
        <v>2.33650605151893</v>
      </c>
      <c r="M924">
        <v>1.84348394451801</v>
      </c>
      <c r="N924">
        <v>1.8433131212895</v>
      </c>
      <c r="Q924">
        <f t="shared" si="70"/>
        <v>1.64</v>
      </c>
      <c r="R924">
        <f t="shared" si="72"/>
        <v>1.8600705572190073</v>
      </c>
      <c r="S924">
        <f t="shared" si="73"/>
        <v>-0.22007055721900737</v>
      </c>
      <c r="T924">
        <f t="shared" si="74"/>
        <v>4.8431050154684394E-2</v>
      </c>
    </row>
    <row r="925" spans="1:20" hidden="1" x14ac:dyDescent="0.25">
      <c r="A925" t="str">
        <f t="shared" si="71"/>
        <v>BAR</v>
      </c>
      <c r="B925" t="s">
        <v>931</v>
      </c>
      <c r="C925">
        <v>1.8378096150000001</v>
      </c>
      <c r="D925">
        <v>6.0794854000000002E-2</v>
      </c>
      <c r="E925">
        <v>0.74295233999999999</v>
      </c>
      <c r="F925">
        <v>0.45881164200000002</v>
      </c>
      <c r="G925">
        <v>0.79446219500000004</v>
      </c>
      <c r="H925">
        <v>1.59</v>
      </c>
      <c r="I925">
        <v>1.48065901015822</v>
      </c>
      <c r="J925">
        <v>1.4988271433274101</v>
      </c>
      <c r="K925">
        <v>1.8940459877057401</v>
      </c>
      <c r="L925">
        <v>2.0113230360893599</v>
      </c>
      <c r="M925">
        <v>1.4897430767428199</v>
      </c>
      <c r="N925">
        <v>1.48971538034533</v>
      </c>
      <c r="Q925">
        <f t="shared" si="70"/>
        <v>1.59</v>
      </c>
      <c r="R925">
        <f t="shared" si="72"/>
        <v>1.4469883821134299</v>
      </c>
      <c r="S925">
        <f t="shared" si="73"/>
        <v>0.14301161788657013</v>
      </c>
      <c r="T925">
        <f t="shared" si="74"/>
        <v>2.0452322850534346E-2</v>
      </c>
    </row>
    <row r="926" spans="1:20" hidden="1" x14ac:dyDescent="0.25">
      <c r="A926" t="str">
        <f t="shared" si="71"/>
        <v>BAR</v>
      </c>
      <c r="B926" t="s">
        <v>932</v>
      </c>
      <c r="C926">
        <v>1.831472046</v>
      </c>
      <c r="D926">
        <v>6.4349696999999997E-2</v>
      </c>
      <c r="E926">
        <v>0.70758713699999998</v>
      </c>
      <c r="F926">
        <v>0.40046056800000002</v>
      </c>
      <c r="G926">
        <v>0.74511759499999997</v>
      </c>
      <c r="H926">
        <v>1.04</v>
      </c>
      <c r="I926">
        <v>1.2990594599263099</v>
      </c>
      <c r="J926">
        <v>1.33780913703111</v>
      </c>
      <c r="K926">
        <v>1.6709348894717799</v>
      </c>
      <c r="L926">
        <v>1.7647908498779501</v>
      </c>
      <c r="M926">
        <v>1.3184342984787101</v>
      </c>
      <c r="N926">
        <v>1.31829193088485</v>
      </c>
      <c r="Q926">
        <f t="shared" si="70"/>
        <v>1.04</v>
      </c>
      <c r="R926">
        <f t="shared" si="72"/>
        <v>1.2503447265596352</v>
      </c>
      <c r="S926">
        <f t="shared" si="73"/>
        <v>-0.21034472655963521</v>
      </c>
      <c r="T926">
        <f t="shared" si="74"/>
        <v>4.4244903991447704E-2</v>
      </c>
    </row>
    <row r="927" spans="1:20" hidden="1" x14ac:dyDescent="0.25">
      <c r="A927" t="str">
        <f t="shared" si="71"/>
        <v>BAR</v>
      </c>
      <c r="B927" t="s">
        <v>933</v>
      </c>
      <c r="C927">
        <v>1.7807414450000001</v>
      </c>
      <c r="D927">
        <v>6.4845855999999993E-2</v>
      </c>
      <c r="E927">
        <v>0.69553805599999996</v>
      </c>
      <c r="F927">
        <v>0.38806837999999999</v>
      </c>
      <c r="G927">
        <v>0.72989310900000004</v>
      </c>
      <c r="H927">
        <v>0.97</v>
      </c>
      <c r="I927">
        <v>1.31604660771996</v>
      </c>
      <c r="J927">
        <v>1.3415857099019199</v>
      </c>
      <c r="K927">
        <v>1.7124195936553399</v>
      </c>
      <c r="L927">
        <v>1.7642635313083299</v>
      </c>
      <c r="M927">
        <v>1.32881615881094</v>
      </c>
      <c r="N927">
        <v>1.3287548014897199</v>
      </c>
      <c r="Q927">
        <f t="shared" si="70"/>
        <v>0.97</v>
      </c>
      <c r="R927">
        <f t="shared" si="72"/>
        <v>1.2568957584963814</v>
      </c>
      <c r="S927">
        <f t="shared" si="73"/>
        <v>-0.28689575849638138</v>
      </c>
      <c r="T927">
        <f t="shared" si="74"/>
        <v>8.2309176243213988E-2</v>
      </c>
    </row>
    <row r="928" spans="1:20" hidden="1" x14ac:dyDescent="0.25">
      <c r="A928" t="str">
        <f t="shared" si="71"/>
        <v>BAR</v>
      </c>
      <c r="B928" t="s">
        <v>934</v>
      </c>
      <c r="C928">
        <v>1.7739769480000001</v>
      </c>
      <c r="D928">
        <v>6.6948997999999996E-2</v>
      </c>
      <c r="E928">
        <v>0.70050971200000001</v>
      </c>
      <c r="F928">
        <v>0.37138463599999999</v>
      </c>
      <c r="G928">
        <v>0.73281631999999997</v>
      </c>
      <c r="H928">
        <v>0.88</v>
      </c>
      <c r="I928">
        <v>1.2671102215748899</v>
      </c>
      <c r="J928">
        <v>1.34426289389516</v>
      </c>
      <c r="K928">
        <v>1.53634324932392</v>
      </c>
      <c r="L928">
        <v>1.5210968800359601</v>
      </c>
      <c r="M928">
        <v>1.3056865577350201</v>
      </c>
      <c r="N928">
        <v>1.30511656695423</v>
      </c>
      <c r="Q928">
        <f t="shared" si="70"/>
        <v>0.88</v>
      </c>
      <c r="R928">
        <f t="shared" si="72"/>
        <v>1.2507568992113862</v>
      </c>
      <c r="S928">
        <f t="shared" si="73"/>
        <v>-0.37075689921138621</v>
      </c>
      <c r="T928">
        <f t="shared" si="74"/>
        <v>0.13746067831284201</v>
      </c>
    </row>
    <row r="929" spans="1:20" hidden="1" x14ac:dyDescent="0.25">
      <c r="A929" t="str">
        <f t="shared" si="71"/>
        <v>BAR</v>
      </c>
      <c r="B929" t="s">
        <v>935</v>
      </c>
      <c r="C929">
        <v>1.8618262510000001</v>
      </c>
      <c r="D929">
        <v>6.5987236000000005E-2</v>
      </c>
      <c r="E929">
        <v>0.69769809199999999</v>
      </c>
      <c r="F929">
        <v>0.41089827299999998</v>
      </c>
      <c r="G929">
        <v>0.73160409100000001</v>
      </c>
      <c r="H929">
        <v>1.01</v>
      </c>
      <c r="I929">
        <v>1.3388406639303401</v>
      </c>
      <c r="J929">
        <v>1.3745410228935999</v>
      </c>
      <c r="K929">
        <v>1.6227385838058199</v>
      </c>
      <c r="L929">
        <v>1.7497129679671</v>
      </c>
      <c r="M929">
        <v>1.35669084341197</v>
      </c>
      <c r="N929">
        <v>1.3565734096208499</v>
      </c>
      <c r="Q929">
        <f t="shared" si="70"/>
        <v>1.01</v>
      </c>
      <c r="R929">
        <f t="shared" si="72"/>
        <v>1.2865104744646754</v>
      </c>
      <c r="S929">
        <f t="shared" si="73"/>
        <v>-0.27651047446467536</v>
      </c>
      <c r="T929">
        <f t="shared" si="74"/>
        <v>7.6458042488679878E-2</v>
      </c>
    </row>
    <row r="930" spans="1:20" hidden="1" x14ac:dyDescent="0.25">
      <c r="A930" t="str">
        <f t="shared" si="71"/>
        <v>BAR</v>
      </c>
      <c r="B930" t="s">
        <v>936</v>
      </c>
      <c r="C930">
        <v>1.747064207</v>
      </c>
      <c r="D930">
        <v>6.6090960000000004E-2</v>
      </c>
      <c r="E930">
        <v>0.68344074099999996</v>
      </c>
      <c r="F930">
        <v>0.33887896499999998</v>
      </c>
      <c r="G930">
        <v>0.70716879600000004</v>
      </c>
      <c r="H930">
        <v>1.1200000000000001</v>
      </c>
      <c r="I930">
        <v>1.1090821779725799</v>
      </c>
      <c r="J930">
        <v>1.2111026778593199</v>
      </c>
      <c r="K930">
        <v>1.3666993373441101</v>
      </c>
      <c r="L930">
        <v>1.27802425149829</v>
      </c>
      <c r="M930">
        <v>1.1600924279159499</v>
      </c>
      <c r="N930">
        <v>1.1589704032927901</v>
      </c>
      <c r="Q930">
        <f t="shared" si="70"/>
        <v>1.1200000000000001</v>
      </c>
      <c r="R930">
        <f t="shared" si="72"/>
        <v>1.1028661512143034</v>
      </c>
      <c r="S930">
        <f t="shared" si="73"/>
        <v>1.7133848785696681E-2</v>
      </c>
      <c r="T930">
        <f t="shared" si="74"/>
        <v>2.9356877421111966E-4</v>
      </c>
    </row>
    <row r="931" spans="1:20" hidden="1" x14ac:dyDescent="0.25">
      <c r="A931" t="str">
        <f t="shared" si="71"/>
        <v>BAR</v>
      </c>
      <c r="B931" t="s">
        <v>937</v>
      </c>
      <c r="C931">
        <v>1.847924356</v>
      </c>
      <c r="D931">
        <v>6.4382677999999999E-2</v>
      </c>
      <c r="E931">
        <v>0.71068497399999997</v>
      </c>
      <c r="F931">
        <v>0.45071743399999997</v>
      </c>
      <c r="G931">
        <v>0.75932932200000003</v>
      </c>
      <c r="H931">
        <v>1.33</v>
      </c>
      <c r="I931">
        <v>1.51385508704479</v>
      </c>
      <c r="J931">
        <v>1.51016721185837</v>
      </c>
      <c r="K931">
        <v>1.9296293081076199</v>
      </c>
      <c r="L931">
        <v>2.11568655717091</v>
      </c>
      <c r="M931">
        <v>1.51201114945158</v>
      </c>
      <c r="N931">
        <v>1.5120100250858299</v>
      </c>
      <c r="Q931">
        <f t="shared" si="70"/>
        <v>1.33</v>
      </c>
      <c r="R931">
        <f t="shared" si="72"/>
        <v>1.4501394238886283</v>
      </c>
      <c r="S931">
        <f t="shared" si="73"/>
        <v>-0.12013942388862819</v>
      </c>
      <c r="T931">
        <f t="shared" si="74"/>
        <v>1.4433481172291486E-2</v>
      </c>
    </row>
    <row r="932" spans="1:20" hidden="1" x14ac:dyDescent="0.25">
      <c r="A932" t="str">
        <f t="shared" si="71"/>
        <v>BAR</v>
      </c>
      <c r="B932" t="s">
        <v>938</v>
      </c>
      <c r="C932">
        <v>1.795339832</v>
      </c>
      <c r="D932">
        <v>6.2138971000000001E-2</v>
      </c>
      <c r="E932">
        <v>0.70059330600000003</v>
      </c>
      <c r="F932">
        <v>0.45326201900000002</v>
      </c>
      <c r="G932">
        <v>0.74811636000000004</v>
      </c>
      <c r="H932">
        <v>1.1100000000000001</v>
      </c>
      <c r="I932">
        <v>1.5704893618097899</v>
      </c>
      <c r="J932">
        <v>1.5076863992417999</v>
      </c>
      <c r="K932">
        <v>2.07514347637344</v>
      </c>
      <c r="L932">
        <v>2.2232388692360598</v>
      </c>
      <c r="M932">
        <v>1.5390878805257899</v>
      </c>
      <c r="N932">
        <v>1.5387675103648899</v>
      </c>
      <c r="Q932">
        <f t="shared" si="70"/>
        <v>1.1100000000000001</v>
      </c>
      <c r="R932">
        <f t="shared" si="72"/>
        <v>1.4601182692959491</v>
      </c>
      <c r="S932">
        <f t="shared" si="73"/>
        <v>-0.35011826929594903</v>
      </c>
      <c r="T932">
        <f t="shared" si="74"/>
        <v>0.12258280249479069</v>
      </c>
    </row>
    <row r="933" spans="1:20" hidden="1" x14ac:dyDescent="0.25">
      <c r="A933" t="str">
        <f t="shared" si="71"/>
        <v>BAR</v>
      </c>
      <c r="B933" t="s">
        <v>939</v>
      </c>
      <c r="C933">
        <v>1.8277586939999999</v>
      </c>
      <c r="D933">
        <v>6.3207085999999996E-2</v>
      </c>
      <c r="E933">
        <v>0.71475151599999998</v>
      </c>
      <c r="F933">
        <v>0.43108940899999998</v>
      </c>
      <c r="G933">
        <v>0.76899068199999998</v>
      </c>
      <c r="H933">
        <v>1.1000000000000001</v>
      </c>
      <c r="I933">
        <v>1.4283903828712801</v>
      </c>
      <c r="J933">
        <v>1.4344068244958601</v>
      </c>
      <c r="K933">
        <v>1.81404678201738</v>
      </c>
      <c r="L933">
        <v>1.9293862388545799</v>
      </c>
      <c r="M933">
        <v>1.43139860368357</v>
      </c>
      <c r="N933">
        <v>1.4313954426484701</v>
      </c>
      <c r="Q933">
        <f t="shared" si="70"/>
        <v>1.1000000000000001</v>
      </c>
      <c r="R933">
        <f t="shared" si="72"/>
        <v>1.3668153895610669</v>
      </c>
      <c r="S933">
        <f t="shared" si="73"/>
        <v>-0.26681538956106676</v>
      </c>
      <c r="T933">
        <f t="shared" si="74"/>
        <v>7.1190452106623808E-2</v>
      </c>
    </row>
    <row r="934" spans="1:20" hidden="1" x14ac:dyDescent="0.25">
      <c r="A934" t="str">
        <f t="shared" si="71"/>
        <v>BAR</v>
      </c>
      <c r="B934" t="s">
        <v>940</v>
      </c>
      <c r="C934">
        <v>1.7883028169999999</v>
      </c>
      <c r="D934">
        <v>6.5007924999999994E-2</v>
      </c>
      <c r="E934">
        <v>0.71652125899999997</v>
      </c>
      <c r="F934">
        <v>0.46712313700000002</v>
      </c>
      <c r="G934">
        <v>0.76058816600000001</v>
      </c>
      <c r="H934">
        <v>1.06</v>
      </c>
      <c r="I934">
        <v>1.67610932723317</v>
      </c>
      <c r="J934">
        <v>1.6517942352233099</v>
      </c>
      <c r="K934">
        <v>2.1232591411253101</v>
      </c>
      <c r="L934">
        <v>2.3002627773773598</v>
      </c>
      <c r="M934">
        <v>1.6639517812282401</v>
      </c>
      <c r="N934">
        <v>1.66390736651046</v>
      </c>
      <c r="Q934">
        <f t="shared" si="70"/>
        <v>1.06</v>
      </c>
      <c r="R934">
        <f t="shared" si="72"/>
        <v>1.6147659885088101</v>
      </c>
      <c r="S934">
        <f t="shared" si="73"/>
        <v>-0.55476598850881009</v>
      </c>
      <c r="T934">
        <f t="shared" si="74"/>
        <v>0.3077653020061572</v>
      </c>
    </row>
    <row r="935" spans="1:20" hidden="1" x14ac:dyDescent="0.25">
      <c r="A935" t="str">
        <f t="shared" si="71"/>
        <v>BAR</v>
      </c>
      <c r="B935" t="s">
        <v>941</v>
      </c>
      <c r="C935">
        <v>1.82710894</v>
      </c>
      <c r="D935">
        <v>6.4864336999999994E-2</v>
      </c>
      <c r="E935">
        <v>0.69396220799999997</v>
      </c>
      <c r="F935">
        <v>0.35600325500000002</v>
      </c>
      <c r="G935">
        <v>0.71356249800000005</v>
      </c>
      <c r="H935">
        <v>0.99</v>
      </c>
      <c r="I935">
        <v>1.07443787046965</v>
      </c>
      <c r="J935">
        <v>1.17613853729081</v>
      </c>
      <c r="K935">
        <v>1.33919062754813</v>
      </c>
      <c r="L935">
        <v>1.30754221296229</v>
      </c>
      <c r="M935">
        <v>1.1252882038802301</v>
      </c>
      <c r="N935">
        <v>1.1241386860098801</v>
      </c>
      <c r="Q935">
        <f t="shared" si="70"/>
        <v>0.99</v>
      </c>
      <c r="R935">
        <f t="shared" si="72"/>
        <v>1.0617973309939184</v>
      </c>
      <c r="S935">
        <f t="shared" si="73"/>
        <v>-7.1797330993918385E-2</v>
      </c>
      <c r="T935">
        <f t="shared" si="74"/>
        <v>5.1548567378502733E-3</v>
      </c>
    </row>
    <row r="936" spans="1:20" hidden="1" x14ac:dyDescent="0.25">
      <c r="A936" t="str">
        <f t="shared" si="71"/>
        <v>BAR</v>
      </c>
      <c r="B936" t="s">
        <v>942</v>
      </c>
      <c r="C936">
        <v>1.823078883</v>
      </c>
      <c r="D936">
        <v>6.4257849000000006E-2</v>
      </c>
      <c r="E936">
        <v>0.70857713899999997</v>
      </c>
      <c r="F936">
        <v>0.40332912999999998</v>
      </c>
      <c r="G936">
        <v>0.75433266200000004</v>
      </c>
      <c r="H936">
        <v>1.27</v>
      </c>
      <c r="I936">
        <v>1.32424878603287</v>
      </c>
      <c r="J936">
        <v>1.3556159178488001</v>
      </c>
      <c r="K936">
        <v>1.5968981668122499</v>
      </c>
      <c r="L936">
        <v>1.65046182390352</v>
      </c>
      <c r="M936">
        <v>1.3399323519408299</v>
      </c>
      <c r="N936">
        <v>1.3398405627305501</v>
      </c>
      <c r="Q936">
        <f t="shared" si="70"/>
        <v>1.27</v>
      </c>
      <c r="R936">
        <f t="shared" si="72"/>
        <v>1.2717461506338226</v>
      </c>
      <c r="S936">
        <f t="shared" si="73"/>
        <v>-1.7461506338225519E-3</v>
      </c>
      <c r="T936">
        <f t="shared" si="74"/>
        <v>3.0490420359988997E-6</v>
      </c>
    </row>
    <row r="937" spans="1:20" hidden="1" x14ac:dyDescent="0.25">
      <c r="A937" t="str">
        <f t="shared" si="71"/>
        <v>BAR</v>
      </c>
      <c r="B937" t="s">
        <v>943</v>
      </c>
      <c r="C937">
        <v>1.72606926</v>
      </c>
      <c r="D937">
        <v>6.5666882999999995E-2</v>
      </c>
      <c r="E937">
        <v>0.69142162299999999</v>
      </c>
      <c r="F937">
        <v>0.38397099200000001</v>
      </c>
      <c r="G937">
        <v>0.73185081799999996</v>
      </c>
      <c r="H937">
        <v>0.88</v>
      </c>
      <c r="I937">
        <v>1.3828643822837901</v>
      </c>
      <c r="J937">
        <v>1.39645792606171</v>
      </c>
      <c r="K937">
        <v>1.7691298738291099</v>
      </c>
      <c r="L937">
        <v>1.7982882026043701</v>
      </c>
      <c r="M937">
        <v>1.3896611541727499</v>
      </c>
      <c r="N937">
        <v>1.38964453271642</v>
      </c>
      <c r="Q937">
        <f t="shared" si="70"/>
        <v>0.88</v>
      </c>
      <c r="R937">
        <f t="shared" si="72"/>
        <v>1.320725644075297</v>
      </c>
      <c r="S937">
        <f t="shared" si="73"/>
        <v>-0.44072564407529702</v>
      </c>
      <c r="T937">
        <f t="shared" si="74"/>
        <v>0.1942390933455854</v>
      </c>
    </row>
    <row r="938" spans="1:20" hidden="1" x14ac:dyDescent="0.25">
      <c r="A938" t="str">
        <f t="shared" si="71"/>
        <v>BAR</v>
      </c>
      <c r="B938" t="s">
        <v>944</v>
      </c>
      <c r="C938">
        <v>1.802611856</v>
      </c>
      <c r="D938">
        <v>6.2354012E-2</v>
      </c>
      <c r="E938">
        <v>0.67574330599999999</v>
      </c>
      <c r="F938">
        <v>0.35174493800000001</v>
      </c>
      <c r="G938">
        <v>0.70828882900000001</v>
      </c>
      <c r="H938">
        <v>0.63</v>
      </c>
      <c r="I938">
        <v>1.06141773608347</v>
      </c>
      <c r="J938">
        <v>1.1058993253178999</v>
      </c>
      <c r="K938">
        <v>1.44729086573292</v>
      </c>
      <c r="L938">
        <v>1.4136760624023801</v>
      </c>
      <c r="M938">
        <v>1.0836585307006801</v>
      </c>
      <c r="N938">
        <v>1.0834302738132999</v>
      </c>
      <c r="Q938">
        <f t="shared" si="70"/>
        <v>0.63</v>
      </c>
      <c r="R938">
        <f t="shared" si="72"/>
        <v>0.99360125822297674</v>
      </c>
      <c r="S938">
        <f t="shared" si="73"/>
        <v>-0.36360125822297673</v>
      </c>
      <c r="T938">
        <f t="shared" si="74"/>
        <v>0.13220587498133179</v>
      </c>
    </row>
    <row r="939" spans="1:20" hidden="1" x14ac:dyDescent="0.25">
      <c r="A939" t="str">
        <f t="shared" si="71"/>
        <v>BAR</v>
      </c>
      <c r="B939" t="s">
        <v>945</v>
      </c>
      <c r="C939">
        <v>1.7019315669999999</v>
      </c>
      <c r="D939">
        <v>6.6332081000000001E-2</v>
      </c>
      <c r="E939">
        <v>0.66689128099999995</v>
      </c>
      <c r="F939">
        <v>0.34382980600000002</v>
      </c>
      <c r="G939">
        <v>0.70719304100000002</v>
      </c>
      <c r="H939">
        <v>0.81</v>
      </c>
      <c r="I939">
        <v>1.2138223331323601</v>
      </c>
      <c r="J939">
        <v>1.2613632579951199</v>
      </c>
      <c r="K939">
        <v>1.5030611672552101</v>
      </c>
      <c r="L939">
        <v>1.40654339741989</v>
      </c>
      <c r="M939">
        <v>1.23759279556374</v>
      </c>
      <c r="N939">
        <v>1.2373644947011599</v>
      </c>
      <c r="Q939">
        <f t="shared" si="70"/>
        <v>0.81</v>
      </c>
      <c r="R939">
        <f t="shared" si="72"/>
        <v>1.1651637639334265</v>
      </c>
      <c r="S939">
        <f t="shared" si="73"/>
        <v>-0.35516376393342641</v>
      </c>
      <c r="T939">
        <f t="shared" si="74"/>
        <v>0.12614129921135864</v>
      </c>
    </row>
    <row r="940" spans="1:20" hidden="1" x14ac:dyDescent="0.25">
      <c r="A940" t="str">
        <f t="shared" si="71"/>
        <v>BAR</v>
      </c>
      <c r="B940" t="s">
        <v>946</v>
      </c>
      <c r="C940">
        <v>1.820069084</v>
      </c>
      <c r="D940">
        <v>6.2768474000000005E-2</v>
      </c>
      <c r="E940">
        <v>0.67240474699999997</v>
      </c>
      <c r="F940">
        <v>0.34404004399999999</v>
      </c>
      <c r="G940">
        <v>0.70265182800000003</v>
      </c>
      <c r="H940">
        <v>0.66</v>
      </c>
      <c r="I940">
        <v>0.99773829871930897</v>
      </c>
      <c r="J940">
        <v>1.06609599438356</v>
      </c>
      <c r="K940">
        <v>1.2456142733900399</v>
      </c>
      <c r="L940">
        <v>1.1806179365590601</v>
      </c>
      <c r="M940">
        <v>1.0319171465514301</v>
      </c>
      <c r="N940">
        <v>1.0313509604919799</v>
      </c>
      <c r="Q940">
        <f t="shared" si="70"/>
        <v>0.66</v>
      </c>
      <c r="R940">
        <f t="shared" si="72"/>
        <v>0.9452167861809313</v>
      </c>
      <c r="S940">
        <f t="shared" si="73"/>
        <v>-0.28521678618093127</v>
      </c>
      <c r="T940">
        <f t="shared" si="74"/>
        <v>8.1348615119379061E-2</v>
      </c>
    </row>
    <row r="941" spans="1:20" hidden="1" x14ac:dyDescent="0.25">
      <c r="A941" t="str">
        <f t="shared" si="71"/>
        <v>BAR</v>
      </c>
      <c r="B941" t="s">
        <v>947</v>
      </c>
      <c r="C941">
        <v>1.5059706930000001</v>
      </c>
      <c r="D941">
        <v>5.1771310000000001E-2</v>
      </c>
      <c r="E941">
        <v>0.74008807499999996</v>
      </c>
      <c r="F941">
        <v>0.306323489</v>
      </c>
      <c r="G941">
        <v>0.82033278200000004</v>
      </c>
      <c r="H941">
        <v>1.19</v>
      </c>
      <c r="I941">
        <v>1.1740544851121999</v>
      </c>
      <c r="J941">
        <v>1.0639075267524001</v>
      </c>
      <c r="K941">
        <v>1.1839069798837301</v>
      </c>
      <c r="L941">
        <v>1.25934303139066</v>
      </c>
      <c r="M941">
        <v>1.1189810059323</v>
      </c>
      <c r="N941">
        <v>1.11762489392832</v>
      </c>
      <c r="Q941">
        <f t="shared" si="70"/>
        <v>1.19</v>
      </c>
      <c r="R941">
        <f t="shared" si="72"/>
        <v>0.98769860174300583</v>
      </c>
      <c r="S941">
        <f t="shared" si="73"/>
        <v>0.20230139825699411</v>
      </c>
      <c r="T941">
        <f t="shared" si="74"/>
        <v>4.0925855736734941E-2</v>
      </c>
    </row>
    <row r="942" spans="1:20" hidden="1" x14ac:dyDescent="0.25">
      <c r="A942" t="str">
        <f t="shared" si="71"/>
        <v>BAR</v>
      </c>
      <c r="B942" t="s">
        <v>948</v>
      </c>
      <c r="C942">
        <v>1.6180443499999999</v>
      </c>
      <c r="D942">
        <v>5.6371910999999997E-2</v>
      </c>
      <c r="E942">
        <v>0.75800744499999995</v>
      </c>
      <c r="F942">
        <v>0.31306700300000001</v>
      </c>
      <c r="G942">
        <v>0.80177290300000004</v>
      </c>
      <c r="H942">
        <v>1.1399999999999999</v>
      </c>
      <c r="I942">
        <v>1.0854183632469301</v>
      </c>
      <c r="J942">
        <v>1.09551601209806</v>
      </c>
      <c r="K942">
        <v>1.2357831768049301</v>
      </c>
      <c r="L942">
        <v>1.18263189896085</v>
      </c>
      <c r="M942">
        <v>1.0904671876724901</v>
      </c>
      <c r="N942">
        <v>1.09045549967079</v>
      </c>
      <c r="Q942">
        <f t="shared" si="70"/>
        <v>1.1399999999999999</v>
      </c>
      <c r="R942">
        <f t="shared" si="72"/>
        <v>1.0010970965477375</v>
      </c>
      <c r="S942">
        <f t="shared" si="73"/>
        <v>0.13890290345226242</v>
      </c>
      <c r="T942">
        <f t="shared" si="74"/>
        <v>1.9294016587468533E-2</v>
      </c>
    </row>
    <row r="943" spans="1:20" hidden="1" x14ac:dyDescent="0.25">
      <c r="A943" t="str">
        <f t="shared" si="71"/>
        <v>BAR</v>
      </c>
      <c r="B943" t="s">
        <v>949</v>
      </c>
      <c r="C943">
        <v>1.8425996600000001</v>
      </c>
      <c r="D943">
        <v>5.3913769E-2</v>
      </c>
      <c r="E943">
        <v>0.74894539299999996</v>
      </c>
      <c r="F943">
        <v>0.37007193999999999</v>
      </c>
      <c r="G943">
        <v>0.83107154699999997</v>
      </c>
      <c r="H943">
        <v>1.23</v>
      </c>
      <c r="I943">
        <v>1.0602647505363301</v>
      </c>
      <c r="J943">
        <v>1.0163384928341901</v>
      </c>
      <c r="K943">
        <v>1.2059476767630899</v>
      </c>
      <c r="L943">
        <v>1.1341918308975001</v>
      </c>
      <c r="M943">
        <v>1.0383016216852601</v>
      </c>
      <c r="N943">
        <v>1.03806930335374</v>
      </c>
      <c r="Q943">
        <f t="shared" si="70"/>
        <v>1.23</v>
      </c>
      <c r="R943">
        <f t="shared" si="72"/>
        <v>0.90807901691437154</v>
      </c>
      <c r="S943">
        <f t="shared" si="73"/>
        <v>0.32192098308562844</v>
      </c>
      <c r="T943">
        <f t="shared" si="74"/>
        <v>0.10363311935081747</v>
      </c>
    </row>
    <row r="944" spans="1:20" hidden="1" x14ac:dyDescent="0.25">
      <c r="A944" t="str">
        <f t="shared" si="71"/>
        <v>BAR</v>
      </c>
      <c r="B944" t="s">
        <v>950</v>
      </c>
      <c r="C944">
        <v>1.987692367</v>
      </c>
      <c r="D944">
        <v>5.7610975000000002E-2</v>
      </c>
      <c r="E944">
        <v>0.74284585800000003</v>
      </c>
      <c r="F944">
        <v>0.40753634100000002</v>
      </c>
      <c r="G944">
        <v>0.81617443499999998</v>
      </c>
      <c r="H944">
        <v>1.1599999999999999</v>
      </c>
      <c r="I944">
        <v>1.06436036580254</v>
      </c>
      <c r="J944">
        <v>1.08628697778765</v>
      </c>
      <c r="K944">
        <v>1.19077959007886</v>
      </c>
      <c r="L944">
        <v>1.2098730276390699</v>
      </c>
      <c r="M944">
        <v>1.07532367179509</v>
      </c>
      <c r="N944">
        <v>1.07526778294739</v>
      </c>
      <c r="Q944">
        <f t="shared" si="70"/>
        <v>1.1599999999999999</v>
      </c>
      <c r="R944">
        <f t="shared" si="72"/>
        <v>0.97053889394783477</v>
      </c>
      <c r="S944">
        <f t="shared" si="73"/>
        <v>0.18946110605216515</v>
      </c>
      <c r="T944">
        <f t="shared" si="74"/>
        <v>3.5895510706509773E-2</v>
      </c>
    </row>
    <row r="945" spans="1:20" hidden="1" x14ac:dyDescent="0.25">
      <c r="A945" t="str">
        <f t="shared" si="71"/>
        <v>BAR</v>
      </c>
      <c r="B945" t="s">
        <v>951</v>
      </c>
      <c r="C945">
        <v>1.789023209</v>
      </c>
      <c r="D945">
        <v>5.9454774000000002E-2</v>
      </c>
      <c r="E945">
        <v>0.74229818199999997</v>
      </c>
      <c r="F945">
        <v>0.35995105399999999</v>
      </c>
      <c r="G945">
        <v>0.80782069000000001</v>
      </c>
      <c r="H945">
        <v>1.1399999999999999</v>
      </c>
      <c r="I945">
        <v>1.13390988683183</v>
      </c>
      <c r="J945">
        <v>1.1523000409381701</v>
      </c>
      <c r="K945">
        <v>1.3192030049281001</v>
      </c>
      <c r="L945">
        <v>1.2492085692250801</v>
      </c>
      <c r="M945">
        <v>1.1431049638849999</v>
      </c>
      <c r="N945">
        <v>1.14306798092524</v>
      </c>
      <c r="Q945">
        <f t="shared" si="70"/>
        <v>1.1399999999999999</v>
      </c>
      <c r="R945">
        <f t="shared" si="72"/>
        <v>1.0500643519426771</v>
      </c>
      <c r="S945">
        <f t="shared" si="73"/>
        <v>8.9935648057322792E-2</v>
      </c>
      <c r="T945">
        <f t="shared" si="74"/>
        <v>8.0884207914906289E-3</v>
      </c>
    </row>
    <row r="946" spans="1:20" hidden="1" x14ac:dyDescent="0.25">
      <c r="A946" t="str">
        <f t="shared" si="71"/>
        <v>BAR</v>
      </c>
      <c r="B946" t="s">
        <v>952</v>
      </c>
      <c r="C946">
        <v>1.15696515</v>
      </c>
      <c r="D946">
        <v>6.2091542E-2</v>
      </c>
      <c r="E946">
        <v>0.75506496199999995</v>
      </c>
      <c r="F946">
        <v>0.30181552900000003</v>
      </c>
      <c r="G946">
        <v>0.82287248700000004</v>
      </c>
      <c r="H946">
        <v>1.3</v>
      </c>
      <c r="I946">
        <v>1.7267723674261299</v>
      </c>
      <c r="J946">
        <v>1.6470630011143701</v>
      </c>
      <c r="K946">
        <v>0.80435470110722596</v>
      </c>
      <c r="L946">
        <v>1.6732856047615099</v>
      </c>
      <c r="M946">
        <v>1.68691768427025</v>
      </c>
      <c r="N946">
        <v>1.6864468203101599</v>
      </c>
      <c r="Q946">
        <f t="shared" si="70"/>
        <v>1.3</v>
      </c>
      <c r="R946">
        <f t="shared" si="72"/>
        <v>1.6449598439637765</v>
      </c>
      <c r="S946">
        <f t="shared" si="73"/>
        <v>-0.34495984396377644</v>
      </c>
      <c r="T946">
        <f t="shared" si="74"/>
        <v>0.11899729394751299</v>
      </c>
    </row>
    <row r="947" spans="1:20" hidden="1" x14ac:dyDescent="0.25">
      <c r="A947" t="str">
        <f t="shared" si="71"/>
        <v>BAR</v>
      </c>
      <c r="B947" t="s">
        <v>953</v>
      </c>
      <c r="C947">
        <v>1.6103694310000001</v>
      </c>
      <c r="D947">
        <v>6.5712748000000001E-2</v>
      </c>
      <c r="E947">
        <v>0.74693352599999996</v>
      </c>
      <c r="F947">
        <v>0.31066513000000001</v>
      </c>
      <c r="G947">
        <v>0.811926237</v>
      </c>
      <c r="H947">
        <v>0.96</v>
      </c>
      <c r="I947">
        <v>1.26207294346245</v>
      </c>
      <c r="J947">
        <v>1.3069441512902</v>
      </c>
      <c r="K947">
        <v>1.17620624275195</v>
      </c>
      <c r="L947">
        <v>1.09751999056412</v>
      </c>
      <c r="M947">
        <v>1.28450854737632</v>
      </c>
      <c r="N947">
        <v>1.28431259900378</v>
      </c>
      <c r="Q947">
        <f t="shared" si="70"/>
        <v>0.96</v>
      </c>
      <c r="R947">
        <f t="shared" si="72"/>
        <v>1.2130259390853113</v>
      </c>
      <c r="S947">
        <f t="shared" si="73"/>
        <v>-0.25302593908531135</v>
      </c>
      <c r="T947">
        <f t="shared" si="74"/>
        <v>6.4022125850003692E-2</v>
      </c>
    </row>
    <row r="948" spans="1:20" hidden="1" x14ac:dyDescent="0.25">
      <c r="A948" t="str">
        <f t="shared" si="71"/>
        <v>BAR</v>
      </c>
      <c r="B948" t="s">
        <v>954</v>
      </c>
      <c r="C948">
        <v>1.7022564739999999</v>
      </c>
      <c r="D948">
        <v>6.6624072000000006E-2</v>
      </c>
      <c r="E948">
        <v>0.72706483700000002</v>
      </c>
      <c r="F948">
        <v>0.335776827</v>
      </c>
      <c r="G948">
        <v>0.77924308499999995</v>
      </c>
      <c r="H948">
        <v>1.1100000000000001</v>
      </c>
      <c r="I948">
        <v>1.2193932183929901</v>
      </c>
      <c r="J948">
        <v>1.30764046321505</v>
      </c>
      <c r="K948">
        <v>1.3292216520062501</v>
      </c>
      <c r="L948">
        <v>1.2056329071690199</v>
      </c>
      <c r="M948">
        <v>1.26351684080402</v>
      </c>
      <c r="N948">
        <v>1.26274617914318</v>
      </c>
      <c r="Q948">
        <f t="shared" si="70"/>
        <v>1.1100000000000001</v>
      </c>
      <c r="R948">
        <f t="shared" si="72"/>
        <v>1.2086622030881995</v>
      </c>
      <c r="S948">
        <f t="shared" si="73"/>
        <v>-9.8662203088199396E-2</v>
      </c>
      <c r="T948">
        <f t="shared" si="74"/>
        <v>9.7342303182171019E-3</v>
      </c>
    </row>
    <row r="949" spans="1:20" hidden="1" x14ac:dyDescent="0.25">
      <c r="A949" t="str">
        <f t="shared" si="71"/>
        <v>BAR</v>
      </c>
      <c r="B949" t="s">
        <v>955</v>
      </c>
      <c r="C949">
        <v>1.8013567589999999</v>
      </c>
      <c r="D949">
        <v>6.2028711E-2</v>
      </c>
      <c r="E949">
        <v>0.74746828600000004</v>
      </c>
      <c r="F949">
        <v>0.43396968800000002</v>
      </c>
      <c r="G949">
        <v>0.82139554299999995</v>
      </c>
      <c r="H949">
        <v>1.32</v>
      </c>
      <c r="I949">
        <v>1.4564299766547399</v>
      </c>
      <c r="J949">
        <v>1.47837205838807</v>
      </c>
      <c r="K949">
        <v>1.6752753714914901</v>
      </c>
      <c r="L949">
        <v>1.69705443983862</v>
      </c>
      <c r="M949">
        <v>1.4674010175214101</v>
      </c>
      <c r="N949">
        <v>1.4673600043905899</v>
      </c>
      <c r="Q949">
        <f t="shared" si="70"/>
        <v>1.32</v>
      </c>
      <c r="R949">
        <f t="shared" si="72"/>
        <v>1.4193236803578508</v>
      </c>
      <c r="S949">
        <f t="shared" si="73"/>
        <v>-9.9323680357850774E-2</v>
      </c>
      <c r="T949">
        <f t="shared" si="74"/>
        <v>9.8651934798285115E-3</v>
      </c>
    </row>
    <row r="950" spans="1:20" hidden="1" x14ac:dyDescent="0.25">
      <c r="A950" t="str">
        <f t="shared" si="71"/>
        <v>BAR</v>
      </c>
      <c r="B950" t="s">
        <v>956</v>
      </c>
      <c r="C950">
        <v>1.91211741</v>
      </c>
      <c r="D950">
        <v>6.2823067999999996E-2</v>
      </c>
      <c r="E950">
        <v>0.73335734100000005</v>
      </c>
      <c r="F950">
        <v>0.35637372899999997</v>
      </c>
      <c r="G950">
        <v>0.79955797100000003</v>
      </c>
      <c r="H950">
        <v>1.1599999999999999</v>
      </c>
      <c r="I950">
        <v>1.0180142621277799</v>
      </c>
      <c r="J950">
        <v>1.0866280635585099</v>
      </c>
      <c r="K950">
        <v>1.0310414235960399</v>
      </c>
      <c r="L950">
        <v>0.96869850606777197</v>
      </c>
      <c r="M950">
        <v>1.0523211628431499</v>
      </c>
      <c r="N950">
        <v>1.0517617916291</v>
      </c>
      <c r="Q950">
        <f t="shared" si="70"/>
        <v>1.1599999999999999</v>
      </c>
      <c r="R950">
        <f t="shared" si="72"/>
        <v>0.95580769985968628</v>
      </c>
      <c r="S950">
        <f t="shared" si="73"/>
        <v>0.20419230014031364</v>
      </c>
      <c r="T950">
        <f t="shared" si="74"/>
        <v>4.1694495436591934E-2</v>
      </c>
    </row>
    <row r="951" spans="1:20" hidden="1" x14ac:dyDescent="0.25">
      <c r="A951" t="str">
        <f t="shared" si="71"/>
        <v>BAR</v>
      </c>
      <c r="B951" t="s">
        <v>957</v>
      </c>
      <c r="C951">
        <v>1.132341421</v>
      </c>
      <c r="D951">
        <v>6.5549214999999994E-2</v>
      </c>
      <c r="E951">
        <v>0.77111820200000003</v>
      </c>
      <c r="F951">
        <v>0.30553662399999998</v>
      </c>
      <c r="G951">
        <v>0.83151587400000004</v>
      </c>
      <c r="H951">
        <v>1.01</v>
      </c>
      <c r="I951">
        <v>1.8343047931946901</v>
      </c>
      <c r="J951">
        <v>1.7893400000369899</v>
      </c>
      <c r="K951">
        <v>1.8592623847763601</v>
      </c>
      <c r="L951">
        <v>1.94599947436558</v>
      </c>
      <c r="M951">
        <v>1.81182239661584</v>
      </c>
      <c r="N951">
        <v>1.81168290236533</v>
      </c>
      <c r="Q951">
        <f t="shared" si="70"/>
        <v>1.01</v>
      </c>
      <c r="R951">
        <f t="shared" si="72"/>
        <v>1.7953905042236615</v>
      </c>
      <c r="S951">
        <f t="shared" si="73"/>
        <v>-0.78539050422366152</v>
      </c>
      <c r="T951">
        <f t="shared" si="74"/>
        <v>0.61683824412469734</v>
      </c>
    </row>
    <row r="952" spans="1:20" hidden="1" x14ac:dyDescent="0.25">
      <c r="A952" t="str">
        <f t="shared" si="71"/>
        <v>BAR</v>
      </c>
      <c r="B952" t="s">
        <v>958</v>
      </c>
      <c r="C952">
        <v>1.7508917930000001</v>
      </c>
      <c r="D952">
        <v>6.6053838000000004E-2</v>
      </c>
      <c r="E952">
        <v>0.71473515399999998</v>
      </c>
      <c r="F952">
        <v>0.34858424100000002</v>
      </c>
      <c r="G952">
        <v>0.76640871099999996</v>
      </c>
      <c r="H952">
        <v>0.99</v>
      </c>
      <c r="I952">
        <v>1.1976706478546899</v>
      </c>
      <c r="J952">
        <v>1.2776573727481799</v>
      </c>
      <c r="K952">
        <v>1.34636070387841</v>
      </c>
      <c r="L952">
        <v>1.2529970102802599</v>
      </c>
      <c r="M952">
        <v>1.23766401030143</v>
      </c>
      <c r="N952">
        <v>1.2370176770586701</v>
      </c>
      <c r="Q952">
        <f t="shared" si="70"/>
        <v>0.99</v>
      </c>
      <c r="R952">
        <f t="shared" si="72"/>
        <v>1.1757348767917386</v>
      </c>
      <c r="S952">
        <f t="shared" si="73"/>
        <v>-0.18573487679173861</v>
      </c>
      <c r="T952">
        <f t="shared" si="74"/>
        <v>3.4497444456842323E-2</v>
      </c>
    </row>
    <row r="953" spans="1:20" hidden="1" x14ac:dyDescent="0.25">
      <c r="A953" t="str">
        <f t="shared" si="71"/>
        <v>BAR</v>
      </c>
      <c r="B953" t="s">
        <v>959</v>
      </c>
      <c r="C953">
        <v>1.80266221</v>
      </c>
      <c r="D953">
        <v>6.5546676999999998E-2</v>
      </c>
      <c r="E953">
        <v>0.75680519000000002</v>
      </c>
      <c r="F953">
        <v>0.32580478800000001</v>
      </c>
      <c r="G953">
        <v>0.81253647399999995</v>
      </c>
      <c r="H953">
        <v>1.21</v>
      </c>
      <c r="I953">
        <v>1.0655011119528099</v>
      </c>
      <c r="J953">
        <v>1.1772155739422001</v>
      </c>
      <c r="K953">
        <v>1.01317611197172</v>
      </c>
      <c r="L953">
        <v>0.90820601006362001</v>
      </c>
      <c r="M953">
        <v>1.12135834294751</v>
      </c>
      <c r="N953">
        <v>1.11996629549446</v>
      </c>
      <c r="Q953">
        <f t="shared" si="70"/>
        <v>1.21</v>
      </c>
      <c r="R953">
        <f t="shared" si="72"/>
        <v>1.0518516033068219</v>
      </c>
      <c r="S953">
        <f t="shared" si="73"/>
        <v>0.15814839669317804</v>
      </c>
      <c r="T953">
        <f t="shared" si="74"/>
        <v>2.5010915376622807E-2</v>
      </c>
    </row>
    <row r="954" spans="1:20" hidden="1" x14ac:dyDescent="0.25">
      <c r="A954" t="str">
        <f t="shared" si="71"/>
        <v>BAR</v>
      </c>
      <c r="B954" t="s">
        <v>960</v>
      </c>
      <c r="C954">
        <v>1.7588795399999999</v>
      </c>
      <c r="D954">
        <v>6.5799712999999996E-2</v>
      </c>
      <c r="E954">
        <v>0.74017089599999997</v>
      </c>
      <c r="F954">
        <v>0.35368639800000001</v>
      </c>
      <c r="G954">
        <v>0.79084706900000001</v>
      </c>
      <c r="H954">
        <v>1.21</v>
      </c>
      <c r="I954">
        <v>1.21572008039705</v>
      </c>
      <c r="J954">
        <v>1.3109626242363099</v>
      </c>
      <c r="K954">
        <v>1.33682363699444</v>
      </c>
      <c r="L954">
        <v>1.2453658288899401</v>
      </c>
      <c r="M954">
        <v>1.2633413523166801</v>
      </c>
      <c r="N954">
        <v>1.26244349851156</v>
      </c>
      <c r="Q954">
        <f t="shared" si="70"/>
        <v>1.21</v>
      </c>
      <c r="R954">
        <f t="shared" si="72"/>
        <v>1.2114354834174783</v>
      </c>
      <c r="S954">
        <f t="shared" si="73"/>
        <v>-1.4354834174783448E-3</v>
      </c>
      <c r="T954">
        <f t="shared" si="74"/>
        <v>2.0606126418553083E-6</v>
      </c>
    </row>
    <row r="955" spans="1:20" hidden="1" x14ac:dyDescent="0.25">
      <c r="A955" t="str">
        <f t="shared" si="71"/>
        <v>BAR</v>
      </c>
      <c r="B955" t="s">
        <v>961</v>
      </c>
      <c r="C955">
        <v>1.7101286389999999</v>
      </c>
      <c r="D955">
        <v>6.5784652999999998E-2</v>
      </c>
      <c r="E955">
        <v>0.689259964</v>
      </c>
      <c r="F955">
        <v>0.37533602500000002</v>
      </c>
      <c r="G955">
        <v>0.73831869100000003</v>
      </c>
      <c r="H955">
        <v>0.8</v>
      </c>
      <c r="I955">
        <v>1.3660474547981001</v>
      </c>
      <c r="J955">
        <v>1.3810992461102201</v>
      </c>
      <c r="K955">
        <v>1.8021935449884201</v>
      </c>
      <c r="L955">
        <v>1.8022442769729301</v>
      </c>
      <c r="M955">
        <v>1.3735733504541601</v>
      </c>
      <c r="N955">
        <v>1.3735527328692001</v>
      </c>
      <c r="Q955">
        <f t="shared" si="70"/>
        <v>0.8</v>
      </c>
      <c r="R955">
        <f t="shared" si="72"/>
        <v>1.3033839482939333</v>
      </c>
      <c r="S955">
        <f t="shared" si="73"/>
        <v>-0.50338394829393329</v>
      </c>
      <c r="T955">
        <f t="shared" si="74"/>
        <v>0.25339539939998929</v>
      </c>
    </row>
    <row r="956" spans="1:20" hidden="1" x14ac:dyDescent="0.25">
      <c r="A956" t="str">
        <f t="shared" si="71"/>
        <v>BAR</v>
      </c>
      <c r="B956" t="s">
        <v>962</v>
      </c>
      <c r="C956">
        <v>1.8170882230000001</v>
      </c>
      <c r="D956">
        <v>6.2150509E-2</v>
      </c>
      <c r="E956">
        <v>0.71670466300000002</v>
      </c>
      <c r="F956">
        <v>0.507723378</v>
      </c>
      <c r="G956">
        <v>0.78440755299999998</v>
      </c>
      <c r="H956">
        <v>1.31</v>
      </c>
      <c r="I956">
        <v>1.74575797083277</v>
      </c>
      <c r="J956">
        <v>1.70348843158561</v>
      </c>
      <c r="K956">
        <v>2.24312938670524</v>
      </c>
      <c r="L956">
        <v>2.3425887933416898</v>
      </c>
      <c r="M956">
        <v>1.72462320120919</v>
      </c>
      <c r="N956">
        <v>1.72449369603428</v>
      </c>
      <c r="Q956">
        <f t="shared" si="70"/>
        <v>1.31</v>
      </c>
      <c r="R956">
        <f t="shared" si="72"/>
        <v>1.6852611333761112</v>
      </c>
      <c r="S956">
        <f t="shared" si="73"/>
        <v>-0.37526113337611111</v>
      </c>
      <c r="T956">
        <f t="shared" si="74"/>
        <v>0.14082091822272344</v>
      </c>
    </row>
    <row r="957" spans="1:20" hidden="1" x14ac:dyDescent="0.25">
      <c r="A957" t="str">
        <f t="shared" si="71"/>
        <v>BAR</v>
      </c>
      <c r="B957" t="s">
        <v>963</v>
      </c>
      <c r="C957">
        <v>1.6992514540000001</v>
      </c>
      <c r="D957">
        <v>6.0307520000000003E-2</v>
      </c>
      <c r="E957">
        <v>0.72755580099999995</v>
      </c>
      <c r="F957">
        <v>0.40979715999999999</v>
      </c>
      <c r="G957">
        <v>0.79408721999999998</v>
      </c>
      <c r="H957">
        <v>1.23</v>
      </c>
      <c r="I957">
        <v>1.45204500994334</v>
      </c>
      <c r="J957">
        <v>1.4298294992173699</v>
      </c>
      <c r="K957">
        <v>1.9000926170230401</v>
      </c>
      <c r="L957">
        <v>1.93641359084308</v>
      </c>
      <c r="M957">
        <v>1.44093725458036</v>
      </c>
      <c r="N957">
        <v>1.4408944407583699</v>
      </c>
      <c r="Q957">
        <f t="shared" si="70"/>
        <v>1.23</v>
      </c>
      <c r="R957">
        <f t="shared" si="72"/>
        <v>1.3769653187620445</v>
      </c>
      <c r="S957">
        <f t="shared" si="73"/>
        <v>-0.14696531876204455</v>
      </c>
      <c r="T957">
        <f t="shared" si="74"/>
        <v>2.1598804918829363E-2</v>
      </c>
    </row>
    <row r="958" spans="1:20" hidden="1" x14ac:dyDescent="0.25">
      <c r="A958" t="str">
        <f t="shared" si="71"/>
        <v>BAR</v>
      </c>
      <c r="B958" t="s">
        <v>964</v>
      </c>
      <c r="C958">
        <v>1.681741989</v>
      </c>
      <c r="D958">
        <v>6.3659250000000001E-2</v>
      </c>
      <c r="E958">
        <v>0.69408869399999995</v>
      </c>
      <c r="F958">
        <v>0.41679714800000001</v>
      </c>
      <c r="G958">
        <v>0.75456187200000002</v>
      </c>
      <c r="H958">
        <v>1.1399999999999999</v>
      </c>
      <c r="I958">
        <v>1.5675838832757001</v>
      </c>
      <c r="J958">
        <v>1.5161094846556</v>
      </c>
      <c r="K958">
        <v>1.9911245974115299</v>
      </c>
      <c r="L958">
        <v>2.06202943055747</v>
      </c>
      <c r="M958">
        <v>1.5418466839656499</v>
      </c>
      <c r="N958">
        <v>1.5416318605385499</v>
      </c>
      <c r="Q958">
        <f t="shared" si="70"/>
        <v>1.1399999999999999</v>
      </c>
      <c r="R958">
        <f t="shared" si="72"/>
        <v>1.4702176181572182</v>
      </c>
      <c r="S958">
        <f t="shared" si="73"/>
        <v>-0.33021761815721828</v>
      </c>
      <c r="T958">
        <f t="shared" si="74"/>
        <v>0.10904367534142642</v>
      </c>
    </row>
    <row r="959" spans="1:20" hidden="1" x14ac:dyDescent="0.25">
      <c r="A959" t="str">
        <f t="shared" si="71"/>
        <v>BAR</v>
      </c>
      <c r="B959" t="s">
        <v>965</v>
      </c>
      <c r="C959">
        <v>1.9214655949999999</v>
      </c>
      <c r="D959">
        <v>6.2545320000000001E-2</v>
      </c>
      <c r="E959">
        <v>0.72346519099999995</v>
      </c>
      <c r="F959">
        <v>0.50437975999999995</v>
      </c>
      <c r="G959">
        <v>0.78445572699999999</v>
      </c>
      <c r="H959">
        <v>1.1100000000000001</v>
      </c>
      <c r="I959">
        <v>1.60703962629942</v>
      </c>
      <c r="J959">
        <v>1.6034867756611899</v>
      </c>
      <c r="K959">
        <v>1.9416297186154401</v>
      </c>
      <c r="L959">
        <v>2.0415483717969201</v>
      </c>
      <c r="M959">
        <v>1.6052632009803001</v>
      </c>
      <c r="N959">
        <v>1.60526221806115</v>
      </c>
      <c r="Q959">
        <f t="shared" si="70"/>
        <v>1.1100000000000001</v>
      </c>
      <c r="R959">
        <f t="shared" si="72"/>
        <v>1.5611407055079884</v>
      </c>
      <c r="S959">
        <f t="shared" si="73"/>
        <v>-0.45114070550798835</v>
      </c>
      <c r="T959">
        <f t="shared" si="74"/>
        <v>0.20352793616624548</v>
      </c>
    </row>
    <row r="960" spans="1:20" hidden="1" x14ac:dyDescent="0.25">
      <c r="A960" t="str">
        <f t="shared" si="71"/>
        <v>BAR</v>
      </c>
      <c r="B960" t="s">
        <v>966</v>
      </c>
      <c r="C960">
        <v>1.8816460779999999</v>
      </c>
      <c r="D960">
        <v>5.8964423000000002E-2</v>
      </c>
      <c r="E960">
        <v>0.73000039900000002</v>
      </c>
      <c r="F960">
        <v>0.51060294100000003</v>
      </c>
      <c r="G960">
        <v>0.80126980999999997</v>
      </c>
      <c r="H960">
        <v>1.36</v>
      </c>
      <c r="I960">
        <v>1.6081171704646999</v>
      </c>
      <c r="J960">
        <v>1.5890349462509501</v>
      </c>
      <c r="K960">
        <v>2.1235458142507802</v>
      </c>
      <c r="L960">
        <v>2.2010543667074201</v>
      </c>
      <c r="M960">
        <v>1.5985760583578299</v>
      </c>
      <c r="N960">
        <v>1.5985475850079101</v>
      </c>
      <c r="Q960">
        <f t="shared" si="70"/>
        <v>1.36</v>
      </c>
      <c r="R960">
        <f t="shared" si="72"/>
        <v>1.5589788036682473</v>
      </c>
      <c r="S960">
        <f t="shared" si="73"/>
        <v>-0.19897880366824716</v>
      </c>
      <c r="T960">
        <f t="shared" si="74"/>
        <v>3.9592564309246847E-2</v>
      </c>
    </row>
    <row r="961" spans="1:20" hidden="1" x14ac:dyDescent="0.25">
      <c r="A961" t="str">
        <f t="shared" si="71"/>
        <v>BAR</v>
      </c>
      <c r="B961" t="s">
        <v>967</v>
      </c>
      <c r="C961">
        <v>1.895854433</v>
      </c>
      <c r="D961">
        <v>5.8746342E-2</v>
      </c>
      <c r="E961">
        <v>0.740888616</v>
      </c>
      <c r="F961">
        <v>0.49634320199999998</v>
      </c>
      <c r="G961">
        <v>0.80714656600000001</v>
      </c>
      <c r="H961">
        <v>1.35</v>
      </c>
      <c r="I961">
        <v>1.5242759609263901</v>
      </c>
      <c r="J961">
        <v>1.5284687350475501</v>
      </c>
      <c r="K961">
        <v>2.0654668492705199</v>
      </c>
      <c r="L961">
        <v>2.1827656653254701</v>
      </c>
      <c r="M961">
        <v>1.52637234798697</v>
      </c>
      <c r="N961">
        <v>1.5263709083510999</v>
      </c>
      <c r="Q961">
        <f t="shared" ref="Q961:Q1024" si="75">H961</f>
        <v>1.35</v>
      </c>
      <c r="R961">
        <f t="shared" si="72"/>
        <v>1.486959041196533</v>
      </c>
      <c r="S961">
        <f t="shared" si="73"/>
        <v>-0.1369590411965329</v>
      </c>
      <c r="T961">
        <f t="shared" si="74"/>
        <v>1.8757778965473596E-2</v>
      </c>
    </row>
    <row r="962" spans="1:20" hidden="1" x14ac:dyDescent="0.25">
      <c r="A962" t="str">
        <f t="shared" si="71"/>
        <v>BAR</v>
      </c>
      <c r="B962" t="s">
        <v>968</v>
      </c>
      <c r="C962">
        <v>2.1059620670000001</v>
      </c>
      <c r="D962">
        <v>6.0193364999999999E-2</v>
      </c>
      <c r="E962">
        <v>0.73709647899999997</v>
      </c>
      <c r="F962">
        <v>0.48850911400000002</v>
      </c>
      <c r="G962">
        <v>0.81705357000000001</v>
      </c>
      <c r="H962">
        <v>1.27</v>
      </c>
      <c r="I962">
        <v>1.2773265582142901</v>
      </c>
      <c r="J962">
        <v>1.31943734166281</v>
      </c>
      <c r="K962">
        <v>1.4918994413973901</v>
      </c>
      <c r="L962">
        <v>1.6526590844564999</v>
      </c>
      <c r="M962">
        <v>1.2983819499385501</v>
      </c>
      <c r="N962">
        <v>1.29821121486666</v>
      </c>
      <c r="Q962">
        <f t="shared" si="75"/>
        <v>1.27</v>
      </c>
      <c r="R962">
        <f t="shared" si="72"/>
        <v>1.2282352281429723</v>
      </c>
      <c r="S962">
        <f t="shared" si="73"/>
        <v>4.176477185702776E-2</v>
      </c>
      <c r="T962">
        <f t="shared" si="74"/>
        <v>1.744296168269578E-3</v>
      </c>
    </row>
    <row r="963" spans="1:20" hidden="1" x14ac:dyDescent="0.25">
      <c r="A963" t="str">
        <f t="shared" ref="A963:A1026" si="76">LEFT(B963,3)</f>
        <v>BAR</v>
      </c>
      <c r="B963" t="s">
        <v>969</v>
      </c>
      <c r="C963">
        <v>1.9077062849999999</v>
      </c>
      <c r="D963">
        <v>5.8215101999999998E-2</v>
      </c>
      <c r="E963">
        <v>0.72599685700000005</v>
      </c>
      <c r="F963">
        <v>0.475621513</v>
      </c>
      <c r="G963">
        <v>0.79345361599999997</v>
      </c>
      <c r="H963">
        <v>1.28</v>
      </c>
      <c r="I963">
        <v>1.4311639149623401</v>
      </c>
      <c r="J963">
        <v>1.4132985053248199</v>
      </c>
      <c r="K963">
        <v>1.81776591029741</v>
      </c>
      <c r="L963">
        <v>1.9100864895682099</v>
      </c>
      <c r="M963">
        <v>1.4222312101435799</v>
      </c>
      <c r="N963">
        <v>1.4222031577419201</v>
      </c>
      <c r="Q963">
        <f t="shared" si="75"/>
        <v>1.28</v>
      </c>
      <c r="R963">
        <f t="shared" ref="R963:R1026" si="77">$X$2*F963+$X$3*D963*E963+($X$4/(D963-$X$5))-$X$6*C963</f>
        <v>1.3559723483525401</v>
      </c>
      <c r="S963">
        <f t="shared" ref="S963:S1026" si="78">Q963-R963</f>
        <v>-7.5972348352540076E-2</v>
      </c>
      <c r="T963">
        <f t="shared" ref="T963:T1026" si="79">S963^2</f>
        <v>5.7717977141996989E-3</v>
      </c>
    </row>
    <row r="964" spans="1:20" hidden="1" x14ac:dyDescent="0.25">
      <c r="A964" t="str">
        <f t="shared" si="76"/>
        <v>BAR</v>
      </c>
      <c r="B964" t="s">
        <v>970</v>
      </c>
      <c r="C964">
        <v>1.8000926639999999</v>
      </c>
      <c r="D964">
        <v>6.1221584000000003E-2</v>
      </c>
      <c r="E964">
        <v>0.72140903300000003</v>
      </c>
      <c r="F964">
        <v>0.49993194299999999</v>
      </c>
      <c r="G964">
        <v>0.78591054599999999</v>
      </c>
      <c r="H964">
        <v>1.33</v>
      </c>
      <c r="I964">
        <v>1.7165250730968999</v>
      </c>
      <c r="J964">
        <v>1.67497633025948</v>
      </c>
      <c r="K964">
        <v>2.1541340891600198</v>
      </c>
      <c r="L964">
        <v>2.2213505447050501</v>
      </c>
      <c r="M964">
        <v>1.6957507016781901</v>
      </c>
      <c r="N964">
        <v>1.69562344514761</v>
      </c>
      <c r="Q964">
        <f t="shared" si="75"/>
        <v>1.33</v>
      </c>
      <c r="R964">
        <f t="shared" si="77"/>
        <v>1.6557228411694318</v>
      </c>
      <c r="S964">
        <f t="shared" si="78"/>
        <v>-0.32572284116943173</v>
      </c>
      <c r="T964">
        <f t="shared" si="79"/>
        <v>0.10609536925948686</v>
      </c>
    </row>
    <row r="965" spans="1:20" hidden="1" x14ac:dyDescent="0.25">
      <c r="A965" t="str">
        <f t="shared" si="76"/>
        <v>BAR</v>
      </c>
      <c r="B965" t="s">
        <v>971</v>
      </c>
      <c r="C965">
        <v>1.9259592910000001</v>
      </c>
      <c r="D965">
        <v>6.4963646999999999E-2</v>
      </c>
      <c r="E965">
        <v>0.72746503399999995</v>
      </c>
      <c r="F965">
        <v>0.52737305999999995</v>
      </c>
      <c r="G965">
        <v>0.79797293800000002</v>
      </c>
      <c r="H965">
        <v>1.75</v>
      </c>
      <c r="I965">
        <v>1.72679990388821</v>
      </c>
      <c r="J965">
        <v>1.7465850412838799</v>
      </c>
      <c r="K965">
        <v>2.06808319046706</v>
      </c>
      <c r="L965">
        <v>2.15738405725028</v>
      </c>
      <c r="M965">
        <v>1.73669247258604</v>
      </c>
      <c r="N965">
        <v>1.73666429727267</v>
      </c>
      <c r="Q965">
        <f t="shared" si="75"/>
        <v>1.75</v>
      </c>
      <c r="R965">
        <f t="shared" si="77"/>
        <v>1.7175053667178477</v>
      </c>
      <c r="S965">
        <f t="shared" si="78"/>
        <v>3.2494633282152297E-2</v>
      </c>
      <c r="T965">
        <f t="shared" si="79"/>
        <v>1.0559011921415598E-3</v>
      </c>
    </row>
    <row r="966" spans="1:20" hidden="1" x14ac:dyDescent="0.25">
      <c r="A966" t="str">
        <f t="shared" si="76"/>
        <v>BAR</v>
      </c>
      <c r="B966" t="s">
        <v>972</v>
      </c>
      <c r="C966">
        <v>1.967494292</v>
      </c>
      <c r="D966">
        <v>6.3898798000000007E-2</v>
      </c>
      <c r="E966">
        <v>0.72790049999999995</v>
      </c>
      <c r="F966">
        <v>0.53941289699999995</v>
      </c>
      <c r="G966">
        <v>0.79784053600000004</v>
      </c>
      <c r="H966">
        <v>1.53</v>
      </c>
      <c r="I966">
        <v>1.7053445917955301</v>
      </c>
      <c r="J966">
        <v>1.7236207622184501</v>
      </c>
      <c r="K966">
        <v>2.0806544572160601</v>
      </c>
      <c r="L966">
        <v>2.1478142611357698</v>
      </c>
      <c r="M966">
        <v>1.7144826770069901</v>
      </c>
      <c r="N966">
        <v>1.71445832412332</v>
      </c>
      <c r="Q966">
        <f t="shared" si="75"/>
        <v>1.53</v>
      </c>
      <c r="R966">
        <f t="shared" si="77"/>
        <v>1.6930991727163507</v>
      </c>
      <c r="S966">
        <f t="shared" si="78"/>
        <v>-0.16309917271635066</v>
      </c>
      <c r="T966">
        <f t="shared" si="79"/>
        <v>2.6601340140757983E-2</v>
      </c>
    </row>
    <row r="967" spans="1:20" hidden="1" x14ac:dyDescent="0.25">
      <c r="A967" t="str">
        <f t="shared" si="76"/>
        <v>BAR</v>
      </c>
      <c r="B967" t="s">
        <v>973</v>
      </c>
      <c r="C967">
        <v>1.8249687160000001</v>
      </c>
      <c r="D967">
        <v>6.0581688000000002E-2</v>
      </c>
      <c r="E967">
        <v>0.70680672899999997</v>
      </c>
      <c r="F967">
        <v>0.46498780099999998</v>
      </c>
      <c r="G967">
        <v>0.77516486699999998</v>
      </c>
      <c r="H967">
        <v>1.35</v>
      </c>
      <c r="I967">
        <v>1.54051555700275</v>
      </c>
      <c r="J967">
        <v>1.4915418014825099</v>
      </c>
      <c r="K967">
        <v>1.97102221641002</v>
      </c>
      <c r="L967">
        <v>2.0152071547634098</v>
      </c>
      <c r="M967">
        <v>1.5160286792426301</v>
      </c>
      <c r="N967">
        <v>1.51583091045925</v>
      </c>
      <c r="Q967">
        <f t="shared" si="75"/>
        <v>1.35</v>
      </c>
      <c r="R967">
        <f t="shared" si="77"/>
        <v>1.4449787756615584</v>
      </c>
      <c r="S967">
        <f t="shared" si="78"/>
        <v>-9.4978775661558323E-2</v>
      </c>
      <c r="T967">
        <f t="shared" si="79"/>
        <v>9.0209678261686244E-3</v>
      </c>
    </row>
    <row r="968" spans="1:20" hidden="1" x14ac:dyDescent="0.25">
      <c r="A968" t="str">
        <f t="shared" si="76"/>
        <v>BAR</v>
      </c>
      <c r="B968" t="s">
        <v>974</v>
      </c>
      <c r="C968">
        <v>1.832388415</v>
      </c>
      <c r="D968">
        <v>6.1912516000000001E-2</v>
      </c>
      <c r="E968">
        <v>0.69707740399999996</v>
      </c>
      <c r="F968">
        <v>0.49498520200000001</v>
      </c>
      <c r="G968">
        <v>0.76992249499999998</v>
      </c>
      <c r="H968">
        <v>1.08</v>
      </c>
      <c r="I968">
        <v>1.6875166213070301</v>
      </c>
      <c r="J968">
        <v>1.6148303978785601</v>
      </c>
      <c r="K968">
        <v>2.2070011642984699</v>
      </c>
      <c r="L968">
        <v>2.4053832334749701</v>
      </c>
      <c r="M968">
        <v>1.6511735095928</v>
      </c>
      <c r="N968">
        <v>1.65077349658029</v>
      </c>
      <c r="Q968">
        <f t="shared" si="75"/>
        <v>1.08</v>
      </c>
      <c r="R968">
        <f t="shared" si="77"/>
        <v>1.5848169679135724</v>
      </c>
      <c r="S968">
        <f t="shared" si="78"/>
        <v>-0.50481696791357233</v>
      </c>
      <c r="T968">
        <f t="shared" si="79"/>
        <v>0.25484017109345269</v>
      </c>
    </row>
    <row r="969" spans="1:20" hidden="1" x14ac:dyDescent="0.25">
      <c r="A969" t="str">
        <f t="shared" si="76"/>
        <v>BAR</v>
      </c>
      <c r="B969" t="s">
        <v>975</v>
      </c>
      <c r="C969">
        <v>1.868312263</v>
      </c>
      <c r="D969">
        <v>5.9829906000000002E-2</v>
      </c>
      <c r="E969">
        <v>0.72405140700000004</v>
      </c>
      <c r="F969">
        <v>0.52429504400000004</v>
      </c>
      <c r="G969">
        <v>0.79499595999999995</v>
      </c>
      <c r="H969">
        <v>1.21</v>
      </c>
      <c r="I969">
        <v>1.69951575853007</v>
      </c>
      <c r="J969">
        <v>1.6665448610269999</v>
      </c>
      <c r="K969">
        <v>2.1692470425652299</v>
      </c>
      <c r="L969">
        <v>2.11906733720804</v>
      </c>
      <c r="M969">
        <v>1.68303030977853</v>
      </c>
      <c r="N969">
        <v>1.6829495695393499</v>
      </c>
      <c r="Q969">
        <f t="shared" si="75"/>
        <v>1.21</v>
      </c>
      <c r="R969">
        <f t="shared" si="77"/>
        <v>1.6476372459312913</v>
      </c>
      <c r="S969">
        <f t="shared" si="78"/>
        <v>-0.43763724593129139</v>
      </c>
      <c r="T969">
        <f t="shared" si="79"/>
        <v>0.19152635902632562</v>
      </c>
    </row>
    <row r="970" spans="1:20" hidden="1" x14ac:dyDescent="0.25">
      <c r="A970" t="str">
        <f t="shared" si="76"/>
        <v>BAR</v>
      </c>
      <c r="B970" t="s">
        <v>976</v>
      </c>
      <c r="C970">
        <v>1.6307983639999999</v>
      </c>
      <c r="D970">
        <v>7.0093285000000005E-2</v>
      </c>
      <c r="E970">
        <v>0.70490988399999999</v>
      </c>
      <c r="F970">
        <v>0.327774332</v>
      </c>
      <c r="G970">
        <v>0.74438930400000003</v>
      </c>
      <c r="H970">
        <v>1.49</v>
      </c>
      <c r="I970">
        <v>1.2954542433995999</v>
      </c>
      <c r="J970">
        <v>1.4126944425219301</v>
      </c>
      <c r="K970">
        <v>1.4104808074897399</v>
      </c>
      <c r="L970">
        <v>1.2962075718463999</v>
      </c>
      <c r="M970">
        <v>1.35407434296076</v>
      </c>
      <c r="N970">
        <v>1.35280486774408</v>
      </c>
      <c r="Q970">
        <f t="shared" si="75"/>
        <v>1.49</v>
      </c>
      <c r="R970">
        <f t="shared" si="77"/>
        <v>1.3225776842699033</v>
      </c>
      <c r="S970">
        <f t="shared" si="78"/>
        <v>0.16742231573009669</v>
      </c>
      <c r="T970">
        <f t="shared" si="79"/>
        <v>2.8030231804428183E-2</v>
      </c>
    </row>
    <row r="971" spans="1:20" hidden="1" x14ac:dyDescent="0.25">
      <c r="A971" t="str">
        <f t="shared" si="76"/>
        <v>BAR</v>
      </c>
      <c r="B971" t="s">
        <v>977</v>
      </c>
      <c r="C971">
        <v>1.540912311</v>
      </c>
      <c r="D971">
        <v>6.4878980000000003E-2</v>
      </c>
      <c r="E971">
        <v>0.68361042100000002</v>
      </c>
      <c r="F971">
        <v>0.314646655</v>
      </c>
      <c r="G971">
        <v>0.721823675</v>
      </c>
      <c r="H971">
        <v>1.27</v>
      </c>
      <c r="I971">
        <v>1.26062134643283</v>
      </c>
      <c r="J971">
        <v>1.29922111797078</v>
      </c>
      <c r="K971">
        <v>1.45290685142592</v>
      </c>
      <c r="L971">
        <v>1.3047501565330399</v>
      </c>
      <c r="M971">
        <v>1.2799212322018101</v>
      </c>
      <c r="N971">
        <v>1.2797757127912299</v>
      </c>
      <c r="Q971">
        <f t="shared" si="75"/>
        <v>1.27</v>
      </c>
      <c r="R971">
        <f t="shared" si="77"/>
        <v>1.2203093178578979</v>
      </c>
      <c r="S971">
        <f t="shared" si="78"/>
        <v>4.9690682142102149E-2</v>
      </c>
      <c r="T971">
        <f t="shared" si="79"/>
        <v>2.4691638917474293E-3</v>
      </c>
    </row>
    <row r="972" spans="1:20" hidden="1" x14ac:dyDescent="0.25">
      <c r="A972" t="str">
        <f t="shared" si="76"/>
        <v>BAR</v>
      </c>
      <c r="B972" t="s">
        <v>978</v>
      </c>
      <c r="C972">
        <v>0.78141629700000004</v>
      </c>
      <c r="D972">
        <v>7.4141275000000006E-2</v>
      </c>
      <c r="E972">
        <v>0.70455925200000002</v>
      </c>
      <c r="F972">
        <v>0.30078122000000002</v>
      </c>
      <c r="G972">
        <v>0.74998264400000003</v>
      </c>
      <c r="H972">
        <v>0.97</v>
      </c>
      <c r="I972">
        <v>2.38577317701907</v>
      </c>
      <c r="J972">
        <v>2.2717819575462399</v>
      </c>
      <c r="K972">
        <v>0.12948704343012499</v>
      </c>
      <c r="L972">
        <v>2.5112517407162298</v>
      </c>
      <c r="M972">
        <v>2.3287775672826601</v>
      </c>
      <c r="N972">
        <v>2.3280799939756598</v>
      </c>
      <c r="Q972">
        <f t="shared" si="75"/>
        <v>0.97</v>
      </c>
      <c r="R972">
        <f t="shared" si="77"/>
        <v>2.3451760850859888</v>
      </c>
      <c r="S972">
        <f t="shared" si="78"/>
        <v>-1.3751760850859889</v>
      </c>
      <c r="T972">
        <f t="shared" si="79"/>
        <v>1.8911092649924268</v>
      </c>
    </row>
    <row r="973" spans="1:20" hidden="1" x14ac:dyDescent="0.25">
      <c r="A973" t="str">
        <f t="shared" si="76"/>
        <v>BAR</v>
      </c>
      <c r="B973" t="s">
        <v>979</v>
      </c>
      <c r="C973">
        <v>0.62142167400000003</v>
      </c>
      <c r="D973">
        <v>6.6244537000000006E-2</v>
      </c>
      <c r="E973">
        <v>0.67686992700000004</v>
      </c>
      <c r="F973">
        <v>0.30146185800000003</v>
      </c>
      <c r="G973">
        <v>0.72101517199999998</v>
      </c>
      <c r="H973">
        <v>1</v>
      </c>
      <c r="I973">
        <v>2.4511148234520799</v>
      </c>
      <c r="J973">
        <v>2.1955596455309698</v>
      </c>
      <c r="K973">
        <v>1.9034080742927599</v>
      </c>
      <c r="L973">
        <v>2.8491550634484</v>
      </c>
      <c r="M973">
        <v>2.32333723449152</v>
      </c>
      <c r="N973">
        <v>2.3198208536294702</v>
      </c>
      <c r="Q973">
        <f t="shared" si="75"/>
        <v>1</v>
      </c>
      <c r="R973">
        <f t="shared" si="77"/>
        <v>2.3047689609079995</v>
      </c>
      <c r="S973">
        <f t="shared" si="78"/>
        <v>-1.3047689609079995</v>
      </c>
      <c r="T973">
        <f t="shared" si="79"/>
        <v>1.7024220413489408</v>
      </c>
    </row>
    <row r="974" spans="1:20" hidden="1" x14ac:dyDescent="0.25">
      <c r="A974" t="str">
        <f t="shared" si="76"/>
        <v>BAR</v>
      </c>
      <c r="B974" t="s">
        <v>980</v>
      </c>
      <c r="C974">
        <v>1.8030200670000001</v>
      </c>
      <c r="D974">
        <v>6.7186823000000007E-2</v>
      </c>
      <c r="E974">
        <v>0.68036260699999995</v>
      </c>
      <c r="F974">
        <v>0.325889188</v>
      </c>
      <c r="G974">
        <v>0.70303168100000002</v>
      </c>
      <c r="H974">
        <v>1.08</v>
      </c>
      <c r="I974">
        <v>0.96807409681777601</v>
      </c>
      <c r="J974">
        <v>1.13072586548292</v>
      </c>
      <c r="K974">
        <v>1.0893420222894199</v>
      </c>
      <c r="L974">
        <v>0.97458505302069398</v>
      </c>
      <c r="M974">
        <v>1.04939998115035</v>
      </c>
      <c r="N974">
        <v>1.04624395863292</v>
      </c>
      <c r="Q974">
        <f t="shared" si="75"/>
        <v>1.08</v>
      </c>
      <c r="R974">
        <f t="shared" si="77"/>
        <v>1.0022885293036885</v>
      </c>
      <c r="S974">
        <f t="shared" si="78"/>
        <v>7.7711470696311569E-2</v>
      </c>
      <c r="T974">
        <f t="shared" si="79"/>
        <v>6.0390726777836915E-3</v>
      </c>
    </row>
    <row r="975" spans="1:20" hidden="1" x14ac:dyDescent="0.25">
      <c r="A975" t="str">
        <f t="shared" si="76"/>
        <v>BAR</v>
      </c>
      <c r="B975" t="s">
        <v>981</v>
      </c>
      <c r="C975">
        <v>0.972263345</v>
      </c>
      <c r="D975">
        <v>7.0854763000000001E-2</v>
      </c>
      <c r="E975">
        <v>0.62562411900000003</v>
      </c>
      <c r="F975">
        <v>0.30118207699999999</v>
      </c>
      <c r="G975">
        <v>0.64043818399999997</v>
      </c>
      <c r="H975">
        <v>0.8</v>
      </c>
      <c r="I975">
        <v>2.02972360827544</v>
      </c>
      <c r="J975">
        <v>1.8967320440761899</v>
      </c>
      <c r="K975">
        <v>1.2536037421236901</v>
      </c>
      <c r="L975">
        <v>2.3088665315892798</v>
      </c>
      <c r="M975">
        <v>1.96322782617581</v>
      </c>
      <c r="N975">
        <v>1.9621013756771</v>
      </c>
      <c r="Q975">
        <f t="shared" si="75"/>
        <v>0.8</v>
      </c>
      <c r="R975">
        <f t="shared" si="77"/>
        <v>1.9276927195933629</v>
      </c>
      <c r="S975">
        <f t="shared" si="78"/>
        <v>-1.1276927195933628</v>
      </c>
      <c r="T975">
        <f t="shared" si="79"/>
        <v>1.2716908698238749</v>
      </c>
    </row>
    <row r="976" spans="1:20" hidden="1" x14ac:dyDescent="0.25">
      <c r="A976" t="str">
        <f t="shared" si="76"/>
        <v>BAR</v>
      </c>
      <c r="B976" t="s">
        <v>982</v>
      </c>
      <c r="C976">
        <v>1.8183495700000001</v>
      </c>
      <c r="D976">
        <v>7.2221267000000006E-2</v>
      </c>
      <c r="E976">
        <v>0.69487835399999998</v>
      </c>
      <c r="F976">
        <v>0.30753297099999999</v>
      </c>
      <c r="G976">
        <v>0.73389913799999995</v>
      </c>
      <c r="H976">
        <v>0.59</v>
      </c>
      <c r="I976">
        <v>0.95935908871079001</v>
      </c>
      <c r="J976">
        <v>1.1948790139188801</v>
      </c>
      <c r="K976">
        <v>0.74140477464734</v>
      </c>
      <c r="L976">
        <v>0.80561542156422306</v>
      </c>
      <c r="M976">
        <v>1.0771190513148301</v>
      </c>
      <c r="N976">
        <v>1.0706624313540001</v>
      </c>
      <c r="Q976">
        <f t="shared" si="75"/>
        <v>0.59</v>
      </c>
      <c r="R976">
        <f t="shared" si="77"/>
        <v>1.051143915960508</v>
      </c>
      <c r="S976">
        <f t="shared" si="78"/>
        <v>-0.46114391596050808</v>
      </c>
      <c r="T976">
        <f t="shared" si="79"/>
        <v>0.21265371122739213</v>
      </c>
    </row>
    <row r="977" spans="1:20" hidden="1" x14ac:dyDescent="0.25">
      <c r="A977" t="str">
        <f t="shared" si="76"/>
        <v>BAR</v>
      </c>
      <c r="B977" t="s">
        <v>983</v>
      </c>
      <c r="C977">
        <v>1.7214856089999999</v>
      </c>
      <c r="D977">
        <v>6.7575685999999996E-2</v>
      </c>
      <c r="E977">
        <v>0.64399585800000003</v>
      </c>
      <c r="F977">
        <v>0.30493495300000001</v>
      </c>
      <c r="G977">
        <v>0.65531663600000001</v>
      </c>
      <c r="H977">
        <v>1.36</v>
      </c>
      <c r="I977">
        <v>0.91933910343366898</v>
      </c>
      <c r="J977">
        <v>1.10253930049301</v>
      </c>
      <c r="K977">
        <v>0.85407820425460901</v>
      </c>
      <c r="L977">
        <v>0.97803622956160197</v>
      </c>
      <c r="M977">
        <v>1.0109392019633401</v>
      </c>
      <c r="N977">
        <v>1.00678075667725</v>
      </c>
      <c r="Q977">
        <f t="shared" si="75"/>
        <v>1.36</v>
      </c>
      <c r="R977">
        <f t="shared" si="77"/>
        <v>0.97721755384028919</v>
      </c>
      <c r="S977">
        <f t="shared" si="78"/>
        <v>0.38278244615971091</v>
      </c>
      <c r="T977">
        <f t="shared" si="79"/>
        <v>0.14652240108801198</v>
      </c>
    </row>
    <row r="978" spans="1:20" hidden="1" x14ac:dyDescent="0.25">
      <c r="A978" t="str">
        <f t="shared" si="76"/>
        <v>BAR</v>
      </c>
      <c r="B978" t="s">
        <v>984</v>
      </c>
      <c r="C978">
        <v>1.794428825</v>
      </c>
      <c r="D978">
        <v>6.6232533999999996E-2</v>
      </c>
      <c r="E978">
        <v>0.64197317899999995</v>
      </c>
      <c r="F978">
        <v>0.30368566699999999</v>
      </c>
      <c r="G978">
        <v>0.653824038</v>
      </c>
      <c r="H978">
        <v>0.99</v>
      </c>
      <c r="I978">
        <v>0.78805678223416697</v>
      </c>
      <c r="J978">
        <v>0.99057751123763604</v>
      </c>
      <c r="K978">
        <v>0.57917441385732704</v>
      </c>
      <c r="L978">
        <v>0.82649107600614302</v>
      </c>
      <c r="M978">
        <v>0.88931714673590101</v>
      </c>
      <c r="N978">
        <v>0.88353343233827897</v>
      </c>
      <c r="Q978">
        <f t="shared" si="75"/>
        <v>0.99</v>
      </c>
      <c r="R978">
        <f t="shared" si="77"/>
        <v>0.84904206174999564</v>
      </c>
      <c r="S978">
        <f t="shared" si="78"/>
        <v>0.14095793825000436</v>
      </c>
      <c r="T978">
        <f t="shared" si="79"/>
        <v>1.9869140355692042E-2</v>
      </c>
    </row>
    <row r="979" spans="1:20" hidden="1" x14ac:dyDescent="0.25">
      <c r="A979" t="str">
        <f t="shared" si="76"/>
        <v>BAR</v>
      </c>
      <c r="B979" t="s">
        <v>985</v>
      </c>
      <c r="C979">
        <v>1.4040929069999999</v>
      </c>
      <c r="D979">
        <v>6.6119942000000001E-2</v>
      </c>
      <c r="E979">
        <v>0.69434969199999996</v>
      </c>
      <c r="F979">
        <v>0.30888591999999998</v>
      </c>
      <c r="G979">
        <v>0.72652417400000002</v>
      </c>
      <c r="H979">
        <v>0.84</v>
      </c>
      <c r="I979">
        <v>1.4349306772008501</v>
      </c>
      <c r="J979">
        <v>1.45706232004488</v>
      </c>
      <c r="K979">
        <v>1.6776791561935001</v>
      </c>
      <c r="L979">
        <v>1.6451916440055201</v>
      </c>
      <c r="M979">
        <v>1.4459964986228599</v>
      </c>
      <c r="N979">
        <v>1.4459541561286899</v>
      </c>
      <c r="Q979">
        <f t="shared" si="75"/>
        <v>0.84</v>
      </c>
      <c r="R979">
        <f t="shared" si="77"/>
        <v>1.4041554148090554</v>
      </c>
      <c r="S979">
        <f t="shared" si="78"/>
        <v>-0.5641554148090554</v>
      </c>
      <c r="T979">
        <f t="shared" si="79"/>
        <v>0.31827133205837738</v>
      </c>
    </row>
    <row r="980" spans="1:20" hidden="1" x14ac:dyDescent="0.25">
      <c r="A980" t="str">
        <f t="shared" si="76"/>
        <v>BAR</v>
      </c>
      <c r="B980" t="s">
        <v>986</v>
      </c>
      <c r="C980">
        <v>1.0762552990000001</v>
      </c>
      <c r="D980">
        <v>6.0235615999999999E-2</v>
      </c>
      <c r="E980">
        <v>0.70814980699999996</v>
      </c>
      <c r="F980">
        <v>0.30583253500000002</v>
      </c>
      <c r="G980">
        <v>0.77993434399999995</v>
      </c>
      <c r="H980">
        <v>1.28</v>
      </c>
      <c r="I980">
        <v>1.7850152347894701</v>
      </c>
      <c r="J980">
        <v>1.6491712035475701</v>
      </c>
      <c r="K980">
        <v>2.2245216141820698</v>
      </c>
      <c r="L980">
        <v>2.3715497866048398</v>
      </c>
      <c r="M980">
        <v>1.71709321916852</v>
      </c>
      <c r="N980">
        <v>1.7157493182596599</v>
      </c>
      <c r="Q980">
        <f t="shared" si="75"/>
        <v>1.28</v>
      </c>
      <c r="R980">
        <f t="shared" si="77"/>
        <v>1.6650376761298058</v>
      </c>
      <c r="S980">
        <f t="shared" si="78"/>
        <v>-0.38503767612980577</v>
      </c>
      <c r="T980">
        <f t="shared" si="79"/>
        <v>0.14825401203944119</v>
      </c>
    </row>
    <row r="981" spans="1:20" hidden="1" x14ac:dyDescent="0.25">
      <c r="A981" t="str">
        <f t="shared" si="76"/>
        <v>BAR</v>
      </c>
      <c r="B981" t="s">
        <v>987</v>
      </c>
      <c r="C981">
        <v>1.635085812</v>
      </c>
      <c r="D981">
        <v>6.2455548999999999E-2</v>
      </c>
      <c r="E981">
        <v>0.69737331599999997</v>
      </c>
      <c r="F981">
        <v>0.32623036799999999</v>
      </c>
      <c r="G981">
        <v>0.75783914900000005</v>
      </c>
      <c r="H981">
        <v>1.38</v>
      </c>
      <c r="I981">
        <v>1.1959344708722699</v>
      </c>
      <c r="J981">
        <v>1.2053507556951999</v>
      </c>
      <c r="K981">
        <v>1.3665876919543201</v>
      </c>
      <c r="L981">
        <v>1.2657662455422301</v>
      </c>
      <c r="M981">
        <v>1.20064261328373</v>
      </c>
      <c r="N981">
        <v>1.2006333821062201</v>
      </c>
      <c r="Q981">
        <f t="shared" si="75"/>
        <v>1.38</v>
      </c>
      <c r="R981">
        <f t="shared" si="77"/>
        <v>1.1139792928505783</v>
      </c>
      <c r="S981">
        <f t="shared" si="78"/>
        <v>0.26602070714942161</v>
      </c>
      <c r="T981">
        <f t="shared" si="79"/>
        <v>7.0767016632278329E-2</v>
      </c>
    </row>
    <row r="982" spans="1:20" hidden="1" x14ac:dyDescent="0.25">
      <c r="A982" t="str">
        <f t="shared" si="76"/>
        <v>BAR</v>
      </c>
      <c r="B982" t="s">
        <v>988</v>
      </c>
      <c r="C982">
        <v>0.87627020700000002</v>
      </c>
      <c r="D982">
        <v>7.4591041999999996E-2</v>
      </c>
      <c r="E982">
        <v>0.64892652100000003</v>
      </c>
      <c r="F982">
        <v>0.30190589200000001</v>
      </c>
      <c r="G982">
        <v>0.66593124199999998</v>
      </c>
      <c r="H982">
        <v>1.1000000000000001</v>
      </c>
      <c r="I982">
        <v>2.2509374479284601</v>
      </c>
      <c r="J982">
        <v>2.1221045506077298</v>
      </c>
      <c r="K982">
        <v>1.9362334739600999</v>
      </c>
      <c r="L982">
        <v>2.52741204078308</v>
      </c>
      <c r="M982">
        <v>2.1865209992680898</v>
      </c>
      <c r="N982">
        <v>2.18557191631443</v>
      </c>
      <c r="Q982">
        <f t="shared" si="75"/>
        <v>1.1000000000000001</v>
      </c>
      <c r="R982">
        <f t="shared" si="77"/>
        <v>2.1733287185064056</v>
      </c>
      <c r="S982">
        <f t="shared" si="78"/>
        <v>-1.0733287185064055</v>
      </c>
      <c r="T982">
        <f t="shared" si="79"/>
        <v>1.1520345379706027</v>
      </c>
    </row>
    <row r="983" spans="1:20" hidden="1" x14ac:dyDescent="0.25">
      <c r="A983" t="str">
        <f t="shared" si="76"/>
        <v>BAR</v>
      </c>
      <c r="B983" t="s">
        <v>989</v>
      </c>
      <c r="C983">
        <v>1.3007873649999999</v>
      </c>
      <c r="D983">
        <v>5.5617484000000002E-2</v>
      </c>
      <c r="E983">
        <v>0.75920835799999997</v>
      </c>
      <c r="F983">
        <v>0.31034013500000002</v>
      </c>
      <c r="G983">
        <v>0.84144707699999999</v>
      </c>
      <c r="H983">
        <v>1.57</v>
      </c>
      <c r="I983">
        <v>1.50243741942286</v>
      </c>
      <c r="J983">
        <v>1.38671523012486</v>
      </c>
      <c r="K983">
        <v>1.81063082830429</v>
      </c>
      <c r="L983">
        <v>1.7986892290247101</v>
      </c>
      <c r="M983">
        <v>1.4445763247738601</v>
      </c>
      <c r="N983">
        <v>1.44341707479965</v>
      </c>
      <c r="Q983">
        <f t="shared" si="75"/>
        <v>1.57</v>
      </c>
      <c r="R983">
        <f t="shared" si="77"/>
        <v>1.3583412435053932</v>
      </c>
      <c r="S983">
        <f t="shared" si="78"/>
        <v>0.21165875649460686</v>
      </c>
      <c r="T983">
        <f t="shared" si="79"/>
        <v>4.4799429200843281E-2</v>
      </c>
    </row>
    <row r="984" spans="1:20" hidden="1" x14ac:dyDescent="0.25">
      <c r="A984" t="str">
        <f t="shared" si="76"/>
        <v>BAR</v>
      </c>
      <c r="B984" t="s">
        <v>990</v>
      </c>
      <c r="C984">
        <v>1.6910136950000001</v>
      </c>
      <c r="D984">
        <v>6.4391565999999997E-2</v>
      </c>
      <c r="E984">
        <v>0.71416581300000004</v>
      </c>
      <c r="F984">
        <v>0.30329529100000002</v>
      </c>
      <c r="G984">
        <v>0.77452194299999999</v>
      </c>
      <c r="H984">
        <v>1.33</v>
      </c>
      <c r="I984">
        <v>1.0651650813384901</v>
      </c>
      <c r="J984">
        <v>1.12973233372614</v>
      </c>
      <c r="K984">
        <v>0.49798350990317802</v>
      </c>
      <c r="L984">
        <v>0.92559687067635499</v>
      </c>
      <c r="M984">
        <v>1.0974487075323101</v>
      </c>
      <c r="N984">
        <v>1.0969737613745001</v>
      </c>
      <c r="Q984">
        <f t="shared" si="75"/>
        <v>1.33</v>
      </c>
      <c r="R984">
        <f t="shared" si="77"/>
        <v>1.012907643028194</v>
      </c>
      <c r="S984">
        <f t="shared" si="78"/>
        <v>0.31709235697180604</v>
      </c>
      <c r="T984">
        <f t="shared" si="79"/>
        <v>0.10054756284993527</v>
      </c>
    </row>
    <row r="985" spans="1:20" hidden="1" x14ac:dyDescent="0.25">
      <c r="A985" t="str">
        <f t="shared" si="76"/>
        <v>BAR</v>
      </c>
      <c r="B985" t="s">
        <v>991</v>
      </c>
      <c r="C985">
        <v>1.7515399899999999</v>
      </c>
      <c r="D985">
        <v>6.6641178999999995E-2</v>
      </c>
      <c r="E985">
        <v>0.69911808399999997</v>
      </c>
      <c r="F985">
        <v>0.31909831700000002</v>
      </c>
      <c r="G985">
        <v>0.75835960400000002</v>
      </c>
      <c r="H985">
        <v>1.1399999999999999</v>
      </c>
      <c r="I985">
        <v>1.07601106690006</v>
      </c>
      <c r="J985">
        <v>1.16542378254228</v>
      </c>
      <c r="K985">
        <v>1.0956911738531101</v>
      </c>
      <c r="L985">
        <v>1.0071842956688699</v>
      </c>
      <c r="M985">
        <v>1.12071742472117</v>
      </c>
      <c r="N985">
        <v>1.1198253826575</v>
      </c>
      <c r="Q985">
        <f t="shared" si="75"/>
        <v>1.1399999999999999</v>
      </c>
      <c r="R985">
        <f t="shared" si="77"/>
        <v>1.0446147958584602</v>
      </c>
      <c r="S985">
        <f t="shared" si="78"/>
        <v>9.5385204141539726E-2</v>
      </c>
      <c r="T985">
        <f t="shared" si="79"/>
        <v>9.0983371691232065E-3</v>
      </c>
    </row>
    <row r="986" spans="1:20" hidden="1" x14ac:dyDescent="0.25">
      <c r="A986" t="str">
        <f t="shared" si="76"/>
        <v>BAR</v>
      </c>
      <c r="B986" t="s">
        <v>992</v>
      </c>
      <c r="C986">
        <v>1.7222898600000001</v>
      </c>
      <c r="D986">
        <v>7.9652872999999999E-2</v>
      </c>
      <c r="E986">
        <v>0.69684898100000003</v>
      </c>
      <c r="F986">
        <v>0.30874450799999997</v>
      </c>
      <c r="G986">
        <v>0.75789424599999999</v>
      </c>
      <c r="H986">
        <v>1.1200000000000001</v>
      </c>
      <c r="I986">
        <v>1.28585512037712</v>
      </c>
      <c r="J986">
        <v>1.5111515011749099</v>
      </c>
      <c r="K986">
        <v>0.92390859510276901</v>
      </c>
      <c r="L986">
        <v>0.90140273881206801</v>
      </c>
      <c r="M986">
        <v>1.3985033107760201</v>
      </c>
      <c r="N986">
        <v>1.3939590723731199</v>
      </c>
      <c r="Q986">
        <f t="shared" si="75"/>
        <v>1.1200000000000001</v>
      </c>
      <c r="R986">
        <f t="shared" si="77"/>
        <v>1.3841387119285988</v>
      </c>
      <c r="S986">
        <f t="shared" si="78"/>
        <v>-0.26413871192859872</v>
      </c>
      <c r="T986">
        <f t="shared" si="79"/>
        <v>6.9769259139299267E-2</v>
      </c>
    </row>
    <row r="987" spans="1:20" hidden="1" x14ac:dyDescent="0.25">
      <c r="A987" t="str">
        <f t="shared" si="76"/>
        <v>BAR</v>
      </c>
      <c r="B987" t="s">
        <v>993</v>
      </c>
      <c r="C987">
        <v>1.692314219</v>
      </c>
      <c r="D987">
        <v>7.0128186999999995E-2</v>
      </c>
      <c r="E987">
        <v>0.655348284</v>
      </c>
      <c r="F987">
        <v>0.30427633599999998</v>
      </c>
      <c r="G987">
        <v>0.71052823099999995</v>
      </c>
      <c r="H987">
        <v>1.07</v>
      </c>
      <c r="I987">
        <v>1.0842042715296101</v>
      </c>
      <c r="J987">
        <v>1.20586530037442</v>
      </c>
      <c r="K987">
        <v>0.771237923207994</v>
      </c>
      <c r="L987">
        <v>0.96781646122751397</v>
      </c>
      <c r="M987">
        <v>1.14503478595202</v>
      </c>
      <c r="N987">
        <v>1.1434178193273401</v>
      </c>
      <c r="Q987">
        <f t="shared" si="75"/>
        <v>1.07</v>
      </c>
      <c r="R987">
        <f t="shared" si="77"/>
        <v>1.0861950308360777</v>
      </c>
      <c r="S987">
        <f t="shared" si="78"/>
        <v>-1.6195030836077651E-2</v>
      </c>
      <c r="T987">
        <f t="shared" si="79"/>
        <v>2.6227902378150598E-4</v>
      </c>
    </row>
    <row r="988" spans="1:20" hidden="1" x14ac:dyDescent="0.25">
      <c r="A988" t="str">
        <f t="shared" si="76"/>
        <v>BAR</v>
      </c>
      <c r="B988" t="s">
        <v>994</v>
      </c>
      <c r="C988">
        <v>0.50405847999999998</v>
      </c>
      <c r="D988">
        <v>6.9584071999999997E-2</v>
      </c>
      <c r="E988">
        <v>0.65222537300000005</v>
      </c>
      <c r="F988">
        <v>0.30061807699999998</v>
      </c>
      <c r="G988">
        <v>0.65601224899999999</v>
      </c>
      <c r="H988">
        <v>1.01</v>
      </c>
      <c r="I988">
        <v>2.7282168001704701</v>
      </c>
      <c r="J988">
        <v>2.3632276390955398</v>
      </c>
      <c r="K988">
        <v>0.68917997643233397</v>
      </c>
      <c r="L988">
        <v>2.97026294674655</v>
      </c>
      <c r="M988">
        <v>2.54572221963301</v>
      </c>
      <c r="N988">
        <v>2.5391725714507198</v>
      </c>
      <c r="Q988">
        <f t="shared" si="75"/>
        <v>1.01</v>
      </c>
      <c r="R988">
        <f t="shared" si="77"/>
        <v>2.4954055068793641</v>
      </c>
      <c r="S988">
        <f t="shared" si="78"/>
        <v>-1.4854055068793641</v>
      </c>
      <c r="T988">
        <f t="shared" si="79"/>
        <v>2.2064295198675405</v>
      </c>
    </row>
    <row r="989" spans="1:20" hidden="1" x14ac:dyDescent="0.25">
      <c r="A989" t="str">
        <f t="shared" si="76"/>
        <v>BAR</v>
      </c>
      <c r="B989" t="s">
        <v>995</v>
      </c>
      <c r="C989">
        <v>1.7390915389999999</v>
      </c>
      <c r="D989">
        <v>6.2117453000000003E-2</v>
      </c>
      <c r="E989">
        <v>0.706515895</v>
      </c>
      <c r="F989">
        <v>0.34742628800000003</v>
      </c>
      <c r="G989">
        <v>0.77099210399999996</v>
      </c>
      <c r="H989">
        <v>1.06</v>
      </c>
      <c r="I989">
        <v>1.1649309084972601</v>
      </c>
      <c r="J989">
        <v>1.1810804743535801</v>
      </c>
      <c r="K989">
        <v>1.2978387067833499</v>
      </c>
      <c r="L989">
        <v>1.1916057065171599</v>
      </c>
      <c r="M989">
        <v>1.1730056914254201</v>
      </c>
      <c r="N989">
        <v>1.17297789834127</v>
      </c>
      <c r="Q989">
        <f t="shared" si="75"/>
        <v>1.06</v>
      </c>
      <c r="R989">
        <f t="shared" si="77"/>
        <v>1.0807956875846272</v>
      </c>
      <c r="S989">
        <f t="shared" si="78"/>
        <v>-2.0795687584627132E-2</v>
      </c>
      <c r="T989">
        <f t="shared" si="79"/>
        <v>4.32460622117415E-4</v>
      </c>
    </row>
    <row r="990" spans="1:20" hidden="1" x14ac:dyDescent="0.25">
      <c r="A990" t="str">
        <f t="shared" si="76"/>
        <v>BAR</v>
      </c>
      <c r="B990" t="s">
        <v>996</v>
      </c>
      <c r="C990">
        <v>1.728188753</v>
      </c>
      <c r="D990">
        <v>6.3558132000000003E-2</v>
      </c>
      <c r="E990">
        <v>0.69466737000000001</v>
      </c>
      <c r="F990">
        <v>0.30701838799999998</v>
      </c>
      <c r="G990">
        <v>0.74917686400000005</v>
      </c>
      <c r="H990">
        <v>0.71</v>
      </c>
      <c r="I990">
        <v>0.990961889906256</v>
      </c>
      <c r="J990">
        <v>1.06472425326322</v>
      </c>
      <c r="K990">
        <v>0.85370856409956297</v>
      </c>
      <c r="L990">
        <v>0.91658114218570497</v>
      </c>
      <c r="M990">
        <v>1.02784307158473</v>
      </c>
      <c r="N990">
        <v>1.0271811710904499</v>
      </c>
      <c r="Q990">
        <f t="shared" si="75"/>
        <v>0.71</v>
      </c>
      <c r="R990">
        <f t="shared" si="77"/>
        <v>0.94155392216236677</v>
      </c>
      <c r="S990">
        <f t="shared" si="78"/>
        <v>-0.23155392216236681</v>
      </c>
      <c r="T990">
        <f t="shared" si="79"/>
        <v>5.3617218868775428E-2</v>
      </c>
    </row>
    <row r="991" spans="1:20" hidden="1" x14ac:dyDescent="0.25">
      <c r="A991" t="str">
        <f t="shared" si="76"/>
        <v>BAR</v>
      </c>
      <c r="B991" t="s">
        <v>997</v>
      </c>
      <c r="C991">
        <v>1.1970482790000001</v>
      </c>
      <c r="D991">
        <v>6.9738304000000001E-2</v>
      </c>
      <c r="E991">
        <v>0.70081577299999998</v>
      </c>
      <c r="F991">
        <v>0.30571350200000003</v>
      </c>
      <c r="G991">
        <v>0.77013958699999996</v>
      </c>
      <c r="H991">
        <v>1.44</v>
      </c>
      <c r="I991">
        <v>1.7940862343458901</v>
      </c>
      <c r="J991">
        <v>1.75124380170426</v>
      </c>
      <c r="K991">
        <v>1.80063470091983</v>
      </c>
      <c r="L991">
        <v>1.8266854144814699</v>
      </c>
      <c r="M991">
        <v>1.77266501802508</v>
      </c>
      <c r="N991">
        <v>1.77253558430323</v>
      </c>
      <c r="Q991">
        <f t="shared" si="75"/>
        <v>1.44</v>
      </c>
      <c r="R991">
        <f t="shared" si="77"/>
        <v>1.7402590488801</v>
      </c>
      <c r="S991">
        <f t="shared" si="78"/>
        <v>-0.30025904888010002</v>
      </c>
      <c r="T991">
        <f t="shared" si="79"/>
        <v>9.0155496434382296E-2</v>
      </c>
    </row>
    <row r="992" spans="1:20" hidden="1" x14ac:dyDescent="0.25">
      <c r="A992" t="str">
        <f t="shared" si="76"/>
        <v>BAR</v>
      </c>
      <c r="B992" t="s">
        <v>998</v>
      </c>
      <c r="C992">
        <v>1.4138547459999999</v>
      </c>
      <c r="D992">
        <v>7.0659166999999995E-2</v>
      </c>
      <c r="E992">
        <v>0.66330647200000004</v>
      </c>
      <c r="F992">
        <v>0.308428957</v>
      </c>
      <c r="G992">
        <v>0.70458992600000003</v>
      </c>
      <c r="H992">
        <v>1.25</v>
      </c>
      <c r="I992">
        <v>1.4758674485375201</v>
      </c>
      <c r="J992">
        <v>1.5227648173541899</v>
      </c>
      <c r="K992">
        <v>1.57198293887075</v>
      </c>
      <c r="L992">
        <v>1.47801745522838</v>
      </c>
      <c r="M992">
        <v>1.49931613294586</v>
      </c>
      <c r="N992">
        <v>1.49913275786744</v>
      </c>
      <c r="Q992">
        <f t="shared" si="75"/>
        <v>1.25</v>
      </c>
      <c r="R992">
        <f t="shared" si="77"/>
        <v>1.4653337293987554</v>
      </c>
      <c r="S992">
        <f t="shared" si="78"/>
        <v>-0.21533372939875539</v>
      </c>
      <c r="T992">
        <f t="shared" si="79"/>
        <v>4.6368615016776409E-2</v>
      </c>
    </row>
    <row r="993" spans="1:20" hidden="1" x14ac:dyDescent="0.25">
      <c r="A993" t="str">
        <f t="shared" si="76"/>
        <v>BAR</v>
      </c>
      <c r="B993" t="s">
        <v>999</v>
      </c>
      <c r="C993">
        <v>1.8003561159999999</v>
      </c>
      <c r="D993">
        <v>5.9732974000000001E-2</v>
      </c>
      <c r="E993">
        <v>0.68809827000000001</v>
      </c>
      <c r="F993">
        <v>0.35605413899999999</v>
      </c>
      <c r="G993">
        <v>0.74843311199999996</v>
      </c>
      <c r="H993">
        <v>1.31</v>
      </c>
      <c r="I993">
        <v>1.0796176924266601</v>
      </c>
      <c r="J993">
        <v>1.077344997033</v>
      </c>
      <c r="K993">
        <v>1.2592683023407001</v>
      </c>
      <c r="L993">
        <v>1.1777760996178399</v>
      </c>
      <c r="M993">
        <v>1.07848134472983</v>
      </c>
      <c r="N993">
        <v>1.0784807460702199</v>
      </c>
      <c r="Q993">
        <f t="shared" si="75"/>
        <v>1.31</v>
      </c>
      <c r="R993">
        <f t="shared" si="77"/>
        <v>0.96849070321889386</v>
      </c>
      <c r="S993">
        <f t="shared" si="78"/>
        <v>0.3415092967811062</v>
      </c>
      <c r="T993">
        <f t="shared" si="79"/>
        <v>0.11662859978792567</v>
      </c>
    </row>
    <row r="994" spans="1:20" hidden="1" x14ac:dyDescent="0.25">
      <c r="A994" t="str">
        <f t="shared" si="76"/>
        <v>BAR</v>
      </c>
      <c r="B994" t="s">
        <v>1000</v>
      </c>
      <c r="C994">
        <v>1.738960654</v>
      </c>
      <c r="D994">
        <v>5.6332514E-2</v>
      </c>
      <c r="E994">
        <v>0.69666537299999998</v>
      </c>
      <c r="F994">
        <v>0.44256993</v>
      </c>
      <c r="G994">
        <v>0.76659249900000004</v>
      </c>
      <c r="H994">
        <v>1.58</v>
      </c>
      <c r="I994">
        <v>1.4915807201493201</v>
      </c>
      <c r="J994">
        <v>1.3897333735720601</v>
      </c>
      <c r="K994">
        <v>1.89464564710442</v>
      </c>
      <c r="L994">
        <v>1.8742145321761201</v>
      </c>
      <c r="M994">
        <v>1.4406570468606901</v>
      </c>
      <c r="N994">
        <v>1.43975675243013</v>
      </c>
      <c r="Q994">
        <f t="shared" si="75"/>
        <v>1.58</v>
      </c>
      <c r="R994">
        <f t="shared" si="77"/>
        <v>1.3469700677270788</v>
      </c>
      <c r="S994">
        <f t="shared" si="78"/>
        <v>0.23302993227292124</v>
      </c>
      <c r="T994">
        <f t="shared" si="79"/>
        <v>5.4302949335122259E-2</v>
      </c>
    </row>
    <row r="995" spans="1:20" hidden="1" x14ac:dyDescent="0.25">
      <c r="A995" t="str">
        <f t="shared" si="76"/>
        <v>BAR</v>
      </c>
      <c r="B995" t="s">
        <v>1001</v>
      </c>
      <c r="C995">
        <v>1.722160913</v>
      </c>
      <c r="D995">
        <v>5.5841607000000001E-2</v>
      </c>
      <c r="E995">
        <v>0.68015198899999996</v>
      </c>
      <c r="F995">
        <v>0.31949159199999999</v>
      </c>
      <c r="G995">
        <v>0.76779820799999998</v>
      </c>
      <c r="H995">
        <v>1.39</v>
      </c>
      <c r="I995">
        <v>0.999344567899353</v>
      </c>
      <c r="J995">
        <v>0.92793416915328197</v>
      </c>
      <c r="K995">
        <v>1.0825216133123099</v>
      </c>
      <c r="L995">
        <v>0.975922998237164</v>
      </c>
      <c r="M995">
        <v>0.96363936852631804</v>
      </c>
      <c r="N995">
        <v>0.96297765878110198</v>
      </c>
      <c r="Q995">
        <f t="shared" si="75"/>
        <v>1.39</v>
      </c>
      <c r="R995">
        <f t="shared" si="77"/>
        <v>0.81262598666347019</v>
      </c>
      <c r="S995">
        <f t="shared" si="78"/>
        <v>0.57737401333652971</v>
      </c>
      <c r="T995">
        <f t="shared" si="79"/>
        <v>0.33336075127633119</v>
      </c>
    </row>
    <row r="996" spans="1:20" hidden="1" x14ac:dyDescent="0.25">
      <c r="A996" t="str">
        <f t="shared" si="76"/>
        <v>BAR</v>
      </c>
      <c r="B996" t="s">
        <v>1002</v>
      </c>
      <c r="C996">
        <v>1.595006516</v>
      </c>
      <c r="D996">
        <v>5.8821118999999998E-2</v>
      </c>
      <c r="E996">
        <v>0.67599077900000004</v>
      </c>
      <c r="F996">
        <v>0.37662451000000002</v>
      </c>
      <c r="G996">
        <v>0.74581532900000003</v>
      </c>
      <c r="H996">
        <v>1.02</v>
      </c>
      <c r="I996">
        <v>1.42456099092181</v>
      </c>
      <c r="J996">
        <v>1.32554955657219</v>
      </c>
      <c r="K996">
        <v>1.77811543902221</v>
      </c>
      <c r="L996">
        <v>1.68906615622808</v>
      </c>
      <c r="M996">
        <v>1.3750552737470001</v>
      </c>
      <c r="N996">
        <v>1.3741638147711699</v>
      </c>
      <c r="Q996">
        <f t="shared" si="75"/>
        <v>1.02</v>
      </c>
      <c r="R996">
        <f t="shared" si="77"/>
        <v>1.2727384338775669</v>
      </c>
      <c r="S996">
        <f t="shared" si="78"/>
        <v>-0.25273843387756689</v>
      </c>
      <c r="T996">
        <f t="shared" si="79"/>
        <v>6.387671595888525E-2</v>
      </c>
    </row>
    <row r="997" spans="1:20" hidden="1" x14ac:dyDescent="0.25">
      <c r="A997" t="str">
        <f t="shared" si="76"/>
        <v>BAR</v>
      </c>
      <c r="B997" t="s">
        <v>1003</v>
      </c>
      <c r="C997">
        <v>1.6595118870000001</v>
      </c>
      <c r="D997">
        <v>6.0577213999999997E-2</v>
      </c>
      <c r="E997">
        <v>0.67079830100000004</v>
      </c>
      <c r="F997">
        <v>0.388936473</v>
      </c>
      <c r="G997">
        <v>0.73413057999999998</v>
      </c>
      <c r="H997">
        <v>1.29</v>
      </c>
      <c r="I997">
        <v>1.4274898266942699</v>
      </c>
      <c r="J997">
        <v>1.33997840328606</v>
      </c>
      <c r="K997">
        <v>1.7178465440592099</v>
      </c>
      <c r="L997">
        <v>1.65185727087465</v>
      </c>
      <c r="M997">
        <v>1.3837341149901701</v>
      </c>
      <c r="N997">
        <v>1.38304213192545</v>
      </c>
      <c r="Q997">
        <f t="shared" si="75"/>
        <v>1.29</v>
      </c>
      <c r="R997">
        <f t="shared" si="77"/>
        <v>1.2808820143380801</v>
      </c>
      <c r="S997">
        <f t="shared" si="78"/>
        <v>9.1179856619199029E-3</v>
      </c>
      <c r="T997">
        <f t="shared" si="79"/>
        <v>8.3137662530976926E-5</v>
      </c>
    </row>
    <row r="998" spans="1:20" hidden="1" x14ac:dyDescent="0.25">
      <c r="A998" t="str">
        <f t="shared" si="76"/>
        <v>BAR</v>
      </c>
      <c r="B998" t="s">
        <v>1004</v>
      </c>
      <c r="C998">
        <v>1.7320494559999999</v>
      </c>
      <c r="D998">
        <v>6.0110679E-2</v>
      </c>
      <c r="E998">
        <v>0.67866284899999996</v>
      </c>
      <c r="F998">
        <v>0.353486988</v>
      </c>
      <c r="G998">
        <v>0.75306624700000002</v>
      </c>
      <c r="H998">
        <v>1.22</v>
      </c>
      <c r="I998">
        <v>1.17332216321409</v>
      </c>
      <c r="J998">
        <v>1.1349634097955801</v>
      </c>
      <c r="K998">
        <v>1.3112949377668699</v>
      </c>
      <c r="L998">
        <v>1.18554612825971</v>
      </c>
      <c r="M998">
        <v>1.1541427865048399</v>
      </c>
      <c r="N998">
        <v>1.15398341545717</v>
      </c>
      <c r="Q998">
        <f t="shared" si="75"/>
        <v>1.22</v>
      </c>
      <c r="R998">
        <f t="shared" si="77"/>
        <v>1.0388450722839435</v>
      </c>
      <c r="S998">
        <f t="shared" si="78"/>
        <v>0.18115492771605646</v>
      </c>
      <c r="T998">
        <f t="shared" si="79"/>
        <v>3.2817107835809642E-2</v>
      </c>
    </row>
    <row r="999" spans="1:20" hidden="1" x14ac:dyDescent="0.25">
      <c r="A999" t="str">
        <f t="shared" si="76"/>
        <v>BAR</v>
      </c>
      <c r="B999" t="s">
        <v>1005</v>
      </c>
      <c r="C999">
        <v>1.752814323</v>
      </c>
      <c r="D999">
        <v>5.8240513000000001E-2</v>
      </c>
      <c r="E999">
        <v>0.69702437500000003</v>
      </c>
      <c r="F999">
        <v>0.36085906000000001</v>
      </c>
      <c r="G999">
        <v>0.76124760999999996</v>
      </c>
      <c r="H999">
        <v>1.41</v>
      </c>
      <c r="I999">
        <v>1.1462636744624399</v>
      </c>
      <c r="J999">
        <v>1.1181968915045799</v>
      </c>
      <c r="K999">
        <v>1.3340980504903699</v>
      </c>
      <c r="L999">
        <v>1.2341324114568</v>
      </c>
      <c r="M999">
        <v>1.13223028298351</v>
      </c>
      <c r="N999">
        <v>1.13214331143566</v>
      </c>
      <c r="Q999">
        <f t="shared" si="75"/>
        <v>1.41</v>
      </c>
      <c r="R999">
        <f t="shared" si="77"/>
        <v>1.0226054020189421</v>
      </c>
      <c r="S999">
        <f t="shared" si="78"/>
        <v>0.3873945979810578</v>
      </c>
      <c r="T999">
        <f t="shared" si="79"/>
        <v>0.15007457454490539</v>
      </c>
    </row>
    <row r="1000" spans="1:20" hidden="1" x14ac:dyDescent="0.25">
      <c r="A1000" t="str">
        <f t="shared" si="76"/>
        <v>BAR</v>
      </c>
      <c r="B1000" t="s">
        <v>1006</v>
      </c>
      <c r="C1000">
        <v>1.8482152080000001</v>
      </c>
      <c r="D1000">
        <v>6.3429554999999999E-2</v>
      </c>
      <c r="E1000">
        <v>0.69220090000000001</v>
      </c>
      <c r="F1000">
        <v>0.32894516499999998</v>
      </c>
      <c r="G1000">
        <v>0.75060580799999999</v>
      </c>
      <c r="H1000">
        <v>1.1100000000000001</v>
      </c>
      <c r="I1000">
        <v>0.94350495819505598</v>
      </c>
      <c r="J1000">
        <v>1.01948434249304</v>
      </c>
      <c r="K1000">
        <v>0.96924861038031895</v>
      </c>
      <c r="L1000">
        <v>0.88036514860639303</v>
      </c>
      <c r="M1000">
        <v>0.98149465034405103</v>
      </c>
      <c r="N1000">
        <v>0.98075916103007499</v>
      </c>
      <c r="Q1000">
        <f t="shared" si="75"/>
        <v>1.1100000000000001</v>
      </c>
      <c r="R1000">
        <f t="shared" si="77"/>
        <v>0.88402154137961597</v>
      </c>
      <c r="S1000">
        <f t="shared" si="78"/>
        <v>0.22597845862038413</v>
      </c>
      <c r="T1000">
        <f t="shared" si="79"/>
        <v>5.1066263760444659E-2</v>
      </c>
    </row>
    <row r="1001" spans="1:20" hidden="1" x14ac:dyDescent="0.25">
      <c r="A1001" t="str">
        <f t="shared" si="76"/>
        <v>BAR</v>
      </c>
      <c r="B1001" t="s">
        <v>1007</v>
      </c>
      <c r="C1001">
        <v>1.6903209690000001</v>
      </c>
      <c r="D1001">
        <v>5.5578174000000001E-2</v>
      </c>
      <c r="E1001">
        <v>0.71041083900000002</v>
      </c>
      <c r="F1001">
        <v>0.33583068900000002</v>
      </c>
      <c r="G1001">
        <v>0.80337748600000003</v>
      </c>
      <c r="H1001">
        <v>1.42</v>
      </c>
      <c r="I1001">
        <v>1.1310368589748601</v>
      </c>
      <c r="J1001">
        <v>1.0431443019227</v>
      </c>
      <c r="K1001">
        <v>1.2904864377421299</v>
      </c>
      <c r="L1001">
        <v>1.16498784156827</v>
      </c>
      <c r="M1001">
        <v>1.08709058044878</v>
      </c>
      <c r="N1001">
        <v>1.08620194011251</v>
      </c>
      <c r="Q1001">
        <f t="shared" si="75"/>
        <v>1.42</v>
      </c>
      <c r="R1001">
        <f t="shared" si="77"/>
        <v>0.94558168456341818</v>
      </c>
      <c r="S1001">
        <f t="shared" si="78"/>
        <v>0.47441831543658175</v>
      </c>
      <c r="T1001">
        <f t="shared" si="79"/>
        <v>0.22507273802168398</v>
      </c>
    </row>
    <row r="1002" spans="1:20" hidden="1" x14ac:dyDescent="0.25">
      <c r="A1002" t="str">
        <f t="shared" si="76"/>
        <v>BAR</v>
      </c>
      <c r="B1002" t="s">
        <v>1008</v>
      </c>
      <c r="C1002">
        <v>1.7156697750000001</v>
      </c>
      <c r="D1002">
        <v>5.7439601999999999E-2</v>
      </c>
      <c r="E1002">
        <v>0.69643968000000001</v>
      </c>
      <c r="F1002">
        <v>0.31763724700000001</v>
      </c>
      <c r="G1002">
        <v>0.78376447699999996</v>
      </c>
      <c r="H1002">
        <v>1.34</v>
      </c>
      <c r="I1002">
        <v>1.03641952712646</v>
      </c>
      <c r="J1002">
        <v>0.97826238183741698</v>
      </c>
      <c r="K1002">
        <v>1.0743958830067599</v>
      </c>
      <c r="L1002">
        <v>0.99409988356923695</v>
      </c>
      <c r="M1002">
        <v>1.0073409544819401</v>
      </c>
      <c r="N1002">
        <v>1.0069211663231299</v>
      </c>
      <c r="Q1002">
        <f t="shared" si="75"/>
        <v>1.34</v>
      </c>
      <c r="R1002">
        <f t="shared" si="77"/>
        <v>0.86396544124340924</v>
      </c>
      <c r="S1002">
        <f t="shared" si="78"/>
        <v>0.47603455875659084</v>
      </c>
      <c r="T1002">
        <f t="shared" si="79"/>
        <v>0.22660890113058213</v>
      </c>
    </row>
    <row r="1003" spans="1:20" hidden="1" x14ac:dyDescent="0.25">
      <c r="A1003" t="str">
        <f t="shared" si="76"/>
        <v>BAR</v>
      </c>
      <c r="B1003" t="s">
        <v>1009</v>
      </c>
      <c r="C1003">
        <v>1.946930695</v>
      </c>
      <c r="D1003">
        <v>6.5988778999999997E-2</v>
      </c>
      <c r="E1003">
        <v>0.71221839600000003</v>
      </c>
      <c r="F1003">
        <v>0.43772365899999999</v>
      </c>
      <c r="G1003">
        <v>0.78078077499999998</v>
      </c>
      <c r="H1003">
        <v>1.41</v>
      </c>
      <c r="I1003">
        <v>1.35927732816927</v>
      </c>
      <c r="J1003">
        <v>1.40451462994548</v>
      </c>
      <c r="K1003">
        <v>1.37888729999429</v>
      </c>
      <c r="L1003">
        <v>1.40327720368735</v>
      </c>
      <c r="M1003">
        <v>1.3818959790573799</v>
      </c>
      <c r="N1003">
        <v>1.3817108574397701</v>
      </c>
      <c r="Q1003">
        <f t="shared" si="75"/>
        <v>1.41</v>
      </c>
      <c r="R1003">
        <f t="shared" si="77"/>
        <v>1.3152937168004262</v>
      </c>
      <c r="S1003">
        <f t="shared" si="78"/>
        <v>9.4706283199573749E-2</v>
      </c>
      <c r="T1003">
        <f t="shared" si="79"/>
        <v>8.969280077477864E-3</v>
      </c>
    </row>
    <row r="1004" spans="1:20" hidden="1" x14ac:dyDescent="0.25">
      <c r="A1004" t="str">
        <f t="shared" si="76"/>
        <v>BAR</v>
      </c>
      <c r="B1004" t="s">
        <v>1010</v>
      </c>
      <c r="C1004">
        <v>1.4123404500000001</v>
      </c>
      <c r="D1004">
        <v>6.2534379000000001E-2</v>
      </c>
      <c r="E1004">
        <v>0.72798639600000004</v>
      </c>
      <c r="F1004">
        <v>0.30172681400000001</v>
      </c>
      <c r="G1004">
        <v>0.79732256300000004</v>
      </c>
      <c r="H1004">
        <v>1.29</v>
      </c>
      <c r="I1004">
        <v>1.40719825659122</v>
      </c>
      <c r="J1004">
        <v>1.3729581533915001</v>
      </c>
      <c r="K1004">
        <v>0.32249884248921001</v>
      </c>
      <c r="L1004">
        <v>1.39425906825029</v>
      </c>
      <c r="M1004">
        <v>1.39007820499136</v>
      </c>
      <c r="N1004">
        <v>1.38997277664896</v>
      </c>
      <c r="Q1004">
        <f t="shared" si="75"/>
        <v>1.29</v>
      </c>
      <c r="R1004">
        <f t="shared" si="77"/>
        <v>1.3152603662432898</v>
      </c>
      <c r="S1004">
        <f t="shared" si="78"/>
        <v>-2.5260366243289756E-2</v>
      </c>
      <c r="T1004">
        <f t="shared" si="79"/>
        <v>6.3808610274513266E-4</v>
      </c>
    </row>
    <row r="1005" spans="1:20" hidden="1" x14ac:dyDescent="0.25">
      <c r="A1005" t="str">
        <f t="shared" si="76"/>
        <v>BAR</v>
      </c>
      <c r="B1005" t="s">
        <v>1011</v>
      </c>
      <c r="C1005">
        <v>1.83686909</v>
      </c>
      <c r="D1005">
        <v>6.2093653999999998E-2</v>
      </c>
      <c r="E1005">
        <v>0.70064878600000002</v>
      </c>
      <c r="F1005">
        <v>0.34908517700000002</v>
      </c>
      <c r="G1005">
        <v>0.77121769900000003</v>
      </c>
      <c r="H1005">
        <v>1.37</v>
      </c>
      <c r="I1005">
        <v>1.05804820899234</v>
      </c>
      <c r="J1005">
        <v>1.0825553331642499</v>
      </c>
      <c r="K1005">
        <v>1.1227394620654501</v>
      </c>
      <c r="L1005">
        <v>1.03467349373601</v>
      </c>
      <c r="M1005">
        <v>1.0703017710782901</v>
      </c>
      <c r="N1005">
        <v>1.07023162511184</v>
      </c>
      <c r="Q1005">
        <f t="shared" si="75"/>
        <v>1.37</v>
      </c>
      <c r="R1005">
        <f t="shared" si="77"/>
        <v>0.96217558679204895</v>
      </c>
      <c r="S1005">
        <f t="shared" si="78"/>
        <v>0.40782441320795115</v>
      </c>
      <c r="T1005">
        <f t="shared" si="79"/>
        <v>0.16632075200840968</v>
      </c>
    </row>
    <row r="1006" spans="1:20" hidden="1" x14ac:dyDescent="0.25">
      <c r="A1006" t="str">
        <f t="shared" si="76"/>
        <v>BAR</v>
      </c>
      <c r="B1006" t="s">
        <v>1012</v>
      </c>
      <c r="C1006">
        <v>1.7996709470000001</v>
      </c>
      <c r="D1006">
        <v>6.3094062000000006E-2</v>
      </c>
      <c r="E1006">
        <v>0.678025027</v>
      </c>
      <c r="F1006">
        <v>0.36555555200000001</v>
      </c>
      <c r="G1006">
        <v>0.73906974299999995</v>
      </c>
      <c r="H1006">
        <v>1.1399999999999999</v>
      </c>
      <c r="I1006">
        <v>1.1716983073515499</v>
      </c>
      <c r="J1006">
        <v>1.17915653599786</v>
      </c>
      <c r="K1006">
        <v>1.3203685539983701</v>
      </c>
      <c r="L1006">
        <v>1.2493723914186601</v>
      </c>
      <c r="M1006">
        <v>1.1754274216747</v>
      </c>
      <c r="N1006">
        <v>1.1754215062398701</v>
      </c>
      <c r="Q1006">
        <f t="shared" si="75"/>
        <v>1.1399999999999999</v>
      </c>
      <c r="R1006">
        <f t="shared" si="77"/>
        <v>1.0760385143847286</v>
      </c>
      <c r="S1006">
        <f t="shared" si="78"/>
        <v>6.3961485615271263E-2</v>
      </c>
      <c r="T1006">
        <f t="shared" si="79"/>
        <v>4.0910716421125523E-3</v>
      </c>
    </row>
    <row r="1007" spans="1:20" hidden="1" x14ac:dyDescent="0.25">
      <c r="A1007" t="str">
        <f t="shared" si="76"/>
        <v>BAR</v>
      </c>
      <c r="B1007" t="s">
        <v>1013</v>
      </c>
      <c r="C1007">
        <v>1.689469882</v>
      </c>
      <c r="D1007">
        <v>6.9712824000000007E-2</v>
      </c>
      <c r="E1007">
        <v>0.66746707500000002</v>
      </c>
      <c r="F1007">
        <v>0.36870093599999998</v>
      </c>
      <c r="G1007">
        <v>0.73968599000000002</v>
      </c>
      <c r="H1007">
        <v>1.25</v>
      </c>
      <c r="I1007">
        <v>1.4425679730540599</v>
      </c>
      <c r="J1007">
        <v>1.4494059025264201</v>
      </c>
      <c r="K1007">
        <v>1.4830047980111301</v>
      </c>
      <c r="L1007">
        <v>1.37173774786015</v>
      </c>
      <c r="M1007">
        <v>1.4459869377902399</v>
      </c>
      <c r="N1007">
        <v>1.4459828957979199</v>
      </c>
      <c r="Q1007">
        <f t="shared" si="75"/>
        <v>1.25</v>
      </c>
      <c r="R1007">
        <f t="shared" si="77"/>
        <v>1.370480134379028</v>
      </c>
      <c r="S1007">
        <f t="shared" si="78"/>
        <v>-0.12048013437902805</v>
      </c>
      <c r="T1007">
        <f t="shared" si="79"/>
        <v>1.4515462779988657E-2</v>
      </c>
    </row>
    <row r="1008" spans="1:20" hidden="1" x14ac:dyDescent="0.25">
      <c r="A1008" t="str">
        <f t="shared" si="76"/>
        <v>BAR</v>
      </c>
      <c r="B1008" t="s">
        <v>1014</v>
      </c>
      <c r="C1008">
        <v>1.591034727</v>
      </c>
      <c r="D1008">
        <v>6.8285006999999995E-2</v>
      </c>
      <c r="E1008">
        <v>0.66340505800000005</v>
      </c>
      <c r="F1008">
        <v>0.35011088899999998</v>
      </c>
      <c r="G1008">
        <v>0.74405956600000001</v>
      </c>
      <c r="H1008">
        <v>1.1200000000000001</v>
      </c>
      <c r="I1008">
        <v>1.4664320146235701</v>
      </c>
      <c r="J1008">
        <v>1.43897638097165</v>
      </c>
      <c r="K1008">
        <v>1.57576683556237</v>
      </c>
      <c r="L1008">
        <v>1.40823143010949</v>
      </c>
      <c r="M1008">
        <v>1.4527041977976101</v>
      </c>
      <c r="N1008">
        <v>1.4526393335387799</v>
      </c>
      <c r="Q1008">
        <f t="shared" si="75"/>
        <v>1.1200000000000001</v>
      </c>
      <c r="R1008">
        <f t="shared" si="77"/>
        <v>1.3698745188564421</v>
      </c>
      <c r="S1008">
        <f t="shared" si="78"/>
        <v>-0.24987451885644196</v>
      </c>
      <c r="T1008">
        <f t="shared" si="79"/>
        <v>6.2437275173738371E-2</v>
      </c>
    </row>
    <row r="1009" spans="1:20" hidden="1" x14ac:dyDescent="0.25">
      <c r="A1009" t="str">
        <f t="shared" si="76"/>
        <v>BAR</v>
      </c>
      <c r="B1009" t="s">
        <v>1015</v>
      </c>
      <c r="C1009">
        <v>1.929177675</v>
      </c>
      <c r="D1009">
        <v>6.6427556999999998E-2</v>
      </c>
      <c r="E1009">
        <v>0.67304413600000002</v>
      </c>
      <c r="F1009">
        <v>0.39755443000000001</v>
      </c>
      <c r="G1009">
        <v>0.74245158899999997</v>
      </c>
      <c r="H1009">
        <v>1.38</v>
      </c>
      <c r="I1009">
        <v>1.2167595026495599</v>
      </c>
      <c r="J1009">
        <v>1.24077795333117</v>
      </c>
      <c r="K1009">
        <v>1.2299529015855599</v>
      </c>
      <c r="L1009">
        <v>1.2037906507487499</v>
      </c>
      <c r="M1009">
        <v>1.2287687279903701</v>
      </c>
      <c r="N1009">
        <v>1.22871004121956</v>
      </c>
      <c r="Q1009">
        <f t="shared" si="75"/>
        <v>1.38</v>
      </c>
      <c r="R1009">
        <f t="shared" si="77"/>
        <v>1.1291806244108042</v>
      </c>
      <c r="S1009">
        <f t="shared" si="78"/>
        <v>0.25081937558919565</v>
      </c>
      <c r="T1009">
        <f t="shared" si="79"/>
        <v>6.2910359170954E-2</v>
      </c>
    </row>
    <row r="1010" spans="1:20" hidden="1" x14ac:dyDescent="0.25">
      <c r="A1010" t="str">
        <f t="shared" si="76"/>
        <v>BAR</v>
      </c>
      <c r="B1010" t="s">
        <v>1016</v>
      </c>
      <c r="C1010">
        <v>1.7028328370000001</v>
      </c>
      <c r="D1010">
        <v>6.5214639000000005E-2</v>
      </c>
      <c r="E1010">
        <v>0.68299470900000003</v>
      </c>
      <c r="F1010">
        <v>0.34986889999999998</v>
      </c>
      <c r="G1010">
        <v>0.75594422999999999</v>
      </c>
      <c r="H1010">
        <v>1.35</v>
      </c>
      <c r="I1010">
        <v>1.2714116968995299</v>
      </c>
      <c r="J1010">
        <v>1.27401359753355</v>
      </c>
      <c r="K1010">
        <v>1.34146934816299</v>
      </c>
      <c r="L1010">
        <v>1.2220531425194301</v>
      </c>
      <c r="M1010">
        <v>1.27271264721654</v>
      </c>
      <c r="N1010">
        <v>1.27271198230912</v>
      </c>
      <c r="Q1010">
        <f t="shared" si="75"/>
        <v>1.35</v>
      </c>
      <c r="R1010">
        <f t="shared" si="77"/>
        <v>1.1820486711273306</v>
      </c>
      <c r="S1010">
        <f t="shared" si="78"/>
        <v>0.1679513288726695</v>
      </c>
      <c r="T1010">
        <f t="shared" si="79"/>
        <v>2.8207648870095588E-2</v>
      </c>
    </row>
    <row r="1011" spans="1:20" hidden="1" x14ac:dyDescent="0.25">
      <c r="A1011" t="str">
        <f t="shared" si="76"/>
        <v>BAR</v>
      </c>
      <c r="B1011" t="s">
        <v>1017</v>
      </c>
      <c r="C1011">
        <v>1.6642838049999999</v>
      </c>
      <c r="D1011">
        <v>6.4052706000000001E-2</v>
      </c>
      <c r="E1011">
        <v>0.683879405</v>
      </c>
      <c r="F1011">
        <v>0.38545542300000002</v>
      </c>
      <c r="G1011">
        <v>0.76878403200000001</v>
      </c>
      <c r="H1011">
        <v>1.4</v>
      </c>
      <c r="I1011">
        <v>1.4713339865769399</v>
      </c>
      <c r="J1011">
        <v>1.4165431246906599</v>
      </c>
      <c r="K1011">
        <v>1.57974977869378</v>
      </c>
      <c r="L1011">
        <v>1.4781111246207601</v>
      </c>
      <c r="M1011">
        <v>1.4439385556338</v>
      </c>
      <c r="N1011">
        <v>1.4436786494262701</v>
      </c>
      <c r="Q1011">
        <f t="shared" si="75"/>
        <v>1.4</v>
      </c>
      <c r="R1011">
        <f t="shared" si="77"/>
        <v>1.3547661537291393</v>
      </c>
      <c r="S1011">
        <f t="shared" si="78"/>
        <v>4.5233846270860578E-2</v>
      </c>
      <c r="T1011">
        <f t="shared" si="79"/>
        <v>2.0461008484558476E-3</v>
      </c>
    </row>
    <row r="1012" spans="1:20" hidden="1" x14ac:dyDescent="0.25">
      <c r="A1012" t="str">
        <f t="shared" si="76"/>
        <v>BAR</v>
      </c>
      <c r="B1012" t="s">
        <v>1018</v>
      </c>
      <c r="C1012">
        <v>1.838652202</v>
      </c>
      <c r="D1012">
        <v>7.3758852E-2</v>
      </c>
      <c r="E1012">
        <v>0.66356370600000003</v>
      </c>
      <c r="F1012">
        <v>0.38360887900000001</v>
      </c>
      <c r="G1012">
        <v>0.73780649200000004</v>
      </c>
      <c r="H1012">
        <v>1</v>
      </c>
      <c r="I1012">
        <v>1.3941859123172999</v>
      </c>
      <c r="J1012">
        <v>1.45597145060047</v>
      </c>
      <c r="K1012">
        <v>1.30959423658634</v>
      </c>
      <c r="L1012">
        <v>1.25620013626465</v>
      </c>
      <c r="M1012">
        <v>1.4250786814588801</v>
      </c>
      <c r="N1012">
        <v>1.42474379632387</v>
      </c>
      <c r="Q1012">
        <f t="shared" si="75"/>
        <v>1</v>
      </c>
      <c r="R1012">
        <f t="shared" si="77"/>
        <v>1.3526175580387414</v>
      </c>
      <c r="S1012">
        <f t="shared" si="78"/>
        <v>-0.3526175580387414</v>
      </c>
      <c r="T1012">
        <f t="shared" si="79"/>
        <v>0.12433914223720516</v>
      </c>
    </row>
    <row r="1013" spans="1:20" hidden="1" x14ac:dyDescent="0.25">
      <c r="A1013" t="str">
        <f t="shared" si="76"/>
        <v>BAR</v>
      </c>
      <c r="B1013" t="s">
        <v>1019</v>
      </c>
      <c r="C1013">
        <v>1.8161236999999999</v>
      </c>
      <c r="D1013">
        <v>7.2651443999999996E-2</v>
      </c>
      <c r="E1013">
        <v>0.67196779500000003</v>
      </c>
      <c r="F1013">
        <v>0.396006629</v>
      </c>
      <c r="G1013">
        <v>0.74239854500000002</v>
      </c>
      <c r="H1013">
        <v>1.27</v>
      </c>
      <c r="I1013">
        <v>1.4584483565788999</v>
      </c>
      <c r="J1013">
        <v>1.5049301255199701</v>
      </c>
      <c r="K1013">
        <v>1.4621371597764501</v>
      </c>
      <c r="L1013">
        <v>1.4489844423903999</v>
      </c>
      <c r="M1013">
        <v>1.48168924104943</v>
      </c>
      <c r="N1013">
        <v>1.4815069585832801</v>
      </c>
      <c r="Q1013">
        <f t="shared" si="75"/>
        <v>1.27</v>
      </c>
      <c r="R1013">
        <f t="shared" si="77"/>
        <v>1.4148533689204039</v>
      </c>
      <c r="S1013">
        <f t="shared" si="78"/>
        <v>-0.1448533689204039</v>
      </c>
      <c r="T1013">
        <f t="shared" si="79"/>
        <v>2.0982498487590637E-2</v>
      </c>
    </row>
    <row r="1014" spans="1:20" hidden="1" x14ac:dyDescent="0.25">
      <c r="A1014" t="str">
        <f t="shared" si="76"/>
        <v>BAR</v>
      </c>
      <c r="B1014" t="s">
        <v>1020</v>
      </c>
      <c r="C1014">
        <v>2.0667415240000002</v>
      </c>
      <c r="D1014">
        <v>7.1177340000000006E-2</v>
      </c>
      <c r="E1014">
        <v>0.67739213200000004</v>
      </c>
      <c r="F1014">
        <v>0.41637796100000002</v>
      </c>
      <c r="G1014">
        <v>0.749890642</v>
      </c>
      <c r="H1014">
        <v>1.1599999999999999</v>
      </c>
      <c r="I1014">
        <v>1.2099895972380801</v>
      </c>
      <c r="J1014">
        <v>1.2969696318647499</v>
      </c>
      <c r="K1014">
        <v>1.12854213721297</v>
      </c>
      <c r="L1014">
        <v>1.1907617819590901</v>
      </c>
      <c r="M1014">
        <v>1.25347961455142</v>
      </c>
      <c r="N1014">
        <v>1.2527249348879601</v>
      </c>
      <c r="Q1014">
        <f t="shared" si="75"/>
        <v>1.1599999999999999</v>
      </c>
      <c r="R1014">
        <f t="shared" si="77"/>
        <v>1.1665889812441503</v>
      </c>
      <c r="S1014">
        <f t="shared" si="78"/>
        <v>-6.5889812441504159E-3</v>
      </c>
      <c r="T1014">
        <f t="shared" si="79"/>
        <v>4.3414673835765961E-5</v>
      </c>
    </row>
    <row r="1015" spans="1:20" hidden="1" x14ac:dyDescent="0.25">
      <c r="A1015" t="str">
        <f t="shared" si="76"/>
        <v>BAR</v>
      </c>
      <c r="B1015" t="s">
        <v>1021</v>
      </c>
      <c r="C1015">
        <v>1.7428806450000001</v>
      </c>
      <c r="D1015">
        <v>7.4466404999999999E-2</v>
      </c>
      <c r="E1015">
        <v>0.64958698699999995</v>
      </c>
      <c r="F1015">
        <v>0.36395811</v>
      </c>
      <c r="G1015">
        <v>0.71393113600000002</v>
      </c>
      <c r="H1015">
        <v>1.03</v>
      </c>
      <c r="I1015">
        <v>1.41469773807234</v>
      </c>
      <c r="J1015">
        <v>1.4808559802256001</v>
      </c>
      <c r="K1015">
        <v>1.47017573668769</v>
      </c>
      <c r="L1015">
        <v>1.4020934752196399</v>
      </c>
      <c r="M1015">
        <v>1.4477768591489699</v>
      </c>
      <c r="N1015">
        <v>1.4473989103339999</v>
      </c>
      <c r="Q1015">
        <f t="shared" si="75"/>
        <v>1.03</v>
      </c>
      <c r="R1015">
        <f t="shared" si="77"/>
        <v>1.3849675476073671</v>
      </c>
      <c r="S1015">
        <f t="shared" si="78"/>
        <v>-0.35496754760736704</v>
      </c>
      <c r="T1015">
        <f t="shared" si="79"/>
        <v>0.12600195985438839</v>
      </c>
    </row>
    <row r="1016" spans="1:20" hidden="1" x14ac:dyDescent="0.25">
      <c r="A1016" t="str">
        <f t="shared" si="76"/>
        <v>BAR</v>
      </c>
      <c r="B1016" t="s">
        <v>1022</v>
      </c>
      <c r="C1016">
        <v>2.0355116440000001</v>
      </c>
      <c r="D1016">
        <v>6.7480081999999997E-2</v>
      </c>
      <c r="E1016">
        <v>0.67677609599999999</v>
      </c>
      <c r="F1016">
        <v>0.47950945499999997</v>
      </c>
      <c r="G1016">
        <v>0.74955411400000005</v>
      </c>
      <c r="H1016">
        <v>1.45</v>
      </c>
      <c r="I1016">
        <v>1.4797972208706001</v>
      </c>
      <c r="J1016">
        <v>1.4654910313907701</v>
      </c>
      <c r="K1016">
        <v>1.52299265910478</v>
      </c>
      <c r="L1016">
        <v>1.5897938232126201</v>
      </c>
      <c r="M1016">
        <v>1.47264412613068</v>
      </c>
      <c r="N1016">
        <v>1.4726267536150699</v>
      </c>
      <c r="Q1016">
        <f t="shared" si="75"/>
        <v>1.45</v>
      </c>
      <c r="R1016">
        <f t="shared" si="77"/>
        <v>1.381436009844291</v>
      </c>
      <c r="S1016">
        <f t="shared" si="78"/>
        <v>6.8563990155708909E-2</v>
      </c>
      <c r="T1016">
        <f t="shared" si="79"/>
        <v>4.7010207460721478E-3</v>
      </c>
    </row>
    <row r="1017" spans="1:20" hidden="1" x14ac:dyDescent="0.25">
      <c r="A1017" t="str">
        <f t="shared" si="76"/>
        <v>BAR</v>
      </c>
      <c r="B1017" t="s">
        <v>1023</v>
      </c>
      <c r="C1017">
        <v>1.7652647260000001</v>
      </c>
      <c r="D1017">
        <v>7.1227574000000002E-2</v>
      </c>
      <c r="E1017">
        <v>0.69105598199999996</v>
      </c>
      <c r="F1017">
        <v>0.41611158300000001</v>
      </c>
      <c r="G1017">
        <v>0.75808405300000004</v>
      </c>
      <c r="H1017">
        <v>1.1299999999999999</v>
      </c>
      <c r="I1017">
        <v>1.5871594279553101</v>
      </c>
      <c r="J1017">
        <v>1.6155608824373999</v>
      </c>
      <c r="K1017">
        <v>1.6521632624342999</v>
      </c>
      <c r="L1017">
        <v>1.65655352945253</v>
      </c>
      <c r="M1017">
        <v>1.6013601551963501</v>
      </c>
      <c r="N1017">
        <v>1.6012971885306999</v>
      </c>
      <c r="Q1017">
        <f t="shared" si="75"/>
        <v>1.1299999999999999</v>
      </c>
      <c r="R1017">
        <f t="shared" si="77"/>
        <v>1.5500102705360823</v>
      </c>
      <c r="S1017">
        <f t="shared" si="78"/>
        <v>-0.42001027053608242</v>
      </c>
      <c r="T1017">
        <f t="shared" si="79"/>
        <v>0.17640862735579316</v>
      </c>
    </row>
    <row r="1018" spans="1:20" hidden="1" x14ac:dyDescent="0.25">
      <c r="A1018" t="str">
        <f t="shared" si="76"/>
        <v>BAR</v>
      </c>
      <c r="B1018" t="s">
        <v>1024</v>
      </c>
      <c r="C1018">
        <v>1.708748937</v>
      </c>
      <c r="D1018">
        <v>7.4249816999999996E-2</v>
      </c>
      <c r="E1018">
        <v>0.67854563599999995</v>
      </c>
      <c r="F1018">
        <v>0.37699400900000002</v>
      </c>
      <c r="G1018">
        <v>0.73909454699999999</v>
      </c>
      <c r="H1018">
        <v>1.1499999999999999</v>
      </c>
      <c r="I1018">
        <v>1.5224101413219</v>
      </c>
      <c r="J1018">
        <v>1.5940777380825</v>
      </c>
      <c r="K1018">
        <v>1.53687608420306</v>
      </c>
      <c r="L1018">
        <v>1.45305841346409</v>
      </c>
      <c r="M1018">
        <v>1.5582439397022001</v>
      </c>
      <c r="N1018">
        <v>1.55783186336404</v>
      </c>
      <c r="Q1018">
        <f t="shared" si="75"/>
        <v>1.1499999999999999</v>
      </c>
      <c r="R1018">
        <f t="shared" si="77"/>
        <v>1.5148219958501872</v>
      </c>
      <c r="S1018">
        <f t="shared" si="78"/>
        <v>-0.36482199585018726</v>
      </c>
      <c r="T1018">
        <f t="shared" si="79"/>
        <v>0.13309508865611405</v>
      </c>
    </row>
    <row r="1019" spans="1:20" hidden="1" x14ac:dyDescent="0.25">
      <c r="A1019" t="str">
        <f t="shared" si="76"/>
        <v>BAR</v>
      </c>
      <c r="B1019" t="s">
        <v>1025</v>
      </c>
      <c r="C1019">
        <v>1.9336981</v>
      </c>
      <c r="D1019">
        <v>7.3998816999999995E-2</v>
      </c>
      <c r="E1019">
        <v>0.67558621600000002</v>
      </c>
      <c r="F1019">
        <v>0.406698589</v>
      </c>
      <c r="G1019">
        <v>0.73898848100000003</v>
      </c>
      <c r="H1019">
        <v>1.17</v>
      </c>
      <c r="I1019">
        <v>1.37076245414239</v>
      </c>
      <c r="J1019">
        <v>1.4675591904085299</v>
      </c>
      <c r="K1019">
        <v>1.29262495766307</v>
      </c>
      <c r="L1019">
        <v>1.3178624154479599</v>
      </c>
      <c r="M1019">
        <v>1.4191608222754599</v>
      </c>
      <c r="N1019">
        <v>1.41833530501205</v>
      </c>
      <c r="Q1019">
        <f t="shared" si="75"/>
        <v>1.17</v>
      </c>
      <c r="R1019">
        <f t="shared" si="77"/>
        <v>1.3584389069081246</v>
      </c>
      <c r="S1019">
        <f t="shared" si="78"/>
        <v>-0.1884389069081247</v>
      </c>
      <c r="T1019">
        <f t="shared" si="79"/>
        <v>3.5509221636728885E-2</v>
      </c>
    </row>
    <row r="1020" spans="1:20" hidden="1" x14ac:dyDescent="0.25">
      <c r="A1020" t="str">
        <f t="shared" si="76"/>
        <v>BAR</v>
      </c>
      <c r="B1020" t="s">
        <v>1026</v>
      </c>
      <c r="C1020">
        <v>2.0073416069999999</v>
      </c>
      <c r="D1020">
        <v>7.2409492000000006E-2</v>
      </c>
      <c r="E1020">
        <v>0.69511239700000005</v>
      </c>
      <c r="F1020">
        <v>0.41426043400000001</v>
      </c>
      <c r="G1020">
        <v>0.76347894199999999</v>
      </c>
      <c r="H1020">
        <v>1.43</v>
      </c>
      <c r="I1020">
        <v>1.29061553114651</v>
      </c>
      <c r="J1020">
        <v>1.4032115213648799</v>
      </c>
      <c r="K1020">
        <v>1.1664500831651201</v>
      </c>
      <c r="L1020">
        <v>1.1999548376197999</v>
      </c>
      <c r="M1020">
        <v>1.3469135262556999</v>
      </c>
      <c r="N1020">
        <v>1.34573644632121</v>
      </c>
      <c r="Q1020">
        <f t="shared" si="75"/>
        <v>1.43</v>
      </c>
      <c r="R1020">
        <f t="shared" si="77"/>
        <v>1.2845030289869497</v>
      </c>
      <c r="S1020">
        <f t="shared" si="78"/>
        <v>0.14549697101305026</v>
      </c>
      <c r="T1020">
        <f t="shared" si="79"/>
        <v>2.1169368573972388E-2</v>
      </c>
    </row>
    <row r="1021" spans="1:20" hidden="1" x14ac:dyDescent="0.25">
      <c r="A1021" t="str">
        <f t="shared" si="76"/>
        <v>BAR</v>
      </c>
      <c r="B1021" t="s">
        <v>1027</v>
      </c>
      <c r="C1021">
        <v>1.8971222640000001</v>
      </c>
      <c r="D1021">
        <v>6.7061683999999996E-2</v>
      </c>
      <c r="E1021">
        <v>0.68133888099999995</v>
      </c>
      <c r="F1021">
        <v>0.45748327900000002</v>
      </c>
      <c r="G1021">
        <v>0.75129536699999999</v>
      </c>
      <c r="H1021">
        <v>1.61</v>
      </c>
      <c r="I1021">
        <v>1.54300615624103</v>
      </c>
      <c r="J1021">
        <v>1.5179669774903599</v>
      </c>
      <c r="K1021">
        <v>1.59698508454522</v>
      </c>
      <c r="L1021">
        <v>1.6434481107777701</v>
      </c>
      <c r="M1021">
        <v>1.5304865668656999</v>
      </c>
      <c r="N1021">
        <v>1.5304353600326399</v>
      </c>
      <c r="Q1021">
        <f t="shared" si="75"/>
        <v>1.61</v>
      </c>
      <c r="R1021">
        <f t="shared" si="77"/>
        <v>1.4502252387783088</v>
      </c>
      <c r="S1021">
        <f t="shared" si="78"/>
        <v>0.15977476122169132</v>
      </c>
      <c r="T1021">
        <f t="shared" si="79"/>
        <v>2.5527974323448475E-2</v>
      </c>
    </row>
    <row r="1022" spans="1:20" hidden="1" x14ac:dyDescent="0.25">
      <c r="A1022" t="str">
        <f t="shared" si="76"/>
        <v>BAR</v>
      </c>
      <c r="B1022" t="s">
        <v>1028</v>
      </c>
      <c r="C1022">
        <v>1.872245342</v>
      </c>
      <c r="D1022">
        <v>6.7521076999999999E-2</v>
      </c>
      <c r="E1022">
        <v>0.68716548300000002</v>
      </c>
      <c r="F1022">
        <v>0.312909296</v>
      </c>
      <c r="G1022">
        <v>0.76473465200000001</v>
      </c>
      <c r="H1022">
        <v>0.93</v>
      </c>
      <c r="I1022">
        <v>0.94780413154179599</v>
      </c>
      <c r="J1022">
        <v>1.03000562868287</v>
      </c>
      <c r="K1022">
        <v>0.70888955438007895</v>
      </c>
      <c r="L1022">
        <v>0.65734813203939702</v>
      </c>
      <c r="M1022">
        <v>0.98890488011233701</v>
      </c>
      <c r="N1022">
        <v>0.98805039870288902</v>
      </c>
      <c r="Q1022">
        <f t="shared" si="75"/>
        <v>0.93</v>
      </c>
      <c r="R1022">
        <f t="shared" si="77"/>
        <v>0.87900706166133036</v>
      </c>
      <c r="S1022">
        <f t="shared" si="78"/>
        <v>5.0992938338669691E-2</v>
      </c>
      <c r="T1022">
        <f t="shared" si="79"/>
        <v>2.6002797604113693E-3</v>
      </c>
    </row>
    <row r="1023" spans="1:20" hidden="1" x14ac:dyDescent="0.25">
      <c r="A1023" t="str">
        <f t="shared" si="76"/>
        <v>BAR</v>
      </c>
      <c r="B1023" t="s">
        <v>1029</v>
      </c>
      <c r="C1023">
        <v>1.417470257</v>
      </c>
      <c r="D1023">
        <v>7.9196380999999996E-2</v>
      </c>
      <c r="E1023">
        <v>0.69066893799999995</v>
      </c>
      <c r="F1023">
        <v>0.30509120099999998</v>
      </c>
      <c r="G1023">
        <v>0.71893313199999997</v>
      </c>
      <c r="H1023">
        <v>1.1100000000000001</v>
      </c>
      <c r="I1023">
        <v>1.5916634031822301</v>
      </c>
      <c r="J1023">
        <v>1.78014822440887</v>
      </c>
      <c r="K1023">
        <v>1.3025979596085</v>
      </c>
      <c r="L1023">
        <v>1.3638034780238899</v>
      </c>
      <c r="M1023">
        <v>1.68590581379555</v>
      </c>
      <c r="N1023">
        <v>1.6832696697295499</v>
      </c>
      <c r="Q1023">
        <f t="shared" si="75"/>
        <v>1.1100000000000001</v>
      </c>
      <c r="R1023">
        <f t="shared" si="77"/>
        <v>1.7161965476204912</v>
      </c>
      <c r="S1023">
        <f t="shared" si="78"/>
        <v>-0.60619654762049113</v>
      </c>
      <c r="T1023">
        <f t="shared" si="79"/>
        <v>0.36747425434700237</v>
      </c>
    </row>
    <row r="1024" spans="1:20" hidden="1" x14ac:dyDescent="0.25">
      <c r="A1024" t="str">
        <f t="shared" si="76"/>
        <v>BAR</v>
      </c>
      <c r="B1024" t="s">
        <v>1030</v>
      </c>
      <c r="C1024">
        <v>1.7963930610000001</v>
      </c>
      <c r="D1024">
        <v>8.0927028999999998E-2</v>
      </c>
      <c r="E1024">
        <v>0.69651135600000003</v>
      </c>
      <c r="F1024">
        <v>0.31577927700000002</v>
      </c>
      <c r="G1024">
        <v>0.75444316600000005</v>
      </c>
      <c r="H1024">
        <v>1.1200000000000001</v>
      </c>
      <c r="I1024">
        <v>1.23240677391614</v>
      </c>
      <c r="J1024">
        <v>1.5020830421582401</v>
      </c>
      <c r="K1024">
        <v>0.91270262946124803</v>
      </c>
      <c r="L1024">
        <v>0.81518841053280899</v>
      </c>
      <c r="M1024">
        <v>1.36724490803719</v>
      </c>
      <c r="N1024">
        <v>1.3605797720605599</v>
      </c>
      <c r="Q1024">
        <f t="shared" si="75"/>
        <v>1.1200000000000001</v>
      </c>
      <c r="R1024">
        <f t="shared" si="77"/>
        <v>1.3622878883085505</v>
      </c>
      <c r="S1024">
        <f t="shared" si="78"/>
        <v>-0.24228788830855041</v>
      </c>
      <c r="T1024">
        <f t="shared" si="79"/>
        <v>5.8703420821016601E-2</v>
      </c>
    </row>
    <row r="1025" spans="1:20" hidden="1" x14ac:dyDescent="0.25">
      <c r="A1025" t="str">
        <f t="shared" si="76"/>
        <v>BAR</v>
      </c>
      <c r="B1025" t="s">
        <v>1031</v>
      </c>
      <c r="C1025">
        <v>1.7374414680000001</v>
      </c>
      <c r="D1025">
        <v>7.4412567999999998E-2</v>
      </c>
      <c r="E1025">
        <v>0.66992639399999998</v>
      </c>
      <c r="F1025">
        <v>0.307996728</v>
      </c>
      <c r="G1025">
        <v>0.71873776599999994</v>
      </c>
      <c r="H1025">
        <v>0.96</v>
      </c>
      <c r="I1025">
        <v>1.1062011956819</v>
      </c>
      <c r="J1025">
        <v>1.30540756095114</v>
      </c>
      <c r="K1025">
        <v>0.89321300963698003</v>
      </c>
      <c r="L1025">
        <v>0.90006968973947798</v>
      </c>
      <c r="M1025">
        <v>1.20580437831652</v>
      </c>
      <c r="N1025">
        <v>1.2016835709854501</v>
      </c>
      <c r="Q1025">
        <f t="shared" ref="Q1025:Q1088" si="80">H1025</f>
        <v>0.96</v>
      </c>
      <c r="R1025">
        <f t="shared" si="77"/>
        <v>1.1772258872738406</v>
      </c>
      <c r="S1025">
        <f t="shared" si="78"/>
        <v>-0.21722588727384062</v>
      </c>
      <c r="T1025">
        <f t="shared" si="79"/>
        <v>4.7187086101907312E-2</v>
      </c>
    </row>
    <row r="1026" spans="1:20" hidden="1" x14ac:dyDescent="0.25">
      <c r="A1026" t="str">
        <f t="shared" si="76"/>
        <v>BAR</v>
      </c>
      <c r="B1026" t="s">
        <v>1032</v>
      </c>
      <c r="C1026">
        <v>1.91381815</v>
      </c>
      <c r="D1026">
        <v>7.2319438E-2</v>
      </c>
      <c r="E1026">
        <v>0.70268829899999996</v>
      </c>
      <c r="F1026">
        <v>0.379078635</v>
      </c>
      <c r="G1026">
        <v>0.76478871199999998</v>
      </c>
      <c r="H1026">
        <v>1.31</v>
      </c>
      <c r="I1026">
        <v>1.23947151946984</v>
      </c>
      <c r="J1026">
        <v>1.3745475653605601</v>
      </c>
      <c r="K1026">
        <v>1.13431963016422</v>
      </c>
      <c r="L1026">
        <v>1.0869950376228401</v>
      </c>
      <c r="M1026">
        <v>1.3070095424152</v>
      </c>
      <c r="N1026">
        <v>1.30526340614491</v>
      </c>
      <c r="Q1026">
        <f t="shared" si="80"/>
        <v>1.31</v>
      </c>
      <c r="R1026">
        <f t="shared" si="77"/>
        <v>1.2545901451656674</v>
      </c>
      <c r="S1026">
        <f t="shared" si="78"/>
        <v>5.5409854834332695E-2</v>
      </c>
      <c r="T1026">
        <f t="shared" si="79"/>
        <v>3.0702520127618223E-3</v>
      </c>
    </row>
    <row r="1027" spans="1:20" hidden="1" x14ac:dyDescent="0.25">
      <c r="A1027" t="str">
        <f t="shared" ref="A1027:A1090" si="81">LEFT(B1027,3)</f>
        <v>BAR</v>
      </c>
      <c r="B1027" t="s">
        <v>1033</v>
      </c>
      <c r="C1027">
        <v>1.997886286</v>
      </c>
      <c r="D1027">
        <v>7.0501723000000002E-2</v>
      </c>
      <c r="E1027">
        <v>0.70892551699999995</v>
      </c>
      <c r="F1027">
        <v>0.44245041699999998</v>
      </c>
      <c r="G1027">
        <v>0.79728145500000003</v>
      </c>
      <c r="H1027">
        <v>1.46</v>
      </c>
      <c r="I1027">
        <v>1.43047030638383</v>
      </c>
      <c r="J1027">
        <v>1.4823622307250599</v>
      </c>
      <c r="K1027">
        <v>1.21137524693518</v>
      </c>
      <c r="L1027">
        <v>1.2163949685700901</v>
      </c>
      <c r="M1027">
        <v>1.45641626855444</v>
      </c>
      <c r="N1027">
        <v>1.4561851373905399</v>
      </c>
      <c r="Q1027">
        <f t="shared" si="80"/>
        <v>1.46</v>
      </c>
      <c r="R1027">
        <f t="shared" ref="R1027:R1090" si="82">$X$2*F1027+$X$3*D1027*E1027+($X$4/(D1027-$X$5))-$X$6*C1027</f>
        <v>1.3841815579222283</v>
      </c>
      <c r="S1027">
        <f t="shared" ref="S1027:S1090" si="83">Q1027-R1027</f>
        <v>7.5818442077771664E-2</v>
      </c>
      <c r="T1027">
        <f t="shared" ref="T1027:T1090" si="84">S1027^2</f>
        <v>5.7484361591004169E-3</v>
      </c>
    </row>
    <row r="1028" spans="1:20" hidden="1" x14ac:dyDescent="0.25">
      <c r="A1028" t="str">
        <f t="shared" si="81"/>
        <v>BAR</v>
      </c>
      <c r="B1028" t="s">
        <v>1034</v>
      </c>
      <c r="C1028">
        <v>0.97336135499999998</v>
      </c>
      <c r="D1028">
        <v>6.8808850000000005E-2</v>
      </c>
      <c r="E1028">
        <v>0.68080228300000001</v>
      </c>
      <c r="F1028">
        <v>0.313038131</v>
      </c>
      <c r="G1028">
        <v>0.76937271200000001</v>
      </c>
      <c r="H1028">
        <v>1.1100000000000001</v>
      </c>
      <c r="I1028">
        <v>2.0957611454282201</v>
      </c>
      <c r="J1028">
        <v>1.95414684543854</v>
      </c>
      <c r="K1028">
        <v>2.2160802908167998</v>
      </c>
      <c r="L1028">
        <v>1.89698950644361</v>
      </c>
      <c r="M1028">
        <v>2.0249539954333802</v>
      </c>
      <c r="N1028">
        <v>2.0237156497717801</v>
      </c>
      <c r="Q1028">
        <f t="shared" si="80"/>
        <v>1.1100000000000001</v>
      </c>
      <c r="R1028">
        <f t="shared" si="82"/>
        <v>1.9949200884915703</v>
      </c>
      <c r="S1028">
        <f t="shared" si="83"/>
        <v>-0.88492008849157022</v>
      </c>
      <c r="T1028">
        <f t="shared" si="84"/>
        <v>0.78308356301592852</v>
      </c>
    </row>
    <row r="1029" spans="1:20" hidden="1" x14ac:dyDescent="0.25">
      <c r="A1029" t="str">
        <f t="shared" si="81"/>
        <v>BAR</v>
      </c>
      <c r="B1029" t="s">
        <v>1035</v>
      </c>
      <c r="C1029">
        <v>1.724767191</v>
      </c>
      <c r="D1029">
        <v>6.8876324000000003E-2</v>
      </c>
      <c r="E1029">
        <v>0.71755895300000005</v>
      </c>
      <c r="F1029">
        <v>0.32613074399999997</v>
      </c>
      <c r="G1029">
        <v>0.80171029299999996</v>
      </c>
      <c r="H1029">
        <v>1.51</v>
      </c>
      <c r="I1029">
        <v>1.2651344812537699</v>
      </c>
      <c r="J1029">
        <v>1.29617942177111</v>
      </c>
      <c r="K1029">
        <v>1.0603347218572201</v>
      </c>
      <c r="L1029">
        <v>0.90983464989110496</v>
      </c>
      <c r="M1029">
        <v>1.28065695151244</v>
      </c>
      <c r="N1029">
        <v>1.28056287638453</v>
      </c>
      <c r="Q1029">
        <f t="shared" si="80"/>
        <v>1.51</v>
      </c>
      <c r="R1029">
        <f t="shared" si="82"/>
        <v>1.1857498249651091</v>
      </c>
      <c r="S1029">
        <f t="shared" si="83"/>
        <v>0.32425017503489095</v>
      </c>
      <c r="T1029">
        <f t="shared" si="84"/>
        <v>0.10513817601015742</v>
      </c>
    </row>
    <row r="1030" spans="1:20" hidden="1" x14ac:dyDescent="0.25">
      <c r="A1030" t="str">
        <f t="shared" si="81"/>
        <v>BAR</v>
      </c>
      <c r="B1030" t="s">
        <v>1036</v>
      </c>
      <c r="C1030">
        <v>1.8921110320000001</v>
      </c>
      <c r="D1030">
        <v>7.5762966000000001E-2</v>
      </c>
      <c r="E1030">
        <v>0.72200982999999996</v>
      </c>
      <c r="F1030">
        <v>0.457662087</v>
      </c>
      <c r="G1030">
        <v>0.81018742700000002</v>
      </c>
      <c r="H1030">
        <v>1.79</v>
      </c>
      <c r="I1030">
        <v>1.7335303245358999</v>
      </c>
      <c r="J1030">
        <v>1.8059220765069199</v>
      </c>
      <c r="K1030">
        <v>1.5044244910926601</v>
      </c>
      <c r="L1030">
        <v>1.4862006337428499</v>
      </c>
      <c r="M1030">
        <v>1.7697262005214101</v>
      </c>
      <c r="N1030">
        <v>1.76935600809266</v>
      </c>
      <c r="Q1030">
        <f t="shared" si="80"/>
        <v>1.79</v>
      </c>
      <c r="R1030">
        <f t="shared" si="82"/>
        <v>1.7379868959501983</v>
      </c>
      <c r="S1030">
        <f t="shared" si="83"/>
        <v>5.2013104049801751E-2</v>
      </c>
      <c r="T1030">
        <f t="shared" si="84"/>
        <v>2.7053629928955034E-3</v>
      </c>
    </row>
    <row r="1031" spans="1:20" hidden="1" x14ac:dyDescent="0.25">
      <c r="A1031" t="str">
        <f t="shared" si="81"/>
        <v>BAR</v>
      </c>
      <c r="B1031" t="s">
        <v>1037</v>
      </c>
      <c r="C1031">
        <v>1.950938182</v>
      </c>
      <c r="D1031">
        <v>7.4675501000000005E-2</v>
      </c>
      <c r="E1031">
        <v>0.73973171100000001</v>
      </c>
      <c r="F1031">
        <v>0.37961161799999998</v>
      </c>
      <c r="G1031">
        <v>0.82109422399999998</v>
      </c>
      <c r="H1031">
        <v>1.56</v>
      </c>
      <c r="I1031">
        <v>1.33284398235418</v>
      </c>
      <c r="J1031">
        <v>1.4520307235972401</v>
      </c>
      <c r="K1031">
        <v>0.962996575032943</v>
      </c>
      <c r="L1031">
        <v>0.87745034085143303</v>
      </c>
      <c r="M1031">
        <v>1.3924373529757099</v>
      </c>
      <c r="N1031">
        <v>1.3911615334460501</v>
      </c>
      <c r="Q1031">
        <f t="shared" si="80"/>
        <v>1.56</v>
      </c>
      <c r="R1031">
        <f t="shared" si="82"/>
        <v>1.3249663372352289</v>
      </c>
      <c r="S1031">
        <f t="shared" si="83"/>
        <v>0.23503366276477111</v>
      </c>
      <c r="T1031">
        <f t="shared" si="84"/>
        <v>5.5240822632624156E-2</v>
      </c>
    </row>
    <row r="1032" spans="1:20" hidden="1" x14ac:dyDescent="0.25">
      <c r="A1032" t="str">
        <f t="shared" si="81"/>
        <v>BAR</v>
      </c>
      <c r="B1032" t="s">
        <v>1038</v>
      </c>
      <c r="C1032">
        <v>1.689982469</v>
      </c>
      <c r="D1032">
        <v>7.4507259000000006E-2</v>
      </c>
      <c r="E1032">
        <v>0.73004610800000003</v>
      </c>
      <c r="F1032">
        <v>0.38968387399999999</v>
      </c>
      <c r="G1032">
        <v>0.79671068499999997</v>
      </c>
      <c r="H1032">
        <v>1.54</v>
      </c>
      <c r="I1032">
        <v>1.63191104659002</v>
      </c>
      <c r="J1032">
        <v>1.7327040543949499</v>
      </c>
      <c r="K1032">
        <v>1.4728510223206099</v>
      </c>
      <c r="L1032">
        <v>1.32752444121056</v>
      </c>
      <c r="M1032">
        <v>1.68230755049249</v>
      </c>
      <c r="N1032">
        <v>1.68155252277128</v>
      </c>
      <c r="Q1032">
        <f t="shared" si="80"/>
        <v>1.54</v>
      </c>
      <c r="R1032">
        <f t="shared" si="82"/>
        <v>1.6672905075354896</v>
      </c>
      <c r="S1032">
        <f t="shared" si="83"/>
        <v>-0.12729050753548954</v>
      </c>
      <c r="T1032">
        <f t="shared" si="84"/>
        <v>1.6202873308642517E-2</v>
      </c>
    </row>
    <row r="1033" spans="1:20" hidden="1" x14ac:dyDescent="0.25">
      <c r="A1033" t="str">
        <f t="shared" si="81"/>
        <v>BAR</v>
      </c>
      <c r="B1033" t="s">
        <v>1039</v>
      </c>
      <c r="C1033">
        <v>1.8359520979999999</v>
      </c>
      <c r="D1033">
        <v>7.1954584000000002E-2</v>
      </c>
      <c r="E1033">
        <v>0.72324792999999998</v>
      </c>
      <c r="F1033">
        <v>0.37931006099999998</v>
      </c>
      <c r="G1033">
        <v>0.79654994700000004</v>
      </c>
      <c r="H1033">
        <v>1.81</v>
      </c>
      <c r="I1033">
        <v>1.3707094419764301</v>
      </c>
      <c r="J1033">
        <v>1.4689355487601099</v>
      </c>
      <c r="K1033">
        <v>1.1782466524617801</v>
      </c>
      <c r="L1033">
        <v>1.07382650238854</v>
      </c>
      <c r="M1033">
        <v>1.4198224953682701</v>
      </c>
      <c r="N1033">
        <v>1.41897280676562</v>
      </c>
      <c r="Q1033">
        <f t="shared" si="80"/>
        <v>1.81</v>
      </c>
      <c r="R1033">
        <f t="shared" si="82"/>
        <v>1.366743977135719</v>
      </c>
      <c r="S1033">
        <f t="shared" si="83"/>
        <v>0.44325602286428101</v>
      </c>
      <c r="T1033">
        <f t="shared" si="84"/>
        <v>0.19647590180546001</v>
      </c>
    </row>
    <row r="1034" spans="1:20" hidden="1" x14ac:dyDescent="0.25">
      <c r="A1034" t="str">
        <f t="shared" si="81"/>
        <v>BAR</v>
      </c>
      <c r="B1034" t="s">
        <v>1040</v>
      </c>
      <c r="C1034">
        <v>2.173092644</v>
      </c>
      <c r="D1034">
        <v>7.1547558999999997E-2</v>
      </c>
      <c r="E1034">
        <v>0.73256134399999995</v>
      </c>
      <c r="F1034">
        <v>0.44885791400000002</v>
      </c>
      <c r="G1034">
        <v>0.80436563999999999</v>
      </c>
      <c r="H1034">
        <v>1.97</v>
      </c>
      <c r="I1034">
        <v>1.2279262871308301</v>
      </c>
      <c r="J1034">
        <v>1.38765842920757</v>
      </c>
      <c r="K1034">
        <v>0.953965709582975</v>
      </c>
      <c r="L1034">
        <v>0.96746745853851701</v>
      </c>
      <c r="M1034">
        <v>1.3077923581691999</v>
      </c>
      <c r="N1034">
        <v>1.3053513943696</v>
      </c>
      <c r="Q1034">
        <f t="shared" si="80"/>
        <v>1.97</v>
      </c>
      <c r="R1034">
        <f t="shared" si="82"/>
        <v>1.256581211523502</v>
      </c>
      <c r="S1034">
        <f t="shared" si="83"/>
        <v>0.71341878847649798</v>
      </c>
      <c r="T1034">
        <f t="shared" si="84"/>
        <v>0.50896636775127413</v>
      </c>
    </row>
    <row r="1035" spans="1:20" hidden="1" x14ac:dyDescent="0.25">
      <c r="A1035" t="str">
        <f t="shared" si="81"/>
        <v>BAR</v>
      </c>
      <c r="B1035" t="s">
        <v>1041</v>
      </c>
      <c r="C1035">
        <v>1.932551613</v>
      </c>
      <c r="D1035">
        <v>7.3115045000000004E-2</v>
      </c>
      <c r="E1035">
        <v>0.69951664199999997</v>
      </c>
      <c r="F1035">
        <v>0.36847998399999998</v>
      </c>
      <c r="G1035">
        <v>0.76957703399999999</v>
      </c>
      <c r="H1035">
        <v>1.55</v>
      </c>
      <c r="I1035">
        <v>1.1992318361332499</v>
      </c>
      <c r="J1035">
        <v>1.33453994601643</v>
      </c>
      <c r="K1035">
        <v>1.01026413589947</v>
      </c>
      <c r="L1035">
        <v>0.93681166989265596</v>
      </c>
      <c r="M1035">
        <v>1.26688589107484</v>
      </c>
      <c r="N1035">
        <v>1.26507817539251</v>
      </c>
      <c r="Q1035">
        <f t="shared" si="80"/>
        <v>1.55</v>
      </c>
      <c r="R1035">
        <f t="shared" si="82"/>
        <v>1.2036179993243339</v>
      </c>
      <c r="S1035">
        <f t="shared" si="83"/>
        <v>0.34638200067566616</v>
      </c>
      <c r="T1035">
        <f t="shared" si="84"/>
        <v>0.11998049039207719</v>
      </c>
    </row>
    <row r="1036" spans="1:20" hidden="1" x14ac:dyDescent="0.25">
      <c r="A1036" t="str">
        <f t="shared" si="81"/>
        <v>BAR</v>
      </c>
      <c r="B1036" t="s">
        <v>1042</v>
      </c>
      <c r="C1036">
        <v>2.0315067290000002</v>
      </c>
      <c r="D1036">
        <v>7.2588202000000004E-2</v>
      </c>
      <c r="E1036">
        <v>0.70402457600000001</v>
      </c>
      <c r="F1036">
        <v>0.37589623900000002</v>
      </c>
      <c r="G1036">
        <v>0.77517645000000002</v>
      </c>
      <c r="H1036">
        <v>1.49</v>
      </c>
      <c r="I1036">
        <v>1.10330326565792</v>
      </c>
      <c r="J1036">
        <v>1.25412552244539</v>
      </c>
      <c r="K1036">
        <v>0.87011239690683695</v>
      </c>
      <c r="L1036">
        <v>0.82639131579745395</v>
      </c>
      <c r="M1036">
        <v>1.17871439405165</v>
      </c>
      <c r="N1036">
        <v>1.17629961508917</v>
      </c>
      <c r="Q1036">
        <f t="shared" si="80"/>
        <v>1.49</v>
      </c>
      <c r="R1036">
        <f t="shared" si="82"/>
        <v>1.1070018874660335</v>
      </c>
      <c r="S1036">
        <f t="shared" si="83"/>
        <v>0.38299811253396654</v>
      </c>
      <c r="T1036">
        <f t="shared" si="84"/>
        <v>0.14668755420458091</v>
      </c>
    </row>
    <row r="1037" spans="1:20" hidden="1" x14ac:dyDescent="0.25">
      <c r="A1037" t="str">
        <f t="shared" si="81"/>
        <v>BAR</v>
      </c>
      <c r="B1037" t="s">
        <v>1043</v>
      </c>
      <c r="C1037">
        <v>1.9050700709999999</v>
      </c>
      <c r="D1037">
        <v>7.1865660999999997E-2</v>
      </c>
      <c r="E1037">
        <v>0.72196959000000005</v>
      </c>
      <c r="F1037">
        <v>0.38305244999999999</v>
      </c>
      <c r="G1037">
        <v>0.79317743600000001</v>
      </c>
      <c r="H1037">
        <v>1.59</v>
      </c>
      <c r="I1037">
        <v>1.2919106718658899</v>
      </c>
      <c r="J1037">
        <v>1.40955815503007</v>
      </c>
      <c r="K1037">
        <v>1.1104977066818</v>
      </c>
      <c r="L1037">
        <v>1.0376089350378901</v>
      </c>
      <c r="M1037">
        <v>1.35073441344798</v>
      </c>
      <c r="N1037">
        <v>1.3494529347476101</v>
      </c>
      <c r="Q1037">
        <f t="shared" si="80"/>
        <v>1.59</v>
      </c>
      <c r="R1037">
        <f t="shared" si="82"/>
        <v>1.2948642248264588</v>
      </c>
      <c r="S1037">
        <f t="shared" si="83"/>
        <v>0.29513577517354128</v>
      </c>
      <c r="T1037">
        <f t="shared" si="84"/>
        <v>8.7105125787287102E-2</v>
      </c>
    </row>
    <row r="1038" spans="1:20" hidden="1" x14ac:dyDescent="0.25">
      <c r="A1038" t="str">
        <f t="shared" si="81"/>
        <v>BAR</v>
      </c>
      <c r="B1038" t="s">
        <v>1044</v>
      </c>
      <c r="C1038">
        <v>1.7051245260000001</v>
      </c>
      <c r="D1038">
        <v>6.9707877000000001E-2</v>
      </c>
      <c r="E1038">
        <v>0.69431829599999995</v>
      </c>
      <c r="F1038">
        <v>0.35186077700000001</v>
      </c>
      <c r="G1038">
        <v>0.77415567299999999</v>
      </c>
      <c r="H1038">
        <v>1.38</v>
      </c>
      <c r="I1038">
        <v>1.3732417198017399</v>
      </c>
      <c r="J1038">
        <v>1.4040506608475001</v>
      </c>
      <c r="K1038">
        <v>1.3386084659287301</v>
      </c>
      <c r="L1038">
        <v>1.2310730446240601</v>
      </c>
      <c r="M1038">
        <v>1.3886461903246199</v>
      </c>
      <c r="N1038">
        <v>1.38856074558911</v>
      </c>
      <c r="Q1038">
        <f t="shared" si="80"/>
        <v>1.38</v>
      </c>
      <c r="R1038">
        <f t="shared" si="82"/>
        <v>1.3125056270214577</v>
      </c>
      <c r="S1038">
        <f t="shared" si="83"/>
        <v>6.7494372978542216E-2</v>
      </c>
      <c r="T1038">
        <f t="shared" si="84"/>
        <v>4.5554903837665695E-3</v>
      </c>
    </row>
    <row r="1039" spans="1:20" hidden="1" x14ac:dyDescent="0.25">
      <c r="A1039" t="str">
        <f t="shared" si="81"/>
        <v>BAR</v>
      </c>
      <c r="B1039" t="s">
        <v>1045</v>
      </c>
      <c r="C1039">
        <v>0.69812629500000001</v>
      </c>
      <c r="D1039">
        <v>6.8027376000000001E-2</v>
      </c>
      <c r="E1039">
        <v>0.70935647400000001</v>
      </c>
      <c r="F1039">
        <v>0.30766877399999998</v>
      </c>
      <c r="G1039">
        <v>0.79080152199999998</v>
      </c>
      <c r="H1039">
        <v>1.44</v>
      </c>
      <c r="I1039">
        <v>2.40134787871968</v>
      </c>
      <c r="J1039">
        <v>2.2235463699505198</v>
      </c>
      <c r="K1039">
        <v>2.64254461752531</v>
      </c>
      <c r="L1039">
        <v>2.4242739047535302</v>
      </c>
      <c r="M1039">
        <v>2.3124471243351001</v>
      </c>
      <c r="N1039">
        <v>2.3107376222140701</v>
      </c>
      <c r="Q1039">
        <f t="shared" si="80"/>
        <v>1.44</v>
      </c>
      <c r="R1039">
        <f t="shared" si="82"/>
        <v>2.3211360947391606</v>
      </c>
      <c r="S1039">
        <f t="shared" si="83"/>
        <v>-0.88113609473916066</v>
      </c>
      <c r="T1039">
        <f t="shared" si="84"/>
        <v>0.77640081745217915</v>
      </c>
    </row>
    <row r="1040" spans="1:20" hidden="1" x14ac:dyDescent="0.25">
      <c r="A1040" t="str">
        <f t="shared" si="81"/>
        <v>BAR</v>
      </c>
      <c r="B1040" t="s">
        <v>1046</v>
      </c>
      <c r="C1040">
        <v>1.844319611</v>
      </c>
      <c r="D1040">
        <v>7.1213431999999993E-2</v>
      </c>
      <c r="E1040">
        <v>0.70221723199999997</v>
      </c>
      <c r="F1040">
        <v>0.36039765600000001</v>
      </c>
      <c r="G1040">
        <v>0.77656232400000003</v>
      </c>
      <c r="H1040">
        <v>1.42</v>
      </c>
      <c r="I1040">
        <v>1.25539763042543</v>
      </c>
      <c r="J1040">
        <v>1.3452214285069499</v>
      </c>
      <c r="K1040">
        <v>1.12905345037984</v>
      </c>
      <c r="L1040">
        <v>1.03586297429594</v>
      </c>
      <c r="M1040">
        <v>1.3003095294661899</v>
      </c>
      <c r="N1040">
        <v>1.29953368318991</v>
      </c>
      <c r="Q1040">
        <f t="shared" si="80"/>
        <v>1.42</v>
      </c>
      <c r="R1040">
        <f t="shared" si="82"/>
        <v>1.2290319550593085</v>
      </c>
      <c r="S1040">
        <f t="shared" si="83"/>
        <v>0.19096804494069142</v>
      </c>
      <c r="T1040">
        <f t="shared" si="84"/>
        <v>3.646879418846994E-2</v>
      </c>
    </row>
    <row r="1041" spans="1:20" hidden="1" x14ac:dyDescent="0.25">
      <c r="A1041" t="str">
        <f t="shared" si="81"/>
        <v>BAR</v>
      </c>
      <c r="B1041" t="s">
        <v>1047</v>
      </c>
      <c r="C1041">
        <v>1.9436944009999999</v>
      </c>
      <c r="D1041">
        <v>6.9166778999999998E-2</v>
      </c>
      <c r="E1041">
        <v>0.71723741299999999</v>
      </c>
      <c r="F1041">
        <v>0.33080129400000002</v>
      </c>
      <c r="G1041">
        <v>0.77950122099999997</v>
      </c>
      <c r="H1041">
        <v>1.47</v>
      </c>
      <c r="I1041">
        <v>0.94632482193720802</v>
      </c>
      <c r="J1041">
        <v>1.1015591689406401</v>
      </c>
      <c r="K1041">
        <v>0.73378246802054004</v>
      </c>
      <c r="L1041">
        <v>0.63454848785780704</v>
      </c>
      <c r="M1041">
        <v>1.0239419954389199</v>
      </c>
      <c r="N1041">
        <v>1.0209959766821</v>
      </c>
      <c r="Q1041">
        <f t="shared" si="80"/>
        <v>1.47</v>
      </c>
      <c r="R1041">
        <f t="shared" si="82"/>
        <v>0.94711263964344861</v>
      </c>
      <c r="S1041">
        <f t="shared" si="83"/>
        <v>0.52288736035655137</v>
      </c>
      <c r="T1041">
        <f t="shared" si="84"/>
        <v>0.27341119162064198</v>
      </c>
    </row>
    <row r="1042" spans="1:20" hidden="1" x14ac:dyDescent="0.25">
      <c r="A1042" t="str">
        <f t="shared" si="81"/>
        <v>BAR</v>
      </c>
      <c r="B1042" t="s">
        <v>1048</v>
      </c>
      <c r="C1042">
        <v>1.4543810559999999</v>
      </c>
      <c r="D1042">
        <v>6.3210214000000001E-2</v>
      </c>
      <c r="E1042">
        <v>0.73163222900000002</v>
      </c>
      <c r="F1042">
        <v>0.31540020400000002</v>
      </c>
      <c r="G1042">
        <v>0.82179515700000005</v>
      </c>
      <c r="H1042">
        <v>1.43</v>
      </c>
      <c r="I1042">
        <v>1.47292645581574</v>
      </c>
      <c r="J1042">
        <v>1.4013745322891</v>
      </c>
      <c r="K1042">
        <v>1.46398287033717</v>
      </c>
      <c r="L1042">
        <v>1.2830780663182</v>
      </c>
      <c r="M1042">
        <v>1.43715049405242</v>
      </c>
      <c r="N1042">
        <v>1.43670512740612</v>
      </c>
      <c r="Q1042">
        <f t="shared" si="80"/>
        <v>1.43</v>
      </c>
      <c r="R1042">
        <f t="shared" si="82"/>
        <v>1.3432217020214103</v>
      </c>
      <c r="S1042">
        <f t="shared" si="83"/>
        <v>8.6778297978589602E-2</v>
      </c>
      <c r="T1042">
        <f t="shared" si="84"/>
        <v>7.5304730000608881E-3</v>
      </c>
    </row>
    <row r="1043" spans="1:20" hidden="1" x14ac:dyDescent="0.25">
      <c r="A1043" t="str">
        <f t="shared" si="81"/>
        <v>BAR</v>
      </c>
      <c r="B1043" t="s">
        <v>1049</v>
      </c>
      <c r="C1043">
        <v>1.7196087040000001</v>
      </c>
      <c r="D1043">
        <v>6.2179888000000003E-2</v>
      </c>
      <c r="E1043">
        <v>0.69668089600000005</v>
      </c>
      <c r="F1043">
        <v>0.32838238199999997</v>
      </c>
      <c r="G1043">
        <v>0.78083093999999997</v>
      </c>
      <c r="H1043">
        <v>1.46</v>
      </c>
      <c r="I1043">
        <v>1.1420223244935099</v>
      </c>
      <c r="J1043">
        <v>1.12154461846244</v>
      </c>
      <c r="K1043">
        <v>1.14818044343643</v>
      </c>
      <c r="L1043">
        <v>1.0388835291230401</v>
      </c>
      <c r="M1043">
        <v>1.13178347147797</v>
      </c>
      <c r="N1043">
        <v>1.13173715685209</v>
      </c>
      <c r="Q1043">
        <f t="shared" si="80"/>
        <v>1.46</v>
      </c>
      <c r="R1043">
        <f t="shared" si="82"/>
        <v>1.0133931411322177</v>
      </c>
      <c r="S1043">
        <f t="shared" si="83"/>
        <v>0.44660685886778229</v>
      </c>
      <c r="T1043">
        <f t="shared" si="84"/>
        <v>0.19945768638774722</v>
      </c>
    </row>
    <row r="1044" spans="1:20" hidden="1" x14ac:dyDescent="0.25">
      <c r="A1044" t="str">
        <f t="shared" si="81"/>
        <v>BAR</v>
      </c>
      <c r="B1044" t="s">
        <v>1050</v>
      </c>
      <c r="C1044">
        <v>1.994705095</v>
      </c>
      <c r="D1044">
        <v>6.1654077000000002E-2</v>
      </c>
      <c r="E1044">
        <v>0.71895418300000002</v>
      </c>
      <c r="F1044">
        <v>0.466517401</v>
      </c>
      <c r="G1044">
        <v>0.80481064700000005</v>
      </c>
      <c r="H1044">
        <v>1.46</v>
      </c>
      <c r="I1044">
        <v>1.3607103827598199</v>
      </c>
      <c r="J1044">
        <v>1.3652171084589</v>
      </c>
      <c r="K1044">
        <v>1.41825709934684</v>
      </c>
      <c r="L1044">
        <v>1.3403151575743499</v>
      </c>
      <c r="M1044">
        <v>1.36296374560936</v>
      </c>
      <c r="N1044">
        <v>1.36296188288645</v>
      </c>
      <c r="Q1044">
        <f t="shared" si="80"/>
        <v>1.46</v>
      </c>
      <c r="R1044">
        <f t="shared" si="82"/>
        <v>1.2837848738438504</v>
      </c>
      <c r="S1044">
        <f t="shared" si="83"/>
        <v>0.17621512615614954</v>
      </c>
      <c r="T1044">
        <f t="shared" si="84"/>
        <v>3.1051770686227696E-2</v>
      </c>
    </row>
    <row r="1045" spans="1:20" hidden="1" x14ac:dyDescent="0.25">
      <c r="A1045" t="str">
        <f t="shared" si="81"/>
        <v>BAR</v>
      </c>
      <c r="B1045" t="s">
        <v>1051</v>
      </c>
      <c r="C1045">
        <v>0.90654480100000001</v>
      </c>
      <c r="D1045">
        <v>6.4093666999999993E-2</v>
      </c>
      <c r="E1045">
        <v>0.713383883</v>
      </c>
      <c r="F1045">
        <v>0.30855211500000002</v>
      </c>
      <c r="G1045">
        <v>0.79260184899999997</v>
      </c>
      <c r="H1045">
        <v>1.32</v>
      </c>
      <c r="I1045">
        <v>2.0762353513599998</v>
      </c>
      <c r="J1045">
        <v>1.9254203641913901</v>
      </c>
      <c r="K1045">
        <v>2.4052657817219099</v>
      </c>
      <c r="L1045">
        <v>2.4087479164149399</v>
      </c>
      <c r="M1045">
        <v>2.0008278577756902</v>
      </c>
      <c r="N1045">
        <v>1.9994063684910599</v>
      </c>
      <c r="Q1045">
        <f t="shared" si="80"/>
        <v>1.32</v>
      </c>
      <c r="R1045">
        <f t="shared" si="82"/>
        <v>1.9795304353339322</v>
      </c>
      <c r="S1045">
        <f t="shared" si="83"/>
        <v>-0.65953043533393219</v>
      </c>
      <c r="T1045">
        <f t="shared" si="84"/>
        <v>0.43498039513176612</v>
      </c>
    </row>
    <row r="1046" spans="1:20" hidden="1" x14ac:dyDescent="0.25">
      <c r="A1046" t="str">
        <f t="shared" si="81"/>
        <v>BAR</v>
      </c>
      <c r="B1046" t="s">
        <v>1052</v>
      </c>
      <c r="C1046">
        <v>1.811977674</v>
      </c>
      <c r="D1046">
        <v>6.7992935000000004E-2</v>
      </c>
      <c r="E1046">
        <v>0.71583407399999999</v>
      </c>
      <c r="F1046">
        <v>0.36090245599999998</v>
      </c>
      <c r="G1046">
        <v>0.78721965000000005</v>
      </c>
      <c r="H1046">
        <v>1.41</v>
      </c>
      <c r="I1046">
        <v>1.24404708540822</v>
      </c>
      <c r="J1046">
        <v>1.3119199482694099</v>
      </c>
      <c r="K1046">
        <v>1.1680525557638</v>
      </c>
      <c r="L1046">
        <v>1.0625917966519101</v>
      </c>
      <c r="M1046">
        <v>1.2779835168388101</v>
      </c>
      <c r="N1046">
        <v>1.27753285199773</v>
      </c>
      <c r="Q1046">
        <f t="shared" si="80"/>
        <v>1.41</v>
      </c>
      <c r="R1046">
        <f t="shared" si="82"/>
        <v>1.2042824426483709</v>
      </c>
      <c r="S1046">
        <f t="shared" si="83"/>
        <v>0.205717557351629</v>
      </c>
      <c r="T1046">
        <f t="shared" si="84"/>
        <v>4.2319713402720768E-2</v>
      </c>
    </row>
    <row r="1047" spans="1:20" hidden="1" x14ac:dyDescent="0.25">
      <c r="A1047" t="str">
        <f t="shared" si="81"/>
        <v>BAR</v>
      </c>
      <c r="B1047" t="s">
        <v>1053</v>
      </c>
      <c r="C1047">
        <v>1.040841205</v>
      </c>
      <c r="D1047">
        <v>7.3699494000000004E-2</v>
      </c>
      <c r="E1047">
        <v>0.65981664799999995</v>
      </c>
      <c r="F1047">
        <v>0.30286444600000001</v>
      </c>
      <c r="G1047">
        <v>0.712480259</v>
      </c>
      <c r="H1047">
        <v>1.1200000000000001</v>
      </c>
      <c r="I1047">
        <v>2.0136534550442202</v>
      </c>
      <c r="J1047">
        <v>1.95087503603971</v>
      </c>
      <c r="K1047">
        <v>1.72823487124408</v>
      </c>
      <c r="L1047">
        <v>1.9599369143720999</v>
      </c>
      <c r="M1047">
        <v>1.9822642455419599</v>
      </c>
      <c r="N1047">
        <v>1.9820157054576699</v>
      </c>
      <c r="Q1047">
        <f t="shared" si="80"/>
        <v>1.1200000000000001</v>
      </c>
      <c r="R1047">
        <f t="shared" si="82"/>
        <v>1.9684206379860445</v>
      </c>
      <c r="S1047">
        <f t="shared" si="83"/>
        <v>-0.84842063798604439</v>
      </c>
      <c r="T1047">
        <f t="shared" si="84"/>
        <v>0.71981757896064658</v>
      </c>
    </row>
    <row r="1048" spans="1:20" hidden="1" x14ac:dyDescent="0.25">
      <c r="A1048" t="str">
        <f t="shared" si="81"/>
        <v>BAR</v>
      </c>
      <c r="B1048" t="s">
        <v>1054</v>
      </c>
      <c r="C1048">
        <v>1.613337054</v>
      </c>
      <c r="D1048">
        <v>7.6164346999999993E-2</v>
      </c>
      <c r="E1048">
        <v>0.67588695499999996</v>
      </c>
      <c r="F1048">
        <v>0.31197885400000003</v>
      </c>
      <c r="G1048">
        <v>0.70587175300000005</v>
      </c>
      <c r="H1048">
        <v>1.21</v>
      </c>
      <c r="I1048">
        <v>1.29229847920871</v>
      </c>
      <c r="J1048">
        <v>1.5007661702592701</v>
      </c>
      <c r="K1048">
        <v>1.15721017564249</v>
      </c>
      <c r="L1048">
        <v>0.97278761308411998</v>
      </c>
      <c r="M1048">
        <v>1.39653232473399</v>
      </c>
      <c r="N1048">
        <v>1.39263700922887</v>
      </c>
      <c r="Q1048">
        <f t="shared" si="80"/>
        <v>1.21</v>
      </c>
      <c r="R1048">
        <f t="shared" si="82"/>
        <v>1.4007971855024512</v>
      </c>
      <c r="S1048">
        <f t="shared" si="83"/>
        <v>-0.19079718550245128</v>
      </c>
      <c r="T1048">
        <f t="shared" si="84"/>
        <v>3.6403565995656806E-2</v>
      </c>
    </row>
    <row r="1049" spans="1:20" hidden="1" x14ac:dyDescent="0.25">
      <c r="A1049" t="str">
        <f t="shared" si="81"/>
        <v>BAR</v>
      </c>
      <c r="B1049" t="s">
        <v>1055</v>
      </c>
      <c r="C1049">
        <v>1.4611845729999999</v>
      </c>
      <c r="D1049">
        <v>6.3936387999999997E-2</v>
      </c>
      <c r="E1049">
        <v>0.67444688200000003</v>
      </c>
      <c r="F1049">
        <v>0.30892532299999997</v>
      </c>
      <c r="G1049">
        <v>0.76736237600000001</v>
      </c>
      <c r="H1049">
        <v>1.08</v>
      </c>
      <c r="I1049">
        <v>1.4000422823909799</v>
      </c>
      <c r="J1049">
        <v>1.3254275603179899</v>
      </c>
      <c r="K1049">
        <v>1.37132709402804</v>
      </c>
      <c r="L1049">
        <v>1.29998937811699</v>
      </c>
      <c r="M1049">
        <v>1.3627349213544799</v>
      </c>
      <c r="N1049">
        <v>1.3622241470079399</v>
      </c>
      <c r="Q1049">
        <f t="shared" si="80"/>
        <v>1.08</v>
      </c>
      <c r="R1049">
        <f t="shared" si="82"/>
        <v>1.2597718104386306</v>
      </c>
      <c r="S1049">
        <f t="shared" si="83"/>
        <v>-0.17977181043863055</v>
      </c>
      <c r="T1049">
        <f t="shared" si="84"/>
        <v>3.231790382838292E-2</v>
      </c>
    </row>
    <row r="1050" spans="1:20" hidden="1" x14ac:dyDescent="0.25">
      <c r="A1050" t="str">
        <f t="shared" si="81"/>
        <v>BAR</v>
      </c>
      <c r="B1050" t="s">
        <v>1056</v>
      </c>
      <c r="C1050">
        <v>1.767464063</v>
      </c>
      <c r="D1050">
        <v>7.2560991000000005E-2</v>
      </c>
      <c r="E1050">
        <v>0.68991913100000002</v>
      </c>
      <c r="F1050">
        <v>0.323770958</v>
      </c>
      <c r="G1050">
        <v>0.75640238999999998</v>
      </c>
      <c r="H1050">
        <v>1.42</v>
      </c>
      <c r="I1050">
        <v>1.1812865659735801</v>
      </c>
      <c r="J1050">
        <v>1.3083454045012599</v>
      </c>
      <c r="K1050">
        <v>1.0157817000604701</v>
      </c>
      <c r="L1050">
        <v>0.87826515038904596</v>
      </c>
      <c r="M1050">
        <v>1.2448159852374201</v>
      </c>
      <c r="N1050">
        <v>1.2431938103089999</v>
      </c>
      <c r="Q1050">
        <f t="shared" si="80"/>
        <v>1.42</v>
      </c>
      <c r="R1050">
        <f t="shared" si="82"/>
        <v>1.1851179969506864</v>
      </c>
      <c r="S1050">
        <f t="shared" si="83"/>
        <v>0.2348820030493135</v>
      </c>
      <c r="T1050">
        <f t="shared" si="84"/>
        <v>5.516955535645772E-2</v>
      </c>
    </row>
    <row r="1051" spans="1:20" hidden="1" x14ac:dyDescent="0.25">
      <c r="A1051" t="str">
        <f t="shared" si="81"/>
        <v>BAR</v>
      </c>
      <c r="B1051" t="s">
        <v>1057</v>
      </c>
      <c r="C1051">
        <v>1.857062972</v>
      </c>
      <c r="D1051">
        <v>6.7739287999999995E-2</v>
      </c>
      <c r="E1051">
        <v>0.69352245999999995</v>
      </c>
      <c r="F1051">
        <v>0.35057804799999998</v>
      </c>
      <c r="G1051">
        <v>0.76242786500000004</v>
      </c>
      <c r="H1051">
        <v>1.39</v>
      </c>
      <c r="I1051">
        <v>1.11877158274254</v>
      </c>
      <c r="J1051">
        <v>1.19639203551798</v>
      </c>
      <c r="K1051">
        <v>1.02933364908472</v>
      </c>
      <c r="L1051">
        <v>0.91080773525838699</v>
      </c>
      <c r="M1051">
        <v>1.1575818091302601</v>
      </c>
      <c r="N1051">
        <v>1.1569310312879599</v>
      </c>
      <c r="Q1051">
        <f t="shared" si="80"/>
        <v>1.39</v>
      </c>
      <c r="R1051">
        <f t="shared" si="82"/>
        <v>1.0719636039835407</v>
      </c>
      <c r="S1051">
        <f t="shared" si="83"/>
        <v>0.31803639601645917</v>
      </c>
      <c r="T1051">
        <f t="shared" si="84"/>
        <v>0.10114714919113804</v>
      </c>
    </row>
    <row r="1052" spans="1:20" hidden="1" x14ac:dyDescent="0.25">
      <c r="A1052" t="str">
        <f t="shared" si="81"/>
        <v>BAR</v>
      </c>
      <c r="B1052" t="s">
        <v>1058</v>
      </c>
      <c r="C1052">
        <v>1.3318680140000001</v>
      </c>
      <c r="D1052">
        <v>5.5508384000000001E-2</v>
      </c>
      <c r="E1052">
        <v>0.650586365</v>
      </c>
      <c r="F1052">
        <v>0.30546295400000001</v>
      </c>
      <c r="G1052">
        <v>0.74952308999999995</v>
      </c>
      <c r="H1052">
        <v>1.37</v>
      </c>
      <c r="I1052">
        <v>1.3923010729482099</v>
      </c>
      <c r="J1052">
        <v>1.2312858919568199</v>
      </c>
      <c r="K1052">
        <v>1.3711120658182101</v>
      </c>
      <c r="L1052">
        <v>1.35357782977151</v>
      </c>
      <c r="M1052">
        <v>1.3117934824525199</v>
      </c>
      <c r="N1052">
        <v>1.30932068970038</v>
      </c>
      <c r="Q1052">
        <f t="shared" si="80"/>
        <v>1.37</v>
      </c>
      <c r="R1052">
        <f t="shared" si="82"/>
        <v>1.1898317304934041</v>
      </c>
      <c r="S1052">
        <f t="shared" si="83"/>
        <v>0.18016826950659603</v>
      </c>
      <c r="T1052">
        <f t="shared" si="84"/>
        <v>3.2460605337001423E-2</v>
      </c>
    </row>
    <row r="1053" spans="1:20" hidden="1" x14ac:dyDescent="0.25">
      <c r="A1053" t="str">
        <f t="shared" si="81"/>
        <v>BAR</v>
      </c>
      <c r="B1053" t="s">
        <v>1059</v>
      </c>
      <c r="C1053">
        <v>2.1027732659999998</v>
      </c>
      <c r="D1053">
        <v>6.4280558000000002E-2</v>
      </c>
      <c r="E1053">
        <v>0.68108139499999998</v>
      </c>
      <c r="F1053">
        <v>0.40924757899999997</v>
      </c>
      <c r="G1053">
        <v>0.75931828800000001</v>
      </c>
      <c r="H1053">
        <v>1.26</v>
      </c>
      <c r="I1053">
        <v>1.0312152203492999</v>
      </c>
      <c r="J1053">
        <v>1.06773239928043</v>
      </c>
      <c r="K1053">
        <v>0.90415236044972802</v>
      </c>
      <c r="L1053">
        <v>0.922379347813165</v>
      </c>
      <c r="M1053">
        <v>1.0494738098148599</v>
      </c>
      <c r="N1053">
        <v>1.0493149676803699</v>
      </c>
      <c r="Q1053">
        <f t="shared" si="80"/>
        <v>1.26</v>
      </c>
      <c r="R1053">
        <f t="shared" si="82"/>
        <v>0.92669035618405005</v>
      </c>
      <c r="S1053">
        <f t="shared" si="83"/>
        <v>0.33330964381594996</v>
      </c>
      <c r="T1053">
        <f t="shared" si="84"/>
        <v>0.11109531866071543</v>
      </c>
    </row>
    <row r="1054" spans="1:20" hidden="1" x14ac:dyDescent="0.25">
      <c r="A1054" t="str">
        <f t="shared" si="81"/>
        <v>BAR</v>
      </c>
      <c r="B1054" t="s">
        <v>1060</v>
      </c>
      <c r="C1054">
        <v>1.770601195</v>
      </c>
      <c r="D1054">
        <v>6.7469996000000004E-2</v>
      </c>
      <c r="E1054">
        <v>0.67027319299999999</v>
      </c>
      <c r="F1054">
        <v>0.31268145899999999</v>
      </c>
      <c r="G1054">
        <v>0.75653251099999996</v>
      </c>
      <c r="H1054">
        <v>1.52</v>
      </c>
      <c r="I1054">
        <v>1.0786433851619199</v>
      </c>
      <c r="J1054">
        <v>1.1098919206098901</v>
      </c>
      <c r="K1054">
        <v>0.82152061802624399</v>
      </c>
      <c r="L1054">
        <v>0.70675671404356899</v>
      </c>
      <c r="M1054">
        <v>1.0942676528859101</v>
      </c>
      <c r="N1054">
        <v>1.09415610331</v>
      </c>
      <c r="Q1054">
        <f t="shared" si="80"/>
        <v>1.52</v>
      </c>
      <c r="R1054">
        <f t="shared" si="82"/>
        <v>0.979848308200026</v>
      </c>
      <c r="S1054">
        <f t="shared" si="83"/>
        <v>0.54015169179997402</v>
      </c>
      <c r="T1054">
        <f t="shared" si="84"/>
        <v>0.29176385015437412</v>
      </c>
    </row>
    <row r="1055" spans="1:20" hidden="1" x14ac:dyDescent="0.25">
      <c r="A1055" t="str">
        <f t="shared" si="81"/>
        <v>BAR</v>
      </c>
      <c r="B1055" t="s">
        <v>1061</v>
      </c>
      <c r="C1055">
        <v>1.833647346</v>
      </c>
      <c r="D1055">
        <v>7.1679602999999995E-2</v>
      </c>
      <c r="E1055">
        <v>0.66135288800000003</v>
      </c>
      <c r="F1055">
        <v>0.35442888500000003</v>
      </c>
      <c r="G1055">
        <v>0.74156390999999999</v>
      </c>
      <c r="H1055">
        <v>1.54</v>
      </c>
      <c r="I1055">
        <v>1.2366378305386001</v>
      </c>
      <c r="J1055">
        <v>1.29589379993475</v>
      </c>
      <c r="K1055">
        <v>1.0880553049675299</v>
      </c>
      <c r="L1055">
        <v>0.95688923978247198</v>
      </c>
      <c r="M1055">
        <v>1.2662658152366699</v>
      </c>
      <c r="N1055">
        <v>1.26591915119399</v>
      </c>
      <c r="Q1055">
        <f t="shared" si="80"/>
        <v>1.54</v>
      </c>
      <c r="R1055">
        <f t="shared" si="82"/>
        <v>1.1765048551100099</v>
      </c>
      <c r="S1055">
        <f t="shared" si="83"/>
        <v>0.36349514488999013</v>
      </c>
      <c r="T1055">
        <f t="shared" si="84"/>
        <v>0.13212872035859491</v>
      </c>
    </row>
    <row r="1056" spans="1:20" hidden="1" x14ac:dyDescent="0.25">
      <c r="A1056" t="str">
        <f t="shared" si="81"/>
        <v>BAR</v>
      </c>
      <c r="B1056" t="s">
        <v>1062</v>
      </c>
      <c r="C1056">
        <v>1.8954730829999999</v>
      </c>
      <c r="D1056">
        <v>6.5668481000000001E-2</v>
      </c>
      <c r="E1056">
        <v>0.67199360600000002</v>
      </c>
      <c r="F1056">
        <v>0.35359337699999999</v>
      </c>
      <c r="G1056">
        <v>0.75396742699999997</v>
      </c>
      <c r="H1056">
        <v>1.37</v>
      </c>
      <c r="I1056">
        <v>1.06696881005711</v>
      </c>
      <c r="J1056">
        <v>1.0935302180067501</v>
      </c>
      <c r="K1056">
        <v>0.95501465456594004</v>
      </c>
      <c r="L1056">
        <v>0.84136068835716804</v>
      </c>
      <c r="M1056">
        <v>1.0802495140319299</v>
      </c>
      <c r="N1056">
        <v>1.0801678737437801</v>
      </c>
      <c r="Q1056">
        <f t="shared" si="80"/>
        <v>1.37</v>
      </c>
      <c r="R1056">
        <f t="shared" si="82"/>
        <v>0.96221151888459699</v>
      </c>
      <c r="S1056">
        <f t="shared" si="83"/>
        <v>0.40778848111540311</v>
      </c>
      <c r="T1056">
        <f t="shared" si="84"/>
        <v>0.16629144533040749</v>
      </c>
    </row>
    <row r="1057" spans="1:20" hidden="1" x14ac:dyDescent="0.25">
      <c r="A1057" t="str">
        <f t="shared" si="81"/>
        <v>BAR</v>
      </c>
      <c r="B1057" t="s">
        <v>1063</v>
      </c>
      <c r="C1057">
        <v>1.7922658650000001</v>
      </c>
      <c r="D1057">
        <v>6.9819730999999996E-2</v>
      </c>
      <c r="E1057">
        <v>0.70541153300000004</v>
      </c>
      <c r="F1057">
        <v>0.358451144</v>
      </c>
      <c r="G1057">
        <v>0.780969417</v>
      </c>
      <c r="H1057">
        <v>1.38</v>
      </c>
      <c r="I1057">
        <v>1.2928519338303599</v>
      </c>
      <c r="J1057">
        <v>1.35735724924209</v>
      </c>
      <c r="K1057">
        <v>1.12378932720797</v>
      </c>
      <c r="L1057">
        <v>0.95662943434348102</v>
      </c>
      <c r="M1057">
        <v>1.3251045915362301</v>
      </c>
      <c r="N1057">
        <v>1.3247120232644101</v>
      </c>
      <c r="Q1057">
        <f t="shared" si="80"/>
        <v>1.38</v>
      </c>
      <c r="R1057">
        <f t="shared" si="82"/>
        <v>1.2516351385136488</v>
      </c>
      <c r="S1057">
        <f t="shared" si="83"/>
        <v>0.12836486148635107</v>
      </c>
      <c r="T1057">
        <f t="shared" si="84"/>
        <v>1.6477537664410097E-2</v>
      </c>
    </row>
    <row r="1058" spans="1:20" hidden="1" x14ac:dyDescent="0.25">
      <c r="A1058" t="str">
        <f t="shared" si="81"/>
        <v>BAR</v>
      </c>
      <c r="B1058" t="s">
        <v>1064</v>
      </c>
      <c r="C1058">
        <v>1.6178299840000001</v>
      </c>
      <c r="D1058">
        <v>5.8917811E-2</v>
      </c>
      <c r="E1058">
        <v>0.65482306199999996</v>
      </c>
      <c r="F1058">
        <v>0.30716921200000002</v>
      </c>
      <c r="G1058">
        <v>0.71294660399999998</v>
      </c>
      <c r="H1058">
        <v>0.94</v>
      </c>
      <c r="I1058">
        <v>1.04682809741632</v>
      </c>
      <c r="J1058">
        <v>1.02827416674774</v>
      </c>
      <c r="K1058">
        <v>1.08746451403207</v>
      </c>
      <c r="L1058">
        <v>1.2318291466451501</v>
      </c>
      <c r="M1058">
        <v>1.0375511320820301</v>
      </c>
      <c r="N1058">
        <v>1.03750965759307</v>
      </c>
      <c r="Q1058">
        <f t="shared" si="80"/>
        <v>0.94</v>
      </c>
      <c r="R1058">
        <f t="shared" si="82"/>
        <v>0.9272604868794545</v>
      </c>
      <c r="S1058">
        <f t="shared" si="83"/>
        <v>1.2739513120545443E-2</v>
      </c>
      <c r="T1058">
        <f t="shared" si="84"/>
        <v>1.6229519454854949E-4</v>
      </c>
    </row>
    <row r="1059" spans="1:20" hidden="1" x14ac:dyDescent="0.25">
      <c r="A1059" t="str">
        <f t="shared" si="81"/>
        <v>BAR</v>
      </c>
      <c r="B1059" t="s">
        <v>1065</v>
      </c>
      <c r="C1059">
        <v>1.5677067039999999</v>
      </c>
      <c r="D1059">
        <v>5.0189098000000001E-2</v>
      </c>
      <c r="E1059">
        <v>0.65195989799999998</v>
      </c>
      <c r="F1059">
        <v>0.30851273200000001</v>
      </c>
      <c r="G1059">
        <v>0.74575761399999996</v>
      </c>
      <c r="H1059">
        <v>1.1399999999999999</v>
      </c>
      <c r="I1059">
        <v>1.0454265840419401</v>
      </c>
      <c r="J1059">
        <v>0.90004833761373204</v>
      </c>
      <c r="K1059">
        <v>1.2214662930428799</v>
      </c>
      <c r="L1059">
        <v>1.3294939831540999</v>
      </c>
      <c r="M1059">
        <v>0.97273746082783696</v>
      </c>
      <c r="N1059">
        <v>0.97001776224157499</v>
      </c>
      <c r="Q1059">
        <f t="shared" si="80"/>
        <v>1.1399999999999999</v>
      </c>
      <c r="R1059">
        <f t="shared" si="82"/>
        <v>0.80903748521554264</v>
      </c>
      <c r="S1059">
        <f t="shared" si="83"/>
        <v>0.33096251478445726</v>
      </c>
      <c r="T1059">
        <f t="shared" si="84"/>
        <v>0.10953618619245209</v>
      </c>
    </row>
    <row r="1060" spans="1:20" hidden="1" x14ac:dyDescent="0.25">
      <c r="A1060" t="str">
        <f t="shared" si="81"/>
        <v>BAR</v>
      </c>
      <c r="B1060" t="s">
        <v>1066</v>
      </c>
      <c r="C1060">
        <v>2.0817473839999998</v>
      </c>
      <c r="D1060">
        <v>7.2418121000000002E-2</v>
      </c>
      <c r="E1060">
        <v>0.62825440899999996</v>
      </c>
      <c r="F1060">
        <v>0.378601774</v>
      </c>
      <c r="G1060">
        <v>0.71158747099999997</v>
      </c>
      <c r="H1060">
        <v>1.02</v>
      </c>
      <c r="I1060">
        <v>1.0410131444061399</v>
      </c>
      <c r="J1060">
        <v>1.1145971693861301</v>
      </c>
      <c r="K1060">
        <v>0.84333328393104601</v>
      </c>
      <c r="L1060">
        <v>0.86279954671024905</v>
      </c>
      <c r="M1060">
        <v>1.07780515689613</v>
      </c>
      <c r="N1060">
        <v>1.0771770068326001</v>
      </c>
      <c r="Q1060">
        <f t="shared" si="80"/>
        <v>1.02</v>
      </c>
      <c r="R1060">
        <f t="shared" si="82"/>
        <v>0.9553476478742553</v>
      </c>
      <c r="S1060">
        <f t="shared" si="83"/>
        <v>6.4652352125744716E-2</v>
      </c>
      <c r="T1060">
        <f t="shared" si="84"/>
        <v>4.1799266353912869E-3</v>
      </c>
    </row>
    <row r="1061" spans="1:20" hidden="1" x14ac:dyDescent="0.25">
      <c r="A1061" t="str">
        <f t="shared" si="81"/>
        <v>BAR</v>
      </c>
      <c r="B1061" t="s">
        <v>1067</v>
      </c>
      <c r="C1061">
        <v>1.8570501850000001</v>
      </c>
      <c r="D1061">
        <v>6.9460445999999995E-2</v>
      </c>
      <c r="E1061">
        <v>0.61749740900000005</v>
      </c>
      <c r="F1061">
        <v>0.35145295900000001</v>
      </c>
      <c r="G1061">
        <v>0.69515872099999998</v>
      </c>
      <c r="H1061">
        <v>0.93</v>
      </c>
      <c r="I1061">
        <v>1.12828688154867</v>
      </c>
      <c r="J1061">
        <v>1.1522494541583801</v>
      </c>
      <c r="K1061">
        <v>1.05872514482984</v>
      </c>
      <c r="L1061">
        <v>0.93037627083006103</v>
      </c>
      <c r="M1061">
        <v>1.14026816785353</v>
      </c>
      <c r="N1061">
        <v>1.1402052198611099</v>
      </c>
      <c r="Q1061">
        <f t="shared" si="80"/>
        <v>0.93</v>
      </c>
      <c r="R1061">
        <f t="shared" si="82"/>
        <v>1.0250075949328354</v>
      </c>
      <c r="S1061">
        <f t="shared" si="83"/>
        <v>-9.5007594932835393E-2</v>
      </c>
      <c r="T1061">
        <f t="shared" si="84"/>
        <v>9.0264430949217288E-3</v>
      </c>
    </row>
    <row r="1062" spans="1:20" hidden="1" x14ac:dyDescent="0.25">
      <c r="A1062" t="str">
        <f t="shared" si="81"/>
        <v>BAR</v>
      </c>
      <c r="B1062" t="s">
        <v>1068</v>
      </c>
      <c r="C1062">
        <v>2.022197223</v>
      </c>
      <c r="D1062">
        <v>6.7836650999999998E-2</v>
      </c>
      <c r="E1062">
        <v>0.63317907399999995</v>
      </c>
      <c r="F1062">
        <v>0.38418894399999998</v>
      </c>
      <c r="G1062">
        <v>0.71095620299999995</v>
      </c>
      <c r="H1062">
        <v>0.98</v>
      </c>
      <c r="I1062">
        <v>1.0650607019176199</v>
      </c>
      <c r="J1062">
        <v>1.0865602398038099</v>
      </c>
      <c r="K1062">
        <v>0.97278413661349605</v>
      </c>
      <c r="L1062">
        <v>0.97331229180765</v>
      </c>
      <c r="M1062">
        <v>1.0758104708607199</v>
      </c>
      <c r="N1062">
        <v>1.07575676232187</v>
      </c>
      <c r="Q1062">
        <f t="shared" si="80"/>
        <v>0.98</v>
      </c>
      <c r="R1062">
        <f t="shared" si="82"/>
        <v>0.94511342441994151</v>
      </c>
      <c r="S1062">
        <f t="shared" si="83"/>
        <v>3.4886575580058476E-2</v>
      </c>
      <c r="T1062">
        <f t="shared" si="84"/>
        <v>1.2170731557031324E-3</v>
      </c>
    </row>
    <row r="1063" spans="1:20" hidden="1" x14ac:dyDescent="0.25">
      <c r="A1063" t="str">
        <f t="shared" si="81"/>
        <v>BAR</v>
      </c>
      <c r="B1063" t="s">
        <v>1069</v>
      </c>
      <c r="C1063">
        <v>1.9778985769999999</v>
      </c>
      <c r="D1063">
        <v>7.2650136000000004E-2</v>
      </c>
      <c r="E1063">
        <v>0.62942186700000002</v>
      </c>
      <c r="F1063">
        <v>0.40710063099999999</v>
      </c>
      <c r="G1063">
        <v>0.71682407800000003</v>
      </c>
      <c r="H1063">
        <v>1.31</v>
      </c>
      <c r="I1063">
        <v>1.32988287660691</v>
      </c>
      <c r="J1063">
        <v>1.3305704095754101</v>
      </c>
      <c r="K1063">
        <v>1.17823726158099</v>
      </c>
      <c r="L1063">
        <v>1.1985080940436099</v>
      </c>
      <c r="M1063">
        <v>1.33022664309116</v>
      </c>
      <c r="N1063">
        <v>1.33022659867189</v>
      </c>
      <c r="Q1063">
        <f t="shared" si="80"/>
        <v>1.31</v>
      </c>
      <c r="R1063">
        <f t="shared" si="82"/>
        <v>1.2109609278871996</v>
      </c>
      <c r="S1063">
        <f t="shared" si="83"/>
        <v>9.9039072112800497E-2</v>
      </c>
      <c r="T1063">
        <f t="shared" si="84"/>
        <v>9.8087378049644975E-3</v>
      </c>
    </row>
    <row r="1064" spans="1:20" hidden="1" x14ac:dyDescent="0.25">
      <c r="A1064" t="str">
        <f t="shared" si="81"/>
        <v>BAR</v>
      </c>
      <c r="B1064" t="s">
        <v>1070</v>
      </c>
      <c r="C1064">
        <v>2.129945099</v>
      </c>
      <c r="D1064">
        <v>6.9637396000000004E-2</v>
      </c>
      <c r="E1064">
        <v>0.66301003400000003</v>
      </c>
      <c r="F1064">
        <v>0.43568357200000002</v>
      </c>
      <c r="G1064">
        <v>0.74405532500000005</v>
      </c>
      <c r="H1064">
        <v>1.42</v>
      </c>
      <c r="I1064">
        <v>1.20827354632509</v>
      </c>
      <c r="J1064">
        <v>1.24766982659207</v>
      </c>
      <c r="K1064">
        <v>1.0505798748828701</v>
      </c>
      <c r="L1064">
        <v>1.11580962615095</v>
      </c>
      <c r="M1064">
        <v>1.2279716864585799</v>
      </c>
      <c r="N1064">
        <v>1.22781368538521</v>
      </c>
      <c r="Q1064">
        <f t="shared" si="80"/>
        <v>1.42</v>
      </c>
      <c r="R1064">
        <f t="shared" si="82"/>
        <v>1.1155176682063233</v>
      </c>
      <c r="S1064">
        <f t="shared" si="83"/>
        <v>0.30448233179367667</v>
      </c>
      <c r="T1064">
        <f t="shared" si="84"/>
        <v>9.2709490374514605E-2</v>
      </c>
    </row>
    <row r="1065" spans="1:20" hidden="1" x14ac:dyDescent="0.25">
      <c r="A1065" t="str">
        <f t="shared" si="81"/>
        <v>BAR</v>
      </c>
      <c r="B1065" t="s">
        <v>1071</v>
      </c>
      <c r="C1065">
        <v>2.0296417139999998</v>
      </c>
      <c r="D1065">
        <v>7.8767256999999993E-2</v>
      </c>
      <c r="E1065">
        <v>0.70076589099999997</v>
      </c>
      <c r="F1065">
        <v>0.435390206</v>
      </c>
      <c r="G1065">
        <v>0.77263490199999996</v>
      </c>
      <c r="H1065">
        <v>1.1399999999999999</v>
      </c>
      <c r="I1065">
        <v>1.48333044715385</v>
      </c>
      <c r="J1065">
        <v>1.6472583125950699</v>
      </c>
      <c r="K1065">
        <v>1.2127496480398701</v>
      </c>
      <c r="L1065">
        <v>1.3094238238670699</v>
      </c>
      <c r="M1065">
        <v>1.5652943798744601</v>
      </c>
      <c r="N1065">
        <v>1.5631469570707499</v>
      </c>
      <c r="Q1065">
        <f t="shared" si="80"/>
        <v>1.1399999999999999</v>
      </c>
      <c r="R1065">
        <f t="shared" si="82"/>
        <v>1.533200931807829</v>
      </c>
      <c r="S1065">
        <f t="shared" si="83"/>
        <v>-0.39320093180782911</v>
      </c>
      <c r="T1065">
        <f t="shared" si="84"/>
        <v>0.15460697277454508</v>
      </c>
    </row>
    <row r="1066" spans="1:20" hidden="1" x14ac:dyDescent="0.25">
      <c r="A1066" t="str">
        <f t="shared" si="81"/>
        <v>BAR</v>
      </c>
      <c r="B1066" t="s">
        <v>1072</v>
      </c>
      <c r="C1066">
        <v>2.0474340199999999</v>
      </c>
      <c r="D1066">
        <v>7.7820993000000005E-2</v>
      </c>
      <c r="E1066">
        <v>0.700188645</v>
      </c>
      <c r="F1066">
        <v>0.47723615600000002</v>
      </c>
      <c r="G1066">
        <v>0.77262975</v>
      </c>
      <c r="H1066">
        <v>1.38</v>
      </c>
      <c r="I1066">
        <v>1.62820061855857</v>
      </c>
      <c r="J1066">
        <v>1.7539905549809001</v>
      </c>
      <c r="K1066">
        <v>1.3635183290933699</v>
      </c>
      <c r="L1066">
        <v>1.4858962535784099</v>
      </c>
      <c r="M1066">
        <v>1.6910955867697399</v>
      </c>
      <c r="N1066">
        <v>1.6899255920204901</v>
      </c>
      <c r="Q1066">
        <f t="shared" si="80"/>
        <v>1.38</v>
      </c>
      <c r="R1066">
        <f t="shared" si="82"/>
        <v>1.6625335580135321</v>
      </c>
      <c r="S1066">
        <f t="shared" si="83"/>
        <v>-0.28253355801353219</v>
      </c>
      <c r="T1066">
        <f t="shared" si="84"/>
        <v>7.9825211403785956E-2</v>
      </c>
    </row>
    <row r="1067" spans="1:20" hidden="1" x14ac:dyDescent="0.25">
      <c r="A1067" t="str">
        <f t="shared" si="81"/>
        <v>BAR</v>
      </c>
      <c r="B1067" t="s">
        <v>1073</v>
      </c>
      <c r="C1067">
        <v>1.9282110990000001</v>
      </c>
      <c r="D1067">
        <v>7.6605366999999994E-2</v>
      </c>
      <c r="E1067">
        <v>0.69819707099999995</v>
      </c>
      <c r="F1067">
        <v>0.48391335099999999</v>
      </c>
      <c r="G1067">
        <v>0.77718058700000003</v>
      </c>
      <c r="H1067">
        <v>1.38</v>
      </c>
      <c r="I1067">
        <v>1.79361988577505</v>
      </c>
      <c r="J1067">
        <v>1.85938731662879</v>
      </c>
      <c r="K1067">
        <v>1.5896383467598501</v>
      </c>
      <c r="L1067">
        <v>1.64093703376998</v>
      </c>
      <c r="M1067">
        <v>1.82650360120192</v>
      </c>
      <c r="N1067">
        <v>1.8262075639048501</v>
      </c>
      <c r="Q1067">
        <f t="shared" si="80"/>
        <v>1.38</v>
      </c>
      <c r="R1067">
        <f t="shared" si="82"/>
        <v>1.7982903332010869</v>
      </c>
      <c r="S1067">
        <f t="shared" si="83"/>
        <v>-0.41829033320108699</v>
      </c>
      <c r="T1067">
        <f t="shared" si="84"/>
        <v>0.17496680284947638</v>
      </c>
    </row>
    <row r="1068" spans="1:20" hidden="1" x14ac:dyDescent="0.25">
      <c r="A1068" t="str">
        <f t="shared" si="81"/>
        <v>BAR</v>
      </c>
      <c r="B1068" t="s">
        <v>1074</v>
      </c>
      <c r="C1068">
        <v>1.8832928900000001</v>
      </c>
      <c r="D1068">
        <v>7.2874775000000003E-2</v>
      </c>
      <c r="E1068">
        <v>0.68517534599999996</v>
      </c>
      <c r="F1068">
        <v>0.43045447199999998</v>
      </c>
      <c r="G1068">
        <v>0.76671910499999996</v>
      </c>
      <c r="H1068">
        <v>1.37</v>
      </c>
      <c r="I1068">
        <v>1.5498902059316599</v>
      </c>
      <c r="J1068">
        <v>1.5868331269903899</v>
      </c>
      <c r="K1068">
        <v>1.4130138676985899</v>
      </c>
      <c r="L1068">
        <v>1.397503522182</v>
      </c>
      <c r="M1068">
        <v>1.56836166646102</v>
      </c>
      <c r="N1068">
        <v>1.5682528883985201</v>
      </c>
      <c r="Q1068">
        <f t="shared" si="80"/>
        <v>1.37</v>
      </c>
      <c r="R1068">
        <f t="shared" si="82"/>
        <v>1.5039860611903464</v>
      </c>
      <c r="S1068">
        <f t="shared" si="83"/>
        <v>-0.13398606119034628</v>
      </c>
      <c r="T1068">
        <f t="shared" si="84"/>
        <v>1.7952264593303218E-2</v>
      </c>
    </row>
    <row r="1069" spans="1:20" hidden="1" x14ac:dyDescent="0.25">
      <c r="A1069" t="str">
        <f t="shared" si="81"/>
        <v>BAR</v>
      </c>
      <c r="B1069" t="s">
        <v>1075</v>
      </c>
      <c r="C1069">
        <v>1.9916474399999999</v>
      </c>
      <c r="D1069">
        <v>7.6224179000000003E-2</v>
      </c>
      <c r="E1069">
        <v>0.66525371099999997</v>
      </c>
      <c r="F1069">
        <v>0.41997267100000002</v>
      </c>
      <c r="G1069">
        <v>0.74297601700000004</v>
      </c>
      <c r="H1069">
        <v>1.58</v>
      </c>
      <c r="I1069">
        <v>1.42214500754054</v>
      </c>
      <c r="J1069">
        <v>1.50680168877334</v>
      </c>
      <c r="K1069">
        <v>1.2060041397540799</v>
      </c>
      <c r="L1069">
        <v>1.2433191531658701</v>
      </c>
      <c r="M1069">
        <v>1.4644733481569401</v>
      </c>
      <c r="N1069">
        <v>1.4638615026848201</v>
      </c>
      <c r="Q1069">
        <f t="shared" si="80"/>
        <v>1.58</v>
      </c>
      <c r="R1069">
        <f t="shared" si="82"/>
        <v>1.3917237647848175</v>
      </c>
      <c r="S1069">
        <f t="shared" si="83"/>
        <v>0.18827623521518255</v>
      </c>
      <c r="T1069">
        <f t="shared" si="84"/>
        <v>3.5447940746802749E-2</v>
      </c>
    </row>
    <row r="1070" spans="1:20" hidden="1" x14ac:dyDescent="0.25">
      <c r="A1070" t="str">
        <f t="shared" si="81"/>
        <v>BAR</v>
      </c>
      <c r="B1070" t="s">
        <v>1076</v>
      </c>
      <c r="C1070">
        <v>1.5116616249999999</v>
      </c>
      <c r="D1070">
        <v>7.6811086000000001E-2</v>
      </c>
      <c r="E1070">
        <v>0.67816869800000001</v>
      </c>
      <c r="F1070">
        <v>0.3856192</v>
      </c>
      <c r="G1070">
        <v>0.74429422599999995</v>
      </c>
      <c r="H1070">
        <v>1.42</v>
      </c>
      <c r="I1070">
        <v>1.87765317385639</v>
      </c>
      <c r="J1070">
        <v>1.89439608830877</v>
      </c>
      <c r="K1070">
        <v>1.918460339173</v>
      </c>
      <c r="L1070">
        <v>1.76390153707139</v>
      </c>
      <c r="M1070">
        <v>1.8860246310825799</v>
      </c>
      <c r="N1070">
        <v>1.8860060518869199</v>
      </c>
      <c r="Q1070">
        <f t="shared" si="80"/>
        <v>1.42</v>
      </c>
      <c r="R1070">
        <f t="shared" si="82"/>
        <v>1.8610288469386498</v>
      </c>
      <c r="S1070">
        <f t="shared" si="83"/>
        <v>-0.44102884693864985</v>
      </c>
      <c r="T1070">
        <f t="shared" si="84"/>
        <v>0.19450644383203505</v>
      </c>
    </row>
    <row r="1071" spans="1:20" hidden="1" x14ac:dyDescent="0.25">
      <c r="A1071" t="str">
        <f t="shared" si="81"/>
        <v>BAR</v>
      </c>
      <c r="B1071" t="s">
        <v>1077</v>
      </c>
      <c r="C1071">
        <v>1.6897390649999999</v>
      </c>
      <c r="D1071">
        <v>7.4260139000000003E-2</v>
      </c>
      <c r="E1071">
        <v>0.66887089799999999</v>
      </c>
      <c r="F1071">
        <v>0.375025408</v>
      </c>
      <c r="G1071">
        <v>0.73651146199999995</v>
      </c>
      <c r="H1071">
        <v>1.36</v>
      </c>
      <c r="I1071">
        <v>1.54583006713283</v>
      </c>
      <c r="J1071">
        <v>1.5937541940672399</v>
      </c>
      <c r="K1071">
        <v>1.5172537447843999</v>
      </c>
      <c r="L1071">
        <v>1.39643935106766</v>
      </c>
      <c r="M1071">
        <v>1.56979213060003</v>
      </c>
      <c r="N1071">
        <v>1.5696092357042799</v>
      </c>
      <c r="Q1071">
        <f t="shared" si="80"/>
        <v>1.36</v>
      </c>
      <c r="R1071">
        <f t="shared" si="82"/>
        <v>1.5169421703233716</v>
      </c>
      <c r="S1071">
        <f t="shared" si="83"/>
        <v>-0.15694217032337154</v>
      </c>
      <c r="T1071">
        <f t="shared" si="84"/>
        <v>2.4630844825810162E-2</v>
      </c>
    </row>
    <row r="1072" spans="1:20" hidden="1" x14ac:dyDescent="0.25">
      <c r="A1072" t="str">
        <f t="shared" si="81"/>
        <v>BAR</v>
      </c>
      <c r="B1072" t="s">
        <v>1078</v>
      </c>
      <c r="C1072">
        <v>1.745057501</v>
      </c>
      <c r="D1072">
        <v>7.2246581000000004E-2</v>
      </c>
      <c r="E1072">
        <v>0.66940094999999999</v>
      </c>
      <c r="F1072">
        <v>0.41365232000000002</v>
      </c>
      <c r="G1072">
        <v>0.73642490999999999</v>
      </c>
      <c r="H1072">
        <v>1.25</v>
      </c>
      <c r="I1072">
        <v>1.6262101754056399</v>
      </c>
      <c r="J1072">
        <v>1.62685077086192</v>
      </c>
      <c r="K1072">
        <v>1.61945213240779</v>
      </c>
      <c r="L1072">
        <v>1.5758975408387701</v>
      </c>
      <c r="M1072">
        <v>1.62653047313378</v>
      </c>
      <c r="N1072">
        <v>1.62653044159713</v>
      </c>
      <c r="Q1072">
        <f t="shared" si="80"/>
        <v>1.25</v>
      </c>
      <c r="R1072">
        <f t="shared" si="82"/>
        <v>1.5628581006217876</v>
      </c>
      <c r="S1072">
        <f t="shared" si="83"/>
        <v>-0.31285810062178765</v>
      </c>
      <c r="T1072">
        <f t="shared" si="84"/>
        <v>9.7880191124672611E-2</v>
      </c>
    </row>
    <row r="1073" spans="1:20" hidden="1" x14ac:dyDescent="0.25">
      <c r="A1073" t="str">
        <f t="shared" si="81"/>
        <v>BAR</v>
      </c>
      <c r="B1073" t="s">
        <v>1079</v>
      </c>
      <c r="C1073">
        <v>1.8799919270000001</v>
      </c>
      <c r="D1073">
        <v>7.5692047999999998E-2</v>
      </c>
      <c r="E1073">
        <v>0.67502880399999998</v>
      </c>
      <c r="F1073">
        <v>0.41455615499999998</v>
      </c>
      <c r="G1073">
        <v>0.74887309800000001</v>
      </c>
      <c r="H1073">
        <v>1.3</v>
      </c>
      <c r="I1073">
        <v>1.52376576219588</v>
      </c>
      <c r="J1073">
        <v>1.59636105654358</v>
      </c>
      <c r="K1073">
        <v>1.37394341799203</v>
      </c>
      <c r="L1073">
        <v>1.3718178609780001</v>
      </c>
      <c r="M1073">
        <v>1.5600634093697301</v>
      </c>
      <c r="N1073">
        <v>1.5596410875787901</v>
      </c>
      <c r="Q1073">
        <f t="shared" si="80"/>
        <v>1.3</v>
      </c>
      <c r="R1073">
        <f t="shared" si="82"/>
        <v>1.5025881485637544</v>
      </c>
      <c r="S1073">
        <f t="shared" si="83"/>
        <v>-0.2025881485637544</v>
      </c>
      <c r="T1073">
        <f t="shared" si="84"/>
        <v>4.1041957938489824E-2</v>
      </c>
    </row>
    <row r="1074" spans="1:20" hidden="1" x14ac:dyDescent="0.25">
      <c r="A1074" t="str">
        <f t="shared" si="81"/>
        <v>BAR</v>
      </c>
      <c r="B1074" t="s">
        <v>1080</v>
      </c>
      <c r="C1074">
        <v>1.8952738</v>
      </c>
      <c r="D1074">
        <v>7.2393067000000005E-2</v>
      </c>
      <c r="E1074">
        <v>0.68722851500000004</v>
      </c>
      <c r="F1074">
        <v>0.39340618500000002</v>
      </c>
      <c r="G1074">
        <v>0.759845836</v>
      </c>
      <c r="H1074">
        <v>1.45</v>
      </c>
      <c r="I1074">
        <v>1.3457842504734701</v>
      </c>
      <c r="J1074">
        <v>1.42840652142847</v>
      </c>
      <c r="K1074">
        <v>1.2147390603312</v>
      </c>
      <c r="L1074">
        <v>1.1751733260160999</v>
      </c>
      <c r="M1074">
        <v>1.38709538595097</v>
      </c>
      <c r="N1074">
        <v>1.3864800755193101</v>
      </c>
      <c r="Q1074">
        <f t="shared" si="80"/>
        <v>1.45</v>
      </c>
      <c r="R1074">
        <f t="shared" si="82"/>
        <v>1.3205438617059415</v>
      </c>
      <c r="S1074">
        <f t="shared" si="83"/>
        <v>0.12945613829405844</v>
      </c>
      <c r="T1074">
        <f t="shared" si="84"/>
        <v>1.6758891742010385E-2</v>
      </c>
    </row>
    <row r="1075" spans="1:20" hidden="1" x14ac:dyDescent="0.25">
      <c r="A1075" t="str">
        <f t="shared" si="81"/>
        <v>BAR</v>
      </c>
      <c r="B1075" t="s">
        <v>1081</v>
      </c>
      <c r="C1075">
        <v>1.967229667</v>
      </c>
      <c r="D1075">
        <v>7.2962568000000005E-2</v>
      </c>
      <c r="E1075">
        <v>0.68120837599999995</v>
      </c>
      <c r="F1075">
        <v>0.36677174499999998</v>
      </c>
      <c r="G1075">
        <v>0.73214073000000002</v>
      </c>
      <c r="H1075">
        <v>1.61</v>
      </c>
      <c r="I1075">
        <v>1.0904261058298701</v>
      </c>
      <c r="J1075">
        <v>1.26639366416165</v>
      </c>
      <c r="K1075">
        <v>1.00650034411997</v>
      </c>
      <c r="L1075">
        <v>0.98163187685381104</v>
      </c>
      <c r="M1075">
        <v>1.17840988499576</v>
      </c>
      <c r="N1075">
        <v>1.17512072216407</v>
      </c>
      <c r="Q1075">
        <f t="shared" si="80"/>
        <v>1.61</v>
      </c>
      <c r="R1075">
        <f t="shared" si="82"/>
        <v>1.126316480156822</v>
      </c>
      <c r="S1075">
        <f t="shared" si="83"/>
        <v>0.48368351984317814</v>
      </c>
      <c r="T1075">
        <f t="shared" si="84"/>
        <v>0.2339497473678861</v>
      </c>
    </row>
    <row r="1076" spans="1:20" hidden="1" x14ac:dyDescent="0.25">
      <c r="A1076" t="str">
        <f t="shared" si="81"/>
        <v>BAR</v>
      </c>
      <c r="B1076" t="s">
        <v>1082</v>
      </c>
      <c r="C1076">
        <v>1.938244042</v>
      </c>
      <c r="D1076">
        <v>7.3335068000000003E-2</v>
      </c>
      <c r="E1076">
        <v>0.70387529299999996</v>
      </c>
      <c r="F1076">
        <v>0.43675945399999999</v>
      </c>
      <c r="G1076">
        <v>0.75533783600000004</v>
      </c>
      <c r="H1076">
        <v>1.38</v>
      </c>
      <c r="I1076">
        <v>1.4786000759782501</v>
      </c>
      <c r="J1076">
        <v>1.59114827410946</v>
      </c>
      <c r="K1076">
        <v>1.4006171310172799</v>
      </c>
      <c r="L1076">
        <v>1.4513827382658699</v>
      </c>
      <c r="M1076">
        <v>1.5348741750438499</v>
      </c>
      <c r="N1076">
        <v>1.5338422210223901</v>
      </c>
      <c r="Q1076">
        <f t="shared" si="80"/>
        <v>1.38</v>
      </c>
      <c r="R1076">
        <f t="shared" si="82"/>
        <v>1.5009972473365227</v>
      </c>
      <c r="S1076">
        <f t="shared" si="83"/>
        <v>-0.12099724733652284</v>
      </c>
      <c r="T1076">
        <f t="shared" si="84"/>
        <v>1.4640333863015683E-2</v>
      </c>
    </row>
    <row r="1077" spans="1:20" hidden="1" x14ac:dyDescent="0.25">
      <c r="A1077" t="str">
        <f t="shared" si="81"/>
        <v>BAR</v>
      </c>
      <c r="B1077" t="s">
        <v>1083</v>
      </c>
      <c r="C1077">
        <v>1.9643049189999999</v>
      </c>
      <c r="D1077">
        <v>7.3427673999999998E-2</v>
      </c>
      <c r="E1077">
        <v>0.69388345600000001</v>
      </c>
      <c r="F1077">
        <v>0.474979555</v>
      </c>
      <c r="G1077">
        <v>0.76446186000000005</v>
      </c>
      <c r="H1077">
        <v>1.62</v>
      </c>
      <c r="I1077">
        <v>1.6404309800041099</v>
      </c>
      <c r="J1077">
        <v>1.6953547705926799</v>
      </c>
      <c r="K1077">
        <v>1.5422069812083701</v>
      </c>
      <c r="L1077">
        <v>1.61222142490781</v>
      </c>
      <c r="M1077">
        <v>1.6678928752983899</v>
      </c>
      <c r="N1077">
        <v>1.6676667795989699</v>
      </c>
      <c r="Q1077">
        <f t="shared" si="80"/>
        <v>1.62</v>
      </c>
      <c r="R1077">
        <f t="shared" si="82"/>
        <v>1.6226301613129395</v>
      </c>
      <c r="S1077">
        <f t="shared" si="83"/>
        <v>-2.6301613129393608E-3</v>
      </c>
      <c r="T1077">
        <f t="shared" si="84"/>
        <v>6.9177485320829026E-6</v>
      </c>
    </row>
    <row r="1078" spans="1:20" hidden="1" x14ac:dyDescent="0.25">
      <c r="A1078" t="str">
        <f t="shared" si="81"/>
        <v>BAR</v>
      </c>
      <c r="B1078" t="s">
        <v>1084</v>
      </c>
      <c r="C1078">
        <v>2.0406937809999999</v>
      </c>
      <c r="D1078">
        <v>7.4112372999999995E-2</v>
      </c>
      <c r="E1078">
        <v>0.70764506500000002</v>
      </c>
      <c r="F1078">
        <v>0.50885508499999998</v>
      </c>
      <c r="G1078">
        <v>0.77362412899999999</v>
      </c>
      <c r="H1078">
        <v>1.3</v>
      </c>
      <c r="I1078">
        <v>1.6933904978429299</v>
      </c>
      <c r="J1078">
        <v>1.77981774811352</v>
      </c>
      <c r="K1078">
        <v>1.5819392208554699</v>
      </c>
      <c r="L1078">
        <v>1.69443749355051</v>
      </c>
      <c r="M1078">
        <v>1.7366041229782301</v>
      </c>
      <c r="N1078">
        <v>1.73606637619293</v>
      </c>
      <c r="Q1078">
        <f t="shared" si="80"/>
        <v>1.3</v>
      </c>
      <c r="R1078">
        <f t="shared" si="82"/>
        <v>1.7118042769203541</v>
      </c>
      <c r="S1078">
        <f t="shared" si="83"/>
        <v>-0.41180427692035404</v>
      </c>
      <c r="T1078">
        <f t="shared" si="84"/>
        <v>0.16958276248989562</v>
      </c>
    </row>
    <row r="1079" spans="1:20" hidden="1" x14ac:dyDescent="0.25">
      <c r="A1079" t="str">
        <f t="shared" si="81"/>
        <v>BAR</v>
      </c>
      <c r="B1079" t="s">
        <v>1085</v>
      </c>
      <c r="C1079">
        <v>2.0550883199999999</v>
      </c>
      <c r="D1079">
        <v>7.9069028E-2</v>
      </c>
      <c r="E1079">
        <v>0.692009859</v>
      </c>
      <c r="F1079">
        <v>0.42756054999999998</v>
      </c>
      <c r="G1079">
        <v>0.74801754200000004</v>
      </c>
      <c r="H1079">
        <v>1.34</v>
      </c>
      <c r="I1079">
        <v>1.3872860709554999</v>
      </c>
      <c r="J1079">
        <v>1.59028104331677</v>
      </c>
      <c r="K1079">
        <v>1.202428865625</v>
      </c>
      <c r="L1079">
        <v>1.3093808912956799</v>
      </c>
      <c r="M1079">
        <v>1.4887835571361401</v>
      </c>
      <c r="N1079">
        <v>1.4853197434552401</v>
      </c>
      <c r="Q1079">
        <f t="shared" si="80"/>
        <v>1.34</v>
      </c>
      <c r="R1079">
        <f t="shared" si="82"/>
        <v>1.4653303938385114</v>
      </c>
      <c r="S1079">
        <f t="shared" si="83"/>
        <v>-0.1253303938385113</v>
      </c>
      <c r="T1079">
        <f t="shared" si="84"/>
        <v>1.5707707619716352E-2</v>
      </c>
    </row>
    <row r="1080" spans="1:20" hidden="1" x14ac:dyDescent="0.25">
      <c r="A1080" t="str">
        <f t="shared" si="81"/>
        <v>BAR</v>
      </c>
      <c r="B1080" t="s">
        <v>1086</v>
      </c>
      <c r="C1080">
        <v>1.983911204</v>
      </c>
      <c r="D1080">
        <v>6.9479280000000004E-2</v>
      </c>
      <c r="E1080">
        <v>0.70909353500000005</v>
      </c>
      <c r="F1080">
        <v>0.44723722500000002</v>
      </c>
      <c r="G1080">
        <v>0.784620808</v>
      </c>
      <c r="H1080">
        <v>1.71</v>
      </c>
      <c r="I1080">
        <v>1.42260856997795</v>
      </c>
      <c r="J1080">
        <v>1.48735481149186</v>
      </c>
      <c r="K1080">
        <v>1.36011991968223</v>
      </c>
      <c r="L1080">
        <v>1.4048332792787701</v>
      </c>
      <c r="M1080">
        <v>1.4549816907349</v>
      </c>
      <c r="N1080">
        <v>1.4546214976502501</v>
      </c>
      <c r="Q1080">
        <f t="shared" si="80"/>
        <v>1.71</v>
      </c>
      <c r="R1080">
        <f t="shared" si="82"/>
        <v>1.39537441986301</v>
      </c>
      <c r="S1080">
        <f t="shared" si="83"/>
        <v>0.31462558013698994</v>
      </c>
      <c r="T1080">
        <f t="shared" si="84"/>
        <v>9.8989255676537477E-2</v>
      </c>
    </row>
    <row r="1081" spans="1:20" hidden="1" x14ac:dyDescent="0.25">
      <c r="A1081" t="str">
        <f t="shared" si="81"/>
        <v>BAR</v>
      </c>
      <c r="B1081" t="s">
        <v>1087</v>
      </c>
      <c r="C1081">
        <v>1.838290663</v>
      </c>
      <c r="D1081">
        <v>7.1353105E-2</v>
      </c>
      <c r="E1081">
        <v>0.68817217100000005</v>
      </c>
      <c r="F1081">
        <v>0.37348157199999998</v>
      </c>
      <c r="G1081">
        <v>0.75511167000000001</v>
      </c>
      <c r="H1081">
        <v>1.53</v>
      </c>
      <c r="I1081">
        <v>1.29921060419838</v>
      </c>
      <c r="J1081">
        <v>1.3857367213140299</v>
      </c>
      <c r="K1081">
        <v>1.24479218056628</v>
      </c>
      <c r="L1081">
        <v>1.17991406009994</v>
      </c>
      <c r="M1081">
        <v>1.3424736627562099</v>
      </c>
      <c r="N1081">
        <v>1.3417763759130199</v>
      </c>
      <c r="Q1081">
        <f t="shared" si="80"/>
        <v>1.53</v>
      </c>
      <c r="R1081">
        <f t="shared" si="82"/>
        <v>1.2782516335138894</v>
      </c>
      <c r="S1081">
        <f t="shared" si="83"/>
        <v>0.25174836648611065</v>
      </c>
      <c r="T1081">
        <f t="shared" si="84"/>
        <v>6.3377240028425083E-2</v>
      </c>
    </row>
    <row r="1082" spans="1:20" hidden="1" x14ac:dyDescent="0.25">
      <c r="A1082" t="str">
        <f t="shared" si="81"/>
        <v>BAR</v>
      </c>
      <c r="B1082" t="s">
        <v>1088</v>
      </c>
      <c r="C1082">
        <v>1.941492059</v>
      </c>
      <c r="D1082">
        <v>7.4838634000000001E-2</v>
      </c>
      <c r="E1082">
        <v>0.70201190499999999</v>
      </c>
      <c r="F1082">
        <v>0.42614131199999999</v>
      </c>
      <c r="G1082">
        <v>0.76875739200000004</v>
      </c>
      <c r="H1082">
        <v>1.34</v>
      </c>
      <c r="I1082">
        <v>1.46939418590636</v>
      </c>
      <c r="J1082">
        <v>1.5883884935131001</v>
      </c>
      <c r="K1082">
        <v>1.31298908019746</v>
      </c>
      <c r="L1082">
        <v>1.3479259463195501</v>
      </c>
      <c r="M1082">
        <v>1.5288913397097299</v>
      </c>
      <c r="N1082">
        <v>1.5277332284560401</v>
      </c>
      <c r="Q1082">
        <f t="shared" si="80"/>
        <v>1.34</v>
      </c>
      <c r="R1082">
        <f t="shared" si="82"/>
        <v>1.4902153607787088</v>
      </c>
      <c r="S1082">
        <f t="shared" si="83"/>
        <v>-0.15021536077870867</v>
      </c>
      <c r="T1082">
        <f t="shared" si="84"/>
        <v>2.2564654613877608E-2</v>
      </c>
    </row>
    <row r="1083" spans="1:20" hidden="1" x14ac:dyDescent="0.25">
      <c r="A1083" t="str">
        <f t="shared" si="81"/>
        <v>BAR</v>
      </c>
      <c r="B1083" t="s">
        <v>1089</v>
      </c>
      <c r="C1083">
        <v>2.1288123130000001</v>
      </c>
      <c r="D1083">
        <v>7.2023512999999997E-2</v>
      </c>
      <c r="E1083">
        <v>0.69370270199999995</v>
      </c>
      <c r="F1083">
        <v>0.42405645600000003</v>
      </c>
      <c r="G1083">
        <v>0.75513706199999997</v>
      </c>
      <c r="H1083">
        <v>1.3</v>
      </c>
      <c r="I1083">
        <v>1.16043894448506</v>
      </c>
      <c r="J1083">
        <v>1.3056000466931801</v>
      </c>
      <c r="K1083">
        <v>1.00211000720021</v>
      </c>
      <c r="L1083">
        <v>1.1087677549500701</v>
      </c>
      <c r="M1083">
        <v>1.2330194955891201</v>
      </c>
      <c r="N1083">
        <v>1.2308814484361501</v>
      </c>
      <c r="Q1083">
        <f t="shared" si="80"/>
        <v>1.3</v>
      </c>
      <c r="R1083">
        <f t="shared" si="82"/>
        <v>1.1670218701832091</v>
      </c>
      <c r="S1083">
        <f t="shared" si="83"/>
        <v>0.13297812981679091</v>
      </c>
      <c r="T1083">
        <f t="shared" si="84"/>
        <v>1.7683183009571297E-2</v>
      </c>
    </row>
    <row r="1084" spans="1:20" hidden="1" x14ac:dyDescent="0.25">
      <c r="A1084" t="str">
        <f t="shared" si="81"/>
        <v>BAR</v>
      </c>
      <c r="B1084" t="s">
        <v>1090</v>
      </c>
      <c r="C1084">
        <v>2.1490344100000001</v>
      </c>
      <c r="D1084">
        <v>7.3527021999999997E-2</v>
      </c>
      <c r="E1084">
        <v>0.677794491</v>
      </c>
      <c r="F1084">
        <v>0.44836096199999997</v>
      </c>
      <c r="G1084">
        <v>0.74049440399999999</v>
      </c>
      <c r="H1084">
        <v>1.19</v>
      </c>
      <c r="I1084">
        <v>1.2816328294624599</v>
      </c>
      <c r="J1084">
        <v>1.3951909381179699</v>
      </c>
      <c r="K1084">
        <v>1.1323336650838001</v>
      </c>
      <c r="L1084">
        <v>1.3028842830588501</v>
      </c>
      <c r="M1084">
        <v>1.3384118837902199</v>
      </c>
      <c r="N1084">
        <v>1.3372069808599301</v>
      </c>
      <c r="Q1084">
        <f t="shared" si="80"/>
        <v>1.19</v>
      </c>
      <c r="R1084">
        <f t="shared" si="82"/>
        <v>1.2659176042415927</v>
      </c>
      <c r="S1084">
        <f t="shared" si="83"/>
        <v>-7.5917604241592773E-2</v>
      </c>
      <c r="T1084">
        <f t="shared" si="84"/>
        <v>5.7634826337831053E-3</v>
      </c>
    </row>
    <row r="1085" spans="1:20" hidden="1" x14ac:dyDescent="0.25">
      <c r="A1085" t="str">
        <f t="shared" si="81"/>
        <v>BAR</v>
      </c>
      <c r="B1085" t="s">
        <v>1091</v>
      </c>
      <c r="C1085">
        <v>2.0563618300000002</v>
      </c>
      <c r="D1085">
        <v>6.9075450999999996E-2</v>
      </c>
      <c r="E1085">
        <v>0.69864043600000003</v>
      </c>
      <c r="F1085">
        <v>0.46732455699999997</v>
      </c>
      <c r="G1085">
        <v>0.76785895699999995</v>
      </c>
      <c r="H1085">
        <v>1.33</v>
      </c>
      <c r="I1085">
        <v>1.4078414934352299</v>
      </c>
      <c r="J1085">
        <v>1.46576804700811</v>
      </c>
      <c r="K1085">
        <v>1.3017679494377501</v>
      </c>
      <c r="L1085">
        <v>1.3720697679362299</v>
      </c>
      <c r="M1085">
        <v>1.43680477022167</v>
      </c>
      <c r="N1085">
        <v>1.4365128180178299</v>
      </c>
      <c r="Q1085">
        <f t="shared" si="80"/>
        <v>1.33</v>
      </c>
      <c r="R1085">
        <f t="shared" si="82"/>
        <v>1.3703076742721692</v>
      </c>
      <c r="S1085">
        <f t="shared" si="83"/>
        <v>-4.0307674272169081E-2</v>
      </c>
      <c r="T1085">
        <f t="shared" si="84"/>
        <v>1.6247086052312812E-3</v>
      </c>
    </row>
    <row r="1086" spans="1:20" hidden="1" x14ac:dyDescent="0.25">
      <c r="A1086" t="str">
        <f t="shared" si="81"/>
        <v>BAR</v>
      </c>
      <c r="B1086" t="s">
        <v>1092</v>
      </c>
      <c r="C1086">
        <v>2.0561999129999999</v>
      </c>
      <c r="D1086">
        <v>7.2864122000000003E-2</v>
      </c>
      <c r="E1086">
        <v>0.69616677999999999</v>
      </c>
      <c r="F1086">
        <v>0.49595730300000002</v>
      </c>
      <c r="G1086">
        <v>0.76449138599999999</v>
      </c>
      <c r="H1086">
        <v>1.59</v>
      </c>
      <c r="I1086">
        <v>1.60403079821853</v>
      </c>
      <c r="J1086">
        <v>1.66801437953414</v>
      </c>
      <c r="K1086">
        <v>1.42916071228066</v>
      </c>
      <c r="L1086">
        <v>1.53417429543883</v>
      </c>
      <c r="M1086">
        <v>1.63602258887634</v>
      </c>
      <c r="N1086">
        <v>1.6357097654058701</v>
      </c>
      <c r="Q1086">
        <f t="shared" si="80"/>
        <v>1.59</v>
      </c>
      <c r="R1086">
        <f t="shared" si="82"/>
        <v>1.5888556832229805</v>
      </c>
      <c r="S1086">
        <f t="shared" si="83"/>
        <v>1.1443167770195384E-3</v>
      </c>
      <c r="T1086">
        <f t="shared" si="84"/>
        <v>1.3094608861683839E-6</v>
      </c>
    </row>
    <row r="1087" spans="1:20" hidden="1" x14ac:dyDescent="0.25">
      <c r="A1087" t="str">
        <f t="shared" si="81"/>
        <v>BAR</v>
      </c>
      <c r="B1087" t="s">
        <v>1093</v>
      </c>
      <c r="C1087">
        <v>2.0682144120000001</v>
      </c>
      <c r="D1087">
        <v>6.8684692000000006E-2</v>
      </c>
      <c r="E1087">
        <v>0.66589664599999998</v>
      </c>
      <c r="F1087">
        <v>0.409667487</v>
      </c>
      <c r="G1087">
        <v>0.74173756999999996</v>
      </c>
      <c r="H1087">
        <v>1.32</v>
      </c>
      <c r="I1087">
        <v>1.1414531172168401</v>
      </c>
      <c r="J1087">
        <v>1.19339428396585</v>
      </c>
      <c r="K1087">
        <v>0.98956990010050605</v>
      </c>
      <c r="L1087">
        <v>1.011633993567</v>
      </c>
      <c r="M1087">
        <v>1.1674237005913499</v>
      </c>
      <c r="N1087">
        <v>1.1671347932015299</v>
      </c>
      <c r="Q1087">
        <f t="shared" si="80"/>
        <v>1.32</v>
      </c>
      <c r="R1087">
        <f t="shared" si="82"/>
        <v>1.0588254620326323</v>
      </c>
      <c r="S1087">
        <f t="shared" si="83"/>
        <v>0.26117453796736778</v>
      </c>
      <c r="T1087">
        <f t="shared" si="84"/>
        <v>6.821213928246804E-2</v>
      </c>
    </row>
    <row r="1088" spans="1:20" hidden="1" x14ac:dyDescent="0.25">
      <c r="A1088" t="str">
        <f t="shared" si="81"/>
        <v>BAR</v>
      </c>
      <c r="B1088" t="s">
        <v>1094</v>
      </c>
      <c r="C1088">
        <v>1.996039991</v>
      </c>
      <c r="D1088">
        <v>7.9596158E-2</v>
      </c>
      <c r="E1088">
        <v>0.67848103100000001</v>
      </c>
      <c r="F1088">
        <v>0.43460107199999998</v>
      </c>
      <c r="G1088">
        <v>0.74557596299999995</v>
      </c>
      <c r="H1088">
        <v>1.5</v>
      </c>
      <c r="I1088">
        <v>1.5311751216431999</v>
      </c>
      <c r="J1088">
        <v>1.6726745694046199</v>
      </c>
      <c r="K1088">
        <v>1.26492536785174</v>
      </c>
      <c r="L1088">
        <v>1.34190194013952</v>
      </c>
      <c r="M1088">
        <v>1.6019248455239099</v>
      </c>
      <c r="N1088">
        <v>1.6003617363826199</v>
      </c>
      <c r="Q1088">
        <f t="shared" si="80"/>
        <v>1.5</v>
      </c>
      <c r="R1088">
        <f t="shared" si="82"/>
        <v>1.5635919021457125</v>
      </c>
      <c r="S1088">
        <f t="shared" si="83"/>
        <v>-6.3591902145712531E-2</v>
      </c>
      <c r="T1088">
        <f t="shared" si="84"/>
        <v>4.0439300185098779E-3</v>
      </c>
    </row>
    <row r="1089" spans="1:20" hidden="1" x14ac:dyDescent="0.25">
      <c r="A1089" t="str">
        <f t="shared" si="81"/>
        <v>BAR</v>
      </c>
      <c r="B1089" t="s">
        <v>1095</v>
      </c>
      <c r="C1089">
        <v>1.9983429930000001</v>
      </c>
      <c r="D1089">
        <v>7.8165335000000002E-2</v>
      </c>
      <c r="E1089">
        <v>0.66599224199999996</v>
      </c>
      <c r="F1089">
        <v>0.43040153399999997</v>
      </c>
      <c r="G1089">
        <v>0.736693508</v>
      </c>
      <c r="H1089">
        <v>1.75</v>
      </c>
      <c r="I1089">
        <v>1.48883985585611</v>
      </c>
      <c r="J1089">
        <v>1.5952552359680101</v>
      </c>
      <c r="K1089">
        <v>1.2384193048665999</v>
      </c>
      <c r="L1089">
        <v>1.29687140725731</v>
      </c>
      <c r="M1089">
        <v>1.5420475459120599</v>
      </c>
      <c r="N1089">
        <v>1.5411293182508401</v>
      </c>
      <c r="Q1089">
        <f t="shared" ref="Q1089:Q1152" si="85">H1089</f>
        <v>1.75</v>
      </c>
      <c r="R1089">
        <f t="shared" si="82"/>
        <v>1.4837723473075415</v>
      </c>
      <c r="S1089">
        <f t="shared" si="83"/>
        <v>0.26622765269245852</v>
      </c>
      <c r="T1089">
        <f t="shared" si="84"/>
        <v>7.0877163058136308E-2</v>
      </c>
    </row>
    <row r="1090" spans="1:20" hidden="1" x14ac:dyDescent="0.25">
      <c r="A1090" t="str">
        <f t="shared" si="81"/>
        <v>BAR</v>
      </c>
      <c r="B1090" t="s">
        <v>1096</v>
      </c>
      <c r="C1090">
        <v>1.664926701</v>
      </c>
      <c r="D1090">
        <v>6.3702032000000006E-2</v>
      </c>
      <c r="E1090">
        <v>0.69290986700000001</v>
      </c>
      <c r="F1090">
        <v>0.32388854500000003</v>
      </c>
      <c r="G1090">
        <v>0.77447592499999995</v>
      </c>
      <c r="H1090">
        <v>1.29</v>
      </c>
      <c r="I1090">
        <v>1.2047671116829</v>
      </c>
      <c r="J1090">
        <v>1.19142716162392</v>
      </c>
      <c r="K1090">
        <v>1.2158357762679299</v>
      </c>
      <c r="L1090">
        <v>1.0559118474778</v>
      </c>
      <c r="M1090">
        <v>1.1980971366534101</v>
      </c>
      <c r="N1090">
        <v>1.19807857016566</v>
      </c>
      <c r="Q1090">
        <f t="shared" si="85"/>
        <v>1.29</v>
      </c>
      <c r="R1090">
        <f t="shared" si="82"/>
        <v>1.0920690147826289</v>
      </c>
      <c r="S1090">
        <f t="shared" si="83"/>
        <v>0.19793098521737118</v>
      </c>
      <c r="T1090">
        <f t="shared" si="84"/>
        <v>3.9176674909119212E-2</v>
      </c>
    </row>
    <row r="1091" spans="1:20" hidden="1" x14ac:dyDescent="0.25">
      <c r="A1091" t="str">
        <f t="shared" ref="A1091:A1154" si="86">LEFT(B1091,3)</f>
        <v>BAR</v>
      </c>
      <c r="B1091" t="s">
        <v>1097</v>
      </c>
      <c r="C1091">
        <v>1.8545476679999999</v>
      </c>
      <c r="D1091">
        <v>6.9455333999999994E-2</v>
      </c>
      <c r="E1091">
        <v>0.71482535899999999</v>
      </c>
      <c r="F1091">
        <v>0.41845680800000001</v>
      </c>
      <c r="G1091">
        <v>0.78390866199999998</v>
      </c>
      <c r="H1091">
        <v>1.01</v>
      </c>
      <c r="I1091">
        <v>1.45272034046131</v>
      </c>
      <c r="J1091">
        <v>1.5172609260669401</v>
      </c>
      <c r="K1091">
        <v>1.40649877771976</v>
      </c>
      <c r="L1091">
        <v>1.3685604158979501</v>
      </c>
      <c r="M1091">
        <v>1.4849906332641301</v>
      </c>
      <c r="N1091">
        <v>1.4846399594125901</v>
      </c>
      <c r="Q1091">
        <f t="shared" si="85"/>
        <v>1.01</v>
      </c>
      <c r="R1091">
        <f t="shared" ref="R1091:R1154" si="87">$X$2*F1091+$X$3*D1091*E1091+($X$4/(D1091-$X$5))-$X$6*C1091</f>
        <v>1.435508664998602</v>
      </c>
      <c r="S1091">
        <f t="shared" ref="S1091:S1154" si="88">Q1091-R1091</f>
        <v>-0.42550866499860196</v>
      </c>
      <c r="T1091">
        <f t="shared" ref="T1091:T1154" si="89">S1091^2</f>
        <v>0.18105762398889247</v>
      </c>
    </row>
    <row r="1092" spans="1:20" hidden="1" x14ac:dyDescent="0.25">
      <c r="A1092" t="str">
        <f t="shared" si="86"/>
        <v>BAR</v>
      </c>
      <c r="B1092" t="s">
        <v>1098</v>
      </c>
      <c r="C1092">
        <v>1.849651438</v>
      </c>
      <c r="D1092">
        <v>6.6633191999999994E-2</v>
      </c>
      <c r="E1092">
        <v>0.710545125</v>
      </c>
      <c r="F1092">
        <v>0.407919315</v>
      </c>
      <c r="G1092">
        <v>0.78563691700000005</v>
      </c>
      <c r="H1092">
        <v>1.5</v>
      </c>
      <c r="I1092">
        <v>1.3741209844275999</v>
      </c>
      <c r="J1092">
        <v>1.4064485198302401</v>
      </c>
      <c r="K1092">
        <v>1.3408380272279199</v>
      </c>
      <c r="L1092">
        <v>1.28793156417195</v>
      </c>
      <c r="M1092">
        <v>1.3902847521289201</v>
      </c>
      <c r="N1092">
        <v>1.3901907871281001</v>
      </c>
      <c r="Q1092">
        <f t="shared" si="85"/>
        <v>1.5</v>
      </c>
      <c r="R1092">
        <f t="shared" si="87"/>
        <v>1.3196043412916874</v>
      </c>
      <c r="S1092">
        <f t="shared" si="88"/>
        <v>0.18039565870831265</v>
      </c>
      <c r="T1092">
        <f t="shared" si="89"/>
        <v>3.2542593680806017E-2</v>
      </c>
    </row>
    <row r="1093" spans="1:20" hidden="1" x14ac:dyDescent="0.25">
      <c r="A1093" t="str">
        <f t="shared" si="86"/>
        <v>BAR</v>
      </c>
      <c r="B1093" t="s">
        <v>1099</v>
      </c>
      <c r="C1093">
        <v>1.8386103949999999</v>
      </c>
      <c r="D1093">
        <v>6.5399001999999998E-2</v>
      </c>
      <c r="E1093">
        <v>0.71450789599999998</v>
      </c>
      <c r="F1093">
        <v>0.43136743</v>
      </c>
      <c r="G1093">
        <v>0.79134831100000003</v>
      </c>
      <c r="H1093">
        <v>1.48</v>
      </c>
      <c r="I1093">
        <v>1.46442097533876</v>
      </c>
      <c r="J1093">
        <v>1.4775170802464199</v>
      </c>
      <c r="K1093">
        <v>1.45806233491211</v>
      </c>
      <c r="L1093">
        <v>1.4015557822651801</v>
      </c>
      <c r="M1093">
        <v>1.47096902779259</v>
      </c>
      <c r="N1093">
        <v>1.47095445331735</v>
      </c>
      <c r="Q1093">
        <f t="shared" si="85"/>
        <v>1.48</v>
      </c>
      <c r="R1093">
        <f t="shared" si="87"/>
        <v>1.4076896289731455</v>
      </c>
      <c r="S1093">
        <f t="shared" si="88"/>
        <v>7.2310371026854448E-2</v>
      </c>
      <c r="T1093">
        <f t="shared" si="89"/>
        <v>5.2287897580413512E-3</v>
      </c>
    </row>
    <row r="1094" spans="1:20" hidden="1" x14ac:dyDescent="0.25">
      <c r="A1094" t="str">
        <f t="shared" si="86"/>
        <v>BAR</v>
      </c>
      <c r="B1094" t="s">
        <v>1100</v>
      </c>
      <c r="C1094">
        <v>1.8495211819999999</v>
      </c>
      <c r="D1094">
        <v>5.8825954E-2</v>
      </c>
      <c r="E1094">
        <v>0.68816196200000002</v>
      </c>
      <c r="F1094">
        <v>0.38466133600000002</v>
      </c>
      <c r="G1094">
        <v>0.77344591600000001</v>
      </c>
      <c r="H1094">
        <v>1.0900000000000001</v>
      </c>
      <c r="I1094">
        <v>1.1616758685550499</v>
      </c>
      <c r="J1094">
        <v>1.1130026105242301</v>
      </c>
      <c r="K1094">
        <v>1.2702089333620299</v>
      </c>
      <c r="L1094">
        <v>1.2040538631300499</v>
      </c>
      <c r="M1094">
        <v>1.13733923953964</v>
      </c>
      <c r="N1094">
        <v>1.13707883380387</v>
      </c>
      <c r="Q1094">
        <f t="shared" si="85"/>
        <v>1.0900000000000001</v>
      </c>
      <c r="R1094">
        <f t="shared" si="87"/>
        <v>1.0111123539381319</v>
      </c>
      <c r="S1094">
        <f t="shared" si="88"/>
        <v>7.8887646061868155E-2</v>
      </c>
      <c r="T1094">
        <f t="shared" si="89"/>
        <v>6.223260701182582E-3</v>
      </c>
    </row>
    <row r="1095" spans="1:20" hidden="1" x14ac:dyDescent="0.25">
      <c r="A1095" t="str">
        <f t="shared" si="86"/>
        <v>BAR</v>
      </c>
      <c r="B1095" t="s">
        <v>1101</v>
      </c>
      <c r="C1095">
        <v>1.550631546</v>
      </c>
      <c r="D1095">
        <v>6.7146233E-2</v>
      </c>
      <c r="E1095">
        <v>0.66439425399999996</v>
      </c>
      <c r="F1095">
        <v>0.32258113999999999</v>
      </c>
      <c r="G1095">
        <v>0.76452630399999999</v>
      </c>
      <c r="H1095">
        <v>1.1100000000000001</v>
      </c>
      <c r="I1095">
        <v>1.4144348041961801</v>
      </c>
      <c r="J1095">
        <v>1.35147840600813</v>
      </c>
      <c r="K1095">
        <v>1.4324425282197799</v>
      </c>
      <c r="L1095">
        <v>1.275730347101</v>
      </c>
      <c r="M1095">
        <v>1.38295660510215</v>
      </c>
      <c r="N1095">
        <v>1.3825983128072601</v>
      </c>
      <c r="Q1095">
        <f t="shared" si="85"/>
        <v>1.1100000000000001</v>
      </c>
      <c r="R1095">
        <f t="shared" si="87"/>
        <v>1.274372487089247</v>
      </c>
      <c r="S1095">
        <f t="shared" si="88"/>
        <v>-0.1643724870892469</v>
      </c>
      <c r="T1095">
        <f t="shared" si="89"/>
        <v>2.7018314511904638E-2</v>
      </c>
    </row>
    <row r="1096" spans="1:20" hidden="1" x14ac:dyDescent="0.25">
      <c r="A1096" t="str">
        <f t="shared" si="86"/>
        <v>BAR</v>
      </c>
      <c r="B1096" t="s">
        <v>1102</v>
      </c>
      <c r="C1096">
        <v>1.64440871</v>
      </c>
      <c r="D1096">
        <v>6.6433298000000002E-2</v>
      </c>
      <c r="E1096">
        <v>0.71574950400000004</v>
      </c>
      <c r="F1096">
        <v>0.32320282700000003</v>
      </c>
      <c r="G1096">
        <v>0.79499364500000003</v>
      </c>
      <c r="H1096">
        <v>0.97</v>
      </c>
      <c r="I1096">
        <v>1.2888432268169301</v>
      </c>
      <c r="J1096">
        <v>1.3015371609906801</v>
      </c>
      <c r="K1096">
        <v>1.2801083289539901</v>
      </c>
      <c r="L1096">
        <v>1.15384986439818</v>
      </c>
      <c r="M1096">
        <v>1.29519019390381</v>
      </c>
      <c r="N1096">
        <v>1.29517464242989</v>
      </c>
      <c r="Q1096">
        <f t="shared" si="85"/>
        <v>0.97</v>
      </c>
      <c r="R1096">
        <f t="shared" si="87"/>
        <v>1.2068046555266296</v>
      </c>
      <c r="S1096">
        <f t="shared" si="88"/>
        <v>-0.23680465552662966</v>
      </c>
      <c r="T1096">
        <f t="shared" si="89"/>
        <v>5.6076444879085738E-2</v>
      </c>
    </row>
    <row r="1097" spans="1:20" hidden="1" x14ac:dyDescent="0.25">
      <c r="A1097" t="str">
        <f t="shared" si="86"/>
        <v>BAR</v>
      </c>
      <c r="B1097" t="s">
        <v>1103</v>
      </c>
      <c r="C1097">
        <v>1.8107208299999999</v>
      </c>
      <c r="D1097">
        <v>6.2977564E-2</v>
      </c>
      <c r="E1097">
        <v>0.70817186399999998</v>
      </c>
      <c r="F1097">
        <v>0.33917988199999999</v>
      </c>
      <c r="G1097">
        <v>0.78016195899999996</v>
      </c>
      <c r="H1097">
        <v>1.04</v>
      </c>
      <c r="I1097">
        <v>1.0697958608832301</v>
      </c>
      <c r="J1097">
        <v>1.10126458307921</v>
      </c>
      <c r="K1097">
        <v>1.05923868966769</v>
      </c>
      <c r="L1097">
        <v>0.94157618488981698</v>
      </c>
      <c r="M1097">
        <v>1.08553022198122</v>
      </c>
      <c r="N1097">
        <v>1.08541618410425</v>
      </c>
      <c r="Q1097">
        <f t="shared" si="85"/>
        <v>1.04</v>
      </c>
      <c r="R1097">
        <f t="shared" si="87"/>
        <v>0.98067564979730504</v>
      </c>
      <c r="S1097">
        <f t="shared" si="88"/>
        <v>5.9324350202694998E-2</v>
      </c>
      <c r="T1097">
        <f t="shared" si="89"/>
        <v>3.5193785269719978E-3</v>
      </c>
    </row>
    <row r="1098" spans="1:20" hidden="1" x14ac:dyDescent="0.25">
      <c r="A1098" t="str">
        <f t="shared" si="86"/>
        <v>BAR</v>
      </c>
      <c r="B1098" t="s">
        <v>1104</v>
      </c>
      <c r="C1098">
        <v>1.8676771350000001</v>
      </c>
      <c r="D1098">
        <v>6.4952048999999998E-2</v>
      </c>
      <c r="E1098">
        <v>0.70202220000000004</v>
      </c>
      <c r="F1098">
        <v>0.41892077799999999</v>
      </c>
      <c r="G1098">
        <v>0.77900956899999996</v>
      </c>
      <c r="H1098">
        <v>1.05</v>
      </c>
      <c r="I1098">
        <v>1.3711979917555599</v>
      </c>
      <c r="J1098">
        <v>1.3777834519140699</v>
      </c>
      <c r="K1098">
        <v>1.4418795504205999</v>
      </c>
      <c r="L1098">
        <v>1.44316529346092</v>
      </c>
      <c r="M1098">
        <v>1.3744907218348199</v>
      </c>
      <c r="N1098">
        <v>1.3744867777969401</v>
      </c>
      <c r="Q1098">
        <f t="shared" si="85"/>
        <v>1.05</v>
      </c>
      <c r="R1098">
        <f t="shared" si="87"/>
        <v>1.2936716883582311</v>
      </c>
      <c r="S1098">
        <f t="shared" si="88"/>
        <v>-0.24367168835823105</v>
      </c>
      <c r="T1098">
        <f t="shared" si="89"/>
        <v>5.9375891707350872E-2</v>
      </c>
    </row>
    <row r="1099" spans="1:20" hidden="1" x14ac:dyDescent="0.25">
      <c r="A1099" t="str">
        <f t="shared" si="86"/>
        <v>BAR</v>
      </c>
      <c r="B1099" t="s">
        <v>1105</v>
      </c>
      <c r="C1099">
        <v>1.873637021</v>
      </c>
      <c r="D1099">
        <v>6.4205380000000006E-2</v>
      </c>
      <c r="E1099">
        <v>0.70396586000000005</v>
      </c>
      <c r="F1099">
        <v>0.34517207999999999</v>
      </c>
      <c r="G1099">
        <v>0.773074873</v>
      </c>
      <c r="H1099">
        <v>1.29</v>
      </c>
      <c r="I1099">
        <v>1.0266783842098199</v>
      </c>
      <c r="J1099">
        <v>1.0850973287910901</v>
      </c>
      <c r="K1099">
        <v>1.0280950218797</v>
      </c>
      <c r="L1099">
        <v>0.94091775080917595</v>
      </c>
      <c r="M1099">
        <v>1.0558878565004499</v>
      </c>
      <c r="N1099">
        <v>1.05548376218378</v>
      </c>
      <c r="Q1099">
        <f t="shared" si="85"/>
        <v>1.29</v>
      </c>
      <c r="R1099">
        <f t="shared" si="87"/>
        <v>0.95456088074018863</v>
      </c>
      <c r="S1099">
        <f t="shared" si="88"/>
        <v>0.3354391192598114</v>
      </c>
      <c r="T1099">
        <f t="shared" si="89"/>
        <v>0.11251940272979798</v>
      </c>
    </row>
    <row r="1100" spans="1:20" hidden="1" x14ac:dyDescent="0.25">
      <c r="A1100" t="str">
        <f t="shared" si="86"/>
        <v>BAR</v>
      </c>
      <c r="B1100" t="s">
        <v>1106</v>
      </c>
      <c r="C1100">
        <v>1.8474253490000001</v>
      </c>
      <c r="D1100">
        <v>6.9569396000000006E-2</v>
      </c>
      <c r="E1100">
        <v>0.69809142400000002</v>
      </c>
      <c r="F1100">
        <v>0.36868398299999999</v>
      </c>
      <c r="G1100">
        <v>0.77097588100000003</v>
      </c>
      <c r="H1100">
        <v>1.04</v>
      </c>
      <c r="I1100">
        <v>1.25249051539738</v>
      </c>
      <c r="J1100">
        <v>1.3244900944854601</v>
      </c>
      <c r="K1100">
        <v>1.20579065819495</v>
      </c>
      <c r="L1100">
        <v>1.1357583745304101</v>
      </c>
      <c r="M1100">
        <v>1.28849030494142</v>
      </c>
      <c r="N1100">
        <v>1.2879872984935901</v>
      </c>
      <c r="Q1100">
        <f t="shared" si="85"/>
        <v>1.04</v>
      </c>
      <c r="R1100">
        <f t="shared" si="87"/>
        <v>1.213028105407302</v>
      </c>
      <c r="S1100">
        <f t="shared" si="88"/>
        <v>-0.17302810540730196</v>
      </c>
      <c r="T1100">
        <f t="shared" si="89"/>
        <v>2.9938725260840397E-2</v>
      </c>
    </row>
    <row r="1101" spans="1:20" hidden="1" x14ac:dyDescent="0.25">
      <c r="A1101" t="str">
        <f t="shared" si="86"/>
        <v>BAR</v>
      </c>
      <c r="B1101" t="s">
        <v>1107</v>
      </c>
      <c r="C1101">
        <v>1.9337794260000001</v>
      </c>
      <c r="D1101">
        <v>6.2195141000000002E-2</v>
      </c>
      <c r="E1101">
        <v>0.68853941399999996</v>
      </c>
      <c r="F1101">
        <v>0.39610244700000002</v>
      </c>
      <c r="G1101">
        <v>0.773119738</v>
      </c>
      <c r="H1101">
        <v>1.08</v>
      </c>
      <c r="I1101">
        <v>1.15997344745311</v>
      </c>
      <c r="J1101">
        <v>1.1477091570981099</v>
      </c>
      <c r="K1101">
        <v>1.21748816181803</v>
      </c>
      <c r="L1101">
        <v>1.20424067122976</v>
      </c>
      <c r="M1101">
        <v>1.15384130227561</v>
      </c>
      <c r="N1101">
        <v>1.15382500737009</v>
      </c>
      <c r="Q1101">
        <f t="shared" si="85"/>
        <v>1.08</v>
      </c>
      <c r="R1101">
        <f t="shared" si="87"/>
        <v>1.0350387385660751</v>
      </c>
      <c r="S1101">
        <f t="shared" si="88"/>
        <v>4.4961261433924982E-2</v>
      </c>
      <c r="T1101">
        <f t="shared" si="89"/>
        <v>2.0215150297297497E-3</v>
      </c>
    </row>
    <row r="1102" spans="1:20" hidden="1" x14ac:dyDescent="0.25">
      <c r="A1102" t="str">
        <f t="shared" si="86"/>
        <v>RIP</v>
      </c>
      <c r="B1102" t="s">
        <v>1108</v>
      </c>
      <c r="C1102">
        <v>1.16524323</v>
      </c>
      <c r="D1102">
        <v>9.4311729999999996E-2</v>
      </c>
      <c r="E1102">
        <v>0.71910599600000003</v>
      </c>
      <c r="F1102">
        <v>0.51670976899999999</v>
      </c>
      <c r="G1102">
        <v>0.83116947500000005</v>
      </c>
      <c r="H1102">
        <v>3.09</v>
      </c>
      <c r="I1102">
        <v>3.6421755256587098</v>
      </c>
      <c r="J1102">
        <v>3.4054537943494099</v>
      </c>
      <c r="K1102">
        <v>3.5795844522773401</v>
      </c>
      <c r="L1102">
        <v>3.6120245206634798</v>
      </c>
      <c r="M1102">
        <v>3.5238146600040601</v>
      </c>
      <c r="N1102">
        <v>3.5218262966167102</v>
      </c>
      <c r="Q1102">
        <f t="shared" si="85"/>
        <v>3.09</v>
      </c>
      <c r="R1102">
        <f t="shared" si="87"/>
        <v>3.4980197727232731</v>
      </c>
      <c r="S1102">
        <f t="shared" si="88"/>
        <v>-0.40801977272327328</v>
      </c>
      <c r="T1102">
        <f t="shared" si="89"/>
        <v>0.16648013493315159</v>
      </c>
    </row>
    <row r="1103" spans="1:20" hidden="1" x14ac:dyDescent="0.25">
      <c r="A1103" t="str">
        <f t="shared" si="86"/>
        <v>RIP</v>
      </c>
      <c r="B1103" t="s">
        <v>1109</v>
      </c>
      <c r="C1103">
        <v>1.265004926</v>
      </c>
      <c r="D1103">
        <v>9.2481908000000002E-2</v>
      </c>
      <c r="E1103">
        <v>0.71379311899999998</v>
      </c>
      <c r="F1103">
        <v>0.54618994899999995</v>
      </c>
      <c r="G1103">
        <v>0.82715766099999999</v>
      </c>
      <c r="H1103">
        <v>3.37</v>
      </c>
      <c r="I1103">
        <v>3.52524539942107</v>
      </c>
      <c r="J1103">
        <v>3.3257211465865599</v>
      </c>
      <c r="K1103">
        <v>3.5543031908419098</v>
      </c>
      <c r="L1103">
        <v>3.5155198859771</v>
      </c>
      <c r="M1103">
        <v>3.4254832730038198</v>
      </c>
      <c r="N1103">
        <v>3.42403025275211</v>
      </c>
      <c r="Q1103">
        <f t="shared" si="85"/>
        <v>3.37</v>
      </c>
      <c r="R1103">
        <f t="shared" si="87"/>
        <v>3.4205768804570487</v>
      </c>
      <c r="S1103">
        <f t="shared" si="88"/>
        <v>-5.0576880457048556E-2</v>
      </c>
      <c r="T1103">
        <f t="shared" si="89"/>
        <v>2.5580208367665803E-3</v>
      </c>
    </row>
    <row r="1104" spans="1:20" hidden="1" x14ac:dyDescent="0.25">
      <c r="A1104" t="str">
        <f t="shared" si="86"/>
        <v>RIP</v>
      </c>
      <c r="B1104" t="s">
        <v>1110</v>
      </c>
      <c r="C1104">
        <v>1.181770432</v>
      </c>
      <c r="D1104">
        <v>9.5026794999999997E-2</v>
      </c>
      <c r="E1104">
        <v>0.71717228600000005</v>
      </c>
      <c r="F1104">
        <v>0.49388992999999998</v>
      </c>
      <c r="G1104">
        <v>0.83181238000000002</v>
      </c>
      <c r="H1104">
        <v>3.45</v>
      </c>
      <c r="I1104">
        <v>3.6151538112308201</v>
      </c>
      <c r="J1104">
        <v>3.33436539659498</v>
      </c>
      <c r="K1104">
        <v>3.6251182635530999</v>
      </c>
      <c r="L1104">
        <v>3.6378652763632702</v>
      </c>
      <c r="M1104">
        <v>3.4747596039128998</v>
      </c>
      <c r="N1104">
        <v>3.4719222012505599</v>
      </c>
      <c r="Q1104">
        <f t="shared" si="85"/>
        <v>3.45</v>
      </c>
      <c r="R1104">
        <f t="shared" si="87"/>
        <v>3.406754146840405</v>
      </c>
      <c r="S1104">
        <f t="shared" si="88"/>
        <v>4.3245853159595171E-2</v>
      </c>
      <c r="T1104">
        <f t="shared" si="89"/>
        <v>1.8702038155012676E-3</v>
      </c>
    </row>
    <row r="1105" spans="1:20" hidden="1" x14ac:dyDescent="0.25">
      <c r="A1105" t="str">
        <f t="shared" si="86"/>
        <v>RIP</v>
      </c>
      <c r="B1105" t="s">
        <v>1111</v>
      </c>
      <c r="C1105">
        <v>1.4045398529999999</v>
      </c>
      <c r="D1105">
        <v>9.4213666000000001E-2</v>
      </c>
      <c r="E1105">
        <v>0.72245098299999999</v>
      </c>
      <c r="F1105">
        <v>0.56418300600000004</v>
      </c>
      <c r="G1105">
        <v>0.83206087799999995</v>
      </c>
      <c r="H1105">
        <v>3.66</v>
      </c>
      <c r="I1105">
        <v>3.5055732281930001</v>
      </c>
      <c r="J1105">
        <v>3.34155298876877</v>
      </c>
      <c r="K1105">
        <v>3.42362317901553</v>
      </c>
      <c r="L1105">
        <v>3.28195402032298</v>
      </c>
      <c r="M1105">
        <v>3.4235631084808902</v>
      </c>
      <c r="N1105">
        <v>3.4225807073049599</v>
      </c>
      <c r="Q1105">
        <f t="shared" si="85"/>
        <v>3.66</v>
      </c>
      <c r="R1105">
        <f t="shared" si="87"/>
        <v>3.412603297915576</v>
      </c>
      <c r="S1105">
        <f t="shared" si="88"/>
        <v>0.2473967020844241</v>
      </c>
      <c r="T1105">
        <f t="shared" si="89"/>
        <v>6.1205128202249291E-2</v>
      </c>
    </row>
    <row r="1106" spans="1:20" hidden="1" x14ac:dyDescent="0.25">
      <c r="A1106" t="str">
        <f t="shared" si="86"/>
        <v>RIP</v>
      </c>
      <c r="B1106" t="s">
        <v>1112</v>
      </c>
      <c r="C1106">
        <v>1.174903837</v>
      </c>
      <c r="D1106">
        <v>9.2019889999999993E-2</v>
      </c>
      <c r="E1106">
        <v>0.72640211899999996</v>
      </c>
      <c r="F1106">
        <v>0.51690304099999995</v>
      </c>
      <c r="G1106">
        <v>0.83391517900000001</v>
      </c>
      <c r="H1106">
        <v>3.58</v>
      </c>
      <c r="I1106">
        <v>3.4760517121254702</v>
      </c>
      <c r="J1106">
        <v>3.3088479414023002</v>
      </c>
      <c r="K1106">
        <v>3.61092954044656</v>
      </c>
      <c r="L1106">
        <v>3.6121106624905401</v>
      </c>
      <c r="M1106">
        <v>3.3924498267638898</v>
      </c>
      <c r="N1106">
        <v>3.3914195481942802</v>
      </c>
      <c r="Q1106">
        <f t="shared" si="85"/>
        <v>3.58</v>
      </c>
      <c r="R1106">
        <f t="shared" si="87"/>
        <v>3.4069788084898889</v>
      </c>
      <c r="S1106">
        <f t="shared" si="88"/>
        <v>0.17302119151011119</v>
      </c>
      <c r="T1106">
        <f t="shared" si="89"/>
        <v>2.9936332711578573E-2</v>
      </c>
    </row>
    <row r="1107" spans="1:20" hidden="1" x14ac:dyDescent="0.25">
      <c r="A1107" t="str">
        <f t="shared" si="86"/>
        <v>RIP</v>
      </c>
      <c r="B1107" t="s">
        <v>1113</v>
      </c>
      <c r="C1107">
        <v>1.149641621</v>
      </c>
      <c r="D1107">
        <v>9.5785239999999994E-2</v>
      </c>
      <c r="E1107">
        <v>0.72960363800000005</v>
      </c>
      <c r="F1107">
        <v>0.541479512</v>
      </c>
      <c r="G1107">
        <v>0.84545960399999998</v>
      </c>
      <c r="H1107">
        <v>3.25</v>
      </c>
      <c r="I1107">
        <v>3.9900943841105398</v>
      </c>
      <c r="J1107">
        <v>3.5969798377232598</v>
      </c>
      <c r="K1107">
        <v>3.77026322489256</v>
      </c>
      <c r="L1107">
        <v>3.7625005440898698</v>
      </c>
      <c r="M1107">
        <v>3.7935371109168998</v>
      </c>
      <c r="N1107">
        <v>3.7884415067753698</v>
      </c>
      <c r="Q1107">
        <f t="shared" si="85"/>
        <v>3.25</v>
      </c>
      <c r="R1107">
        <f t="shared" si="87"/>
        <v>3.7032490863826002</v>
      </c>
      <c r="S1107">
        <f t="shared" si="88"/>
        <v>-0.4532490863826002</v>
      </c>
      <c r="T1107">
        <f t="shared" si="89"/>
        <v>0.20543473430666179</v>
      </c>
    </row>
    <row r="1108" spans="1:20" hidden="1" x14ac:dyDescent="0.25">
      <c r="A1108" t="str">
        <f t="shared" si="86"/>
        <v>RIP</v>
      </c>
      <c r="B1108" t="s">
        <v>1114</v>
      </c>
      <c r="C1108">
        <v>1.294883132</v>
      </c>
      <c r="D1108">
        <v>9.4603071999999996E-2</v>
      </c>
      <c r="E1108">
        <v>0.73215495200000003</v>
      </c>
      <c r="F1108">
        <v>0.53847432200000001</v>
      </c>
      <c r="G1108">
        <v>0.84725581400000005</v>
      </c>
      <c r="H1108">
        <v>3.84</v>
      </c>
      <c r="I1108">
        <v>3.72941348139496</v>
      </c>
      <c r="J1108">
        <v>3.3901503833299702</v>
      </c>
      <c r="K1108">
        <v>3.25531946371254</v>
      </c>
      <c r="L1108">
        <v>3.1779420248113199</v>
      </c>
      <c r="M1108">
        <v>3.5597819323624602</v>
      </c>
      <c r="N1108">
        <v>3.5557379745345501</v>
      </c>
      <c r="Q1108">
        <f t="shared" si="85"/>
        <v>3.84</v>
      </c>
      <c r="R1108">
        <f t="shared" si="87"/>
        <v>3.4680413292457386</v>
      </c>
      <c r="S1108">
        <f t="shared" si="88"/>
        <v>0.37195867075426126</v>
      </c>
      <c r="T1108">
        <f t="shared" si="89"/>
        <v>0.13835325274927693</v>
      </c>
    </row>
    <row r="1109" spans="1:20" hidden="1" x14ac:dyDescent="0.25">
      <c r="A1109" t="str">
        <f t="shared" si="86"/>
        <v>RIP</v>
      </c>
      <c r="B1109" t="s">
        <v>1115</v>
      </c>
      <c r="C1109">
        <v>1.403915625</v>
      </c>
      <c r="D1109">
        <v>9.4552362000000001E-2</v>
      </c>
      <c r="E1109">
        <v>0.728176928</v>
      </c>
      <c r="F1109">
        <v>0.51606122399999999</v>
      </c>
      <c r="G1109">
        <v>0.84345530599999996</v>
      </c>
      <c r="H1109">
        <v>3.44</v>
      </c>
      <c r="I1109">
        <v>3.49360453192189</v>
      </c>
      <c r="J1109">
        <v>3.1900144121524199</v>
      </c>
      <c r="K1109">
        <v>3.1925208679089199</v>
      </c>
      <c r="L1109">
        <v>3.0952001331297501</v>
      </c>
      <c r="M1109">
        <v>3.3418094720371601</v>
      </c>
      <c r="N1109">
        <v>3.3383601973411801</v>
      </c>
      <c r="Q1109">
        <f t="shared" si="85"/>
        <v>3.44</v>
      </c>
      <c r="R1109">
        <f t="shared" si="87"/>
        <v>3.2308029115301902</v>
      </c>
      <c r="S1109">
        <f t="shared" si="88"/>
        <v>0.20919708846980978</v>
      </c>
      <c r="T1109">
        <f t="shared" si="89"/>
        <v>4.3763421824245419E-2</v>
      </c>
    </row>
    <row r="1110" spans="1:20" hidden="1" x14ac:dyDescent="0.25">
      <c r="A1110" t="str">
        <f t="shared" si="86"/>
        <v>RIP</v>
      </c>
      <c r="B1110" t="s">
        <v>1116</v>
      </c>
      <c r="C1110">
        <v>1.2069061649999999</v>
      </c>
      <c r="D1110">
        <v>0.100445536</v>
      </c>
      <c r="E1110">
        <v>0.72547755599999997</v>
      </c>
      <c r="F1110">
        <v>0.55914800600000003</v>
      </c>
      <c r="G1110">
        <v>0.83693975399999998</v>
      </c>
      <c r="H1110">
        <v>3.46</v>
      </c>
      <c r="I1110">
        <v>4.2067455756324303</v>
      </c>
      <c r="J1110">
        <v>3.83594915082785</v>
      </c>
      <c r="K1110">
        <v>3.82467998098284</v>
      </c>
      <c r="L1110">
        <v>3.7498917780675298</v>
      </c>
      <c r="M1110">
        <v>4.0213473632301397</v>
      </c>
      <c r="N1110">
        <v>4.0170713360103596</v>
      </c>
      <c r="Q1110">
        <f t="shared" si="85"/>
        <v>3.46</v>
      </c>
      <c r="R1110">
        <f t="shared" si="87"/>
        <v>3.9180125475934586</v>
      </c>
      <c r="S1110">
        <f t="shared" si="88"/>
        <v>-0.45801254759345866</v>
      </c>
      <c r="T1110">
        <f t="shared" si="89"/>
        <v>0.20977549375305024</v>
      </c>
    </row>
    <row r="1111" spans="1:20" hidden="1" x14ac:dyDescent="0.25">
      <c r="A1111" t="str">
        <f t="shared" si="86"/>
        <v>RIP</v>
      </c>
      <c r="B1111" t="s">
        <v>1117</v>
      </c>
      <c r="C1111">
        <v>1.425303864</v>
      </c>
      <c r="D1111">
        <v>9.6585767000000003E-2</v>
      </c>
      <c r="E1111">
        <v>0.72920686199999996</v>
      </c>
      <c r="F1111">
        <v>0.55282624000000002</v>
      </c>
      <c r="G1111">
        <v>0.84136770999999999</v>
      </c>
      <c r="H1111">
        <v>3.7</v>
      </c>
      <c r="I1111">
        <v>3.6772433422034001</v>
      </c>
      <c r="J1111">
        <v>3.4005916782171601</v>
      </c>
      <c r="K1111">
        <v>3.3368572682839899</v>
      </c>
      <c r="L1111">
        <v>3.2001512425611001</v>
      </c>
      <c r="M1111">
        <v>3.5389175102102799</v>
      </c>
      <c r="N1111">
        <v>3.5362131027804802</v>
      </c>
      <c r="Q1111">
        <f t="shared" si="85"/>
        <v>3.7</v>
      </c>
      <c r="R1111">
        <f t="shared" si="87"/>
        <v>3.4516240705670675</v>
      </c>
      <c r="S1111">
        <f t="shared" si="88"/>
        <v>0.24837592943293263</v>
      </c>
      <c r="T1111">
        <f t="shared" si="89"/>
        <v>6.169060232167313E-2</v>
      </c>
    </row>
    <row r="1112" spans="1:20" hidden="1" x14ac:dyDescent="0.25">
      <c r="A1112" t="str">
        <f t="shared" si="86"/>
        <v>RIP</v>
      </c>
      <c r="B1112" t="s">
        <v>1118</v>
      </c>
      <c r="C1112">
        <v>1.180350453</v>
      </c>
      <c r="D1112">
        <v>9.3253907999999996E-2</v>
      </c>
      <c r="E1112">
        <v>0.75373388299999999</v>
      </c>
      <c r="F1112">
        <v>0.51867658000000005</v>
      </c>
      <c r="G1112">
        <v>0.85733499999999996</v>
      </c>
      <c r="H1112">
        <v>4.18</v>
      </c>
      <c r="I1112">
        <v>3.6258417132097001</v>
      </c>
      <c r="J1112">
        <v>3.4065955682393199</v>
      </c>
      <c r="K1112">
        <v>3.7312079788490902</v>
      </c>
      <c r="L1112">
        <v>3.6943861742161599</v>
      </c>
      <c r="M1112">
        <v>3.5162186407245102</v>
      </c>
      <c r="N1112">
        <v>3.5145093983879798</v>
      </c>
      <c r="Q1112">
        <f t="shared" si="85"/>
        <v>4.18</v>
      </c>
      <c r="R1112">
        <f t="shared" si="87"/>
        <v>3.5024392545700946</v>
      </c>
      <c r="S1112">
        <f t="shared" si="88"/>
        <v>0.67756074542990508</v>
      </c>
      <c r="T1112">
        <f t="shared" si="89"/>
        <v>0.45908856374752866</v>
      </c>
    </row>
    <row r="1113" spans="1:20" hidden="1" x14ac:dyDescent="0.25">
      <c r="A1113" t="str">
        <f t="shared" si="86"/>
        <v>RIP</v>
      </c>
      <c r="B1113" t="s">
        <v>1119</v>
      </c>
      <c r="C1113">
        <v>1.103105545</v>
      </c>
      <c r="D1113">
        <v>9.1257368000000005E-2</v>
      </c>
      <c r="E1113">
        <v>0.74449124300000002</v>
      </c>
      <c r="F1113">
        <v>0.53891435200000004</v>
      </c>
      <c r="G1113">
        <v>0.84826560600000001</v>
      </c>
      <c r="H1113">
        <v>3.83</v>
      </c>
      <c r="I1113">
        <v>3.6220897875909199</v>
      </c>
      <c r="J1113">
        <v>3.4582923741856799</v>
      </c>
      <c r="K1113">
        <v>3.8554017372815998</v>
      </c>
      <c r="L1113">
        <v>3.8285351547736202</v>
      </c>
      <c r="M1113">
        <v>3.5401910808883001</v>
      </c>
      <c r="N1113">
        <v>3.5392436326200398</v>
      </c>
      <c r="Q1113">
        <f t="shared" si="85"/>
        <v>3.83</v>
      </c>
      <c r="R1113">
        <f t="shared" si="87"/>
        <v>3.5882879182654008</v>
      </c>
      <c r="S1113">
        <f t="shared" si="88"/>
        <v>0.24171208173459924</v>
      </c>
      <c r="T1113">
        <f t="shared" si="89"/>
        <v>5.8424730456473582E-2</v>
      </c>
    </row>
    <row r="1114" spans="1:20" hidden="1" x14ac:dyDescent="0.25">
      <c r="A1114" t="str">
        <f t="shared" si="86"/>
        <v>RIP</v>
      </c>
      <c r="B1114" t="s">
        <v>1120</v>
      </c>
      <c r="C1114">
        <v>1.1257592199999999</v>
      </c>
      <c r="D1114">
        <v>9.5327074999999997E-2</v>
      </c>
      <c r="E1114">
        <v>0.74666419100000003</v>
      </c>
      <c r="F1114">
        <v>0.52154001400000005</v>
      </c>
      <c r="G1114">
        <v>0.84766973499999998</v>
      </c>
      <c r="H1114">
        <v>3.85</v>
      </c>
      <c r="I1114">
        <v>3.7323514088566401</v>
      </c>
      <c r="J1114">
        <v>3.5542220263822202</v>
      </c>
      <c r="K1114">
        <v>3.83916325696956</v>
      </c>
      <c r="L1114">
        <v>3.82977522410562</v>
      </c>
      <c r="M1114">
        <v>3.6432867176194299</v>
      </c>
      <c r="N1114">
        <v>3.6421979061491099</v>
      </c>
      <c r="Q1114">
        <f t="shared" si="85"/>
        <v>3.85</v>
      </c>
      <c r="R1114">
        <f t="shared" si="87"/>
        <v>3.6560360763071253</v>
      </c>
      <c r="S1114">
        <f t="shared" si="88"/>
        <v>0.19396392369287474</v>
      </c>
      <c r="T1114">
        <f t="shared" si="89"/>
        <v>3.7622003694335333E-2</v>
      </c>
    </row>
    <row r="1115" spans="1:20" hidden="1" x14ac:dyDescent="0.25">
      <c r="A1115" t="str">
        <f t="shared" si="86"/>
        <v>RIP</v>
      </c>
      <c r="B1115" t="s">
        <v>1121</v>
      </c>
      <c r="C1115">
        <v>1.156230162</v>
      </c>
      <c r="D1115">
        <v>9.1742973000000005E-2</v>
      </c>
      <c r="E1115">
        <v>0.75117184800000003</v>
      </c>
      <c r="F1115">
        <v>0.53716169499999999</v>
      </c>
      <c r="G1115">
        <v>0.85082716199999997</v>
      </c>
      <c r="H1115">
        <v>3.59</v>
      </c>
      <c r="I1115">
        <v>3.55340720956444</v>
      </c>
      <c r="J1115">
        <v>3.4295295981713898</v>
      </c>
      <c r="K1115">
        <v>3.9144310303454999</v>
      </c>
      <c r="L1115">
        <v>3.8449398205521899</v>
      </c>
      <c r="M1115">
        <v>3.4914684038679198</v>
      </c>
      <c r="N1115">
        <v>3.4909189620437902</v>
      </c>
      <c r="Q1115">
        <f t="shared" si="85"/>
        <v>3.59</v>
      </c>
      <c r="R1115">
        <f t="shared" si="87"/>
        <v>3.5461417844785705</v>
      </c>
      <c r="S1115">
        <f t="shared" si="88"/>
        <v>4.3858215521429322E-2</v>
      </c>
      <c r="T1115">
        <f t="shared" si="89"/>
        <v>1.923543068724144E-3</v>
      </c>
    </row>
    <row r="1116" spans="1:20" hidden="1" x14ac:dyDescent="0.25">
      <c r="A1116" t="str">
        <f t="shared" si="86"/>
        <v>RIP</v>
      </c>
      <c r="B1116" t="s">
        <v>1122</v>
      </c>
      <c r="C1116">
        <v>1.065266461</v>
      </c>
      <c r="D1116">
        <v>9.2609117000000005E-2</v>
      </c>
      <c r="E1116">
        <v>0.75325349200000002</v>
      </c>
      <c r="F1116">
        <v>0.525193405</v>
      </c>
      <c r="G1116">
        <v>0.851963409</v>
      </c>
      <c r="H1116">
        <v>3.39</v>
      </c>
      <c r="I1116">
        <v>3.6600347370537398</v>
      </c>
      <c r="J1116">
        <v>3.5167490981223399</v>
      </c>
      <c r="K1116">
        <v>3.8554084593801901</v>
      </c>
      <c r="L1116">
        <v>3.86009311922321</v>
      </c>
      <c r="M1116">
        <v>3.5883919175880399</v>
      </c>
      <c r="N1116">
        <v>3.5876766661211499</v>
      </c>
      <c r="Q1116">
        <f t="shared" si="85"/>
        <v>3.39</v>
      </c>
      <c r="R1116">
        <f t="shared" si="87"/>
        <v>3.6431227620118971</v>
      </c>
      <c r="S1116">
        <f t="shared" si="88"/>
        <v>-0.25312276201189698</v>
      </c>
      <c r="T1116">
        <f t="shared" si="89"/>
        <v>6.407113264853144E-2</v>
      </c>
    </row>
    <row r="1117" spans="1:20" hidden="1" x14ac:dyDescent="0.25">
      <c r="A1117" t="str">
        <f t="shared" si="86"/>
        <v>RIP</v>
      </c>
      <c r="B1117" t="s">
        <v>1123</v>
      </c>
      <c r="C1117">
        <v>1.192739835</v>
      </c>
      <c r="D1117">
        <v>9.0806423999999997E-2</v>
      </c>
      <c r="E1117">
        <v>0.76060931099999995</v>
      </c>
      <c r="F1117">
        <v>0.53803131299999996</v>
      </c>
      <c r="G1117">
        <v>0.85961647399999996</v>
      </c>
      <c r="H1117">
        <v>3.83</v>
      </c>
      <c r="I1117">
        <v>3.4998058677692701</v>
      </c>
      <c r="J1117">
        <v>3.3721075331627501</v>
      </c>
      <c r="K1117">
        <v>3.90874708111531</v>
      </c>
      <c r="L1117">
        <v>3.7985838427326</v>
      </c>
      <c r="M1117">
        <v>3.4359567004660101</v>
      </c>
      <c r="N1117">
        <v>3.4353634060040799</v>
      </c>
      <c r="Q1117">
        <f t="shared" si="85"/>
        <v>3.83</v>
      </c>
      <c r="R1117">
        <f t="shared" si="87"/>
        <v>3.4843818143359746</v>
      </c>
      <c r="S1117">
        <f t="shared" si="88"/>
        <v>0.34561818566402547</v>
      </c>
      <c r="T1117">
        <f t="shared" si="89"/>
        <v>0.11945193026169278</v>
      </c>
    </row>
    <row r="1118" spans="1:20" hidden="1" x14ac:dyDescent="0.25">
      <c r="A1118" t="str">
        <f t="shared" si="86"/>
        <v>RIP</v>
      </c>
      <c r="B1118" t="s">
        <v>1124</v>
      </c>
      <c r="C1118">
        <v>1.092837909</v>
      </c>
      <c r="D1118">
        <v>9.3961111E-2</v>
      </c>
      <c r="E1118">
        <v>0.75151467299999997</v>
      </c>
      <c r="F1118">
        <v>0.53871152300000003</v>
      </c>
      <c r="G1118">
        <v>0.85442676299999998</v>
      </c>
      <c r="H1118">
        <v>3.76</v>
      </c>
      <c r="I1118">
        <v>3.8105648424396401</v>
      </c>
      <c r="J1118">
        <v>3.5955362614705302</v>
      </c>
      <c r="K1118">
        <v>4.1118167437418203</v>
      </c>
      <c r="L1118">
        <v>4.0810108201358304</v>
      </c>
      <c r="M1118">
        <v>3.70305055195508</v>
      </c>
      <c r="N1118">
        <v>3.7014894390875202</v>
      </c>
      <c r="Q1118">
        <f t="shared" si="85"/>
        <v>3.76</v>
      </c>
      <c r="R1118">
        <f t="shared" si="87"/>
        <v>3.7199981908654358</v>
      </c>
      <c r="S1118">
        <f t="shared" si="88"/>
        <v>4.000180913456397E-2</v>
      </c>
      <c r="T1118">
        <f t="shared" si="89"/>
        <v>1.6001447340380855E-3</v>
      </c>
    </row>
    <row r="1119" spans="1:20" hidden="1" x14ac:dyDescent="0.25">
      <c r="A1119" t="str">
        <f t="shared" si="86"/>
        <v>RIP</v>
      </c>
      <c r="B1119" t="s">
        <v>1125</v>
      </c>
      <c r="C1119">
        <v>1.041300396</v>
      </c>
      <c r="D1119">
        <v>9.4945877999999997E-2</v>
      </c>
      <c r="E1119">
        <v>0.74748317600000003</v>
      </c>
      <c r="F1119">
        <v>0.46269693499999998</v>
      </c>
      <c r="G1119">
        <v>0.85125549899999997</v>
      </c>
      <c r="H1119">
        <v>3.52</v>
      </c>
      <c r="I1119">
        <v>3.6597415069712902</v>
      </c>
      <c r="J1119">
        <v>3.4061932624012901</v>
      </c>
      <c r="K1119">
        <v>3.67824837352173</v>
      </c>
      <c r="L1119">
        <v>3.7627980631351798</v>
      </c>
      <c r="M1119">
        <v>3.5329673846862901</v>
      </c>
      <c r="N1119">
        <v>3.53069212239979</v>
      </c>
      <c r="Q1119">
        <f t="shared" si="85"/>
        <v>3.52</v>
      </c>
      <c r="R1119">
        <f t="shared" si="87"/>
        <v>3.4913995746973114</v>
      </c>
      <c r="S1119">
        <f t="shared" si="88"/>
        <v>2.8600425302688581E-2</v>
      </c>
      <c r="T1119">
        <f t="shared" si="89"/>
        <v>8.1798432749466919E-4</v>
      </c>
    </row>
    <row r="1120" spans="1:20" hidden="1" x14ac:dyDescent="0.25">
      <c r="A1120" t="str">
        <f t="shared" si="86"/>
        <v>RIP</v>
      </c>
      <c r="B1120" t="s">
        <v>1126</v>
      </c>
      <c r="C1120">
        <v>1.098079169</v>
      </c>
      <c r="D1120">
        <v>9.1907573000000006E-2</v>
      </c>
      <c r="E1120">
        <v>0.747686552</v>
      </c>
      <c r="F1120">
        <v>0.52651413999999996</v>
      </c>
      <c r="G1120">
        <v>0.84590855600000003</v>
      </c>
      <c r="H1120">
        <v>4.32</v>
      </c>
      <c r="I1120">
        <v>3.5617526317940502</v>
      </c>
      <c r="J1120">
        <v>3.4499929090207999</v>
      </c>
      <c r="K1120">
        <v>4.0190483287502898</v>
      </c>
      <c r="L1120">
        <v>3.99268441343545</v>
      </c>
      <c r="M1120">
        <v>3.5058727704074202</v>
      </c>
      <c r="N1120">
        <v>3.5054274095145099</v>
      </c>
      <c r="Q1120">
        <f t="shared" si="85"/>
        <v>4.32</v>
      </c>
      <c r="R1120">
        <f t="shared" si="87"/>
        <v>3.5718706973745453</v>
      </c>
      <c r="S1120">
        <f t="shared" si="88"/>
        <v>0.74812930262545496</v>
      </c>
      <c r="T1120">
        <f t="shared" si="89"/>
        <v>0.55969745344684962</v>
      </c>
    </row>
    <row r="1121" spans="1:20" hidden="1" x14ac:dyDescent="0.25">
      <c r="A1121" t="str">
        <f t="shared" si="86"/>
        <v>RIP</v>
      </c>
      <c r="B1121" t="s">
        <v>1127</v>
      </c>
      <c r="C1121">
        <v>1.0663082079999999</v>
      </c>
      <c r="D1121">
        <v>8.9884628999999994E-2</v>
      </c>
      <c r="E1121">
        <v>0.74163045500000002</v>
      </c>
      <c r="F1121">
        <v>0.553331923</v>
      </c>
      <c r="G1121">
        <v>0.84245051100000001</v>
      </c>
      <c r="H1121">
        <v>4.1900000000000004</v>
      </c>
      <c r="I1121">
        <v>3.6057530368976298</v>
      </c>
      <c r="J1121">
        <v>3.4878631091372201</v>
      </c>
      <c r="K1121">
        <v>4.09061081186886</v>
      </c>
      <c r="L1121">
        <v>4.0547965897265001</v>
      </c>
      <c r="M1121">
        <v>3.5468080730174201</v>
      </c>
      <c r="N1121">
        <v>3.5463182313569499</v>
      </c>
      <c r="Q1121">
        <f t="shared" si="85"/>
        <v>4.1900000000000004</v>
      </c>
      <c r="R1121">
        <f t="shared" si="87"/>
        <v>3.6378074943487442</v>
      </c>
      <c r="S1121">
        <f t="shared" si="88"/>
        <v>0.55219250565125622</v>
      </c>
      <c r="T1121">
        <f t="shared" si="89"/>
        <v>0.30491656329741262</v>
      </c>
    </row>
    <row r="1122" spans="1:20" hidden="1" x14ac:dyDescent="0.25">
      <c r="A1122" t="str">
        <f t="shared" si="86"/>
        <v>RIP</v>
      </c>
      <c r="B1122" t="s">
        <v>1128</v>
      </c>
      <c r="C1122">
        <v>1.040718198</v>
      </c>
      <c r="D1122">
        <v>9.3554478999999996E-2</v>
      </c>
      <c r="E1122">
        <v>0.74540729900000002</v>
      </c>
      <c r="F1122">
        <v>0.52467276299999999</v>
      </c>
      <c r="G1122">
        <v>0.84835386199999996</v>
      </c>
      <c r="H1122">
        <v>2.77</v>
      </c>
      <c r="I1122">
        <v>3.7640388941631602</v>
      </c>
      <c r="J1122">
        <v>3.56810025990008</v>
      </c>
      <c r="K1122">
        <v>4.0298992011938504</v>
      </c>
      <c r="L1122">
        <v>4.06236227004824</v>
      </c>
      <c r="M1122">
        <v>3.6660695770316201</v>
      </c>
      <c r="N1122">
        <v>3.6647603136545701</v>
      </c>
      <c r="Q1122">
        <f t="shared" si="85"/>
        <v>2.77</v>
      </c>
      <c r="R1122">
        <f t="shared" si="87"/>
        <v>3.6960893782111217</v>
      </c>
      <c r="S1122">
        <f t="shared" si="88"/>
        <v>-0.92608937821112169</v>
      </c>
      <c r="T1122">
        <f t="shared" si="89"/>
        <v>0.85764153643546204</v>
      </c>
    </row>
    <row r="1123" spans="1:20" hidden="1" x14ac:dyDescent="0.25">
      <c r="A1123" t="str">
        <f t="shared" si="86"/>
        <v>RIP</v>
      </c>
      <c r="B1123" t="s">
        <v>1129</v>
      </c>
      <c r="C1123">
        <v>1.0083619210000001</v>
      </c>
      <c r="D1123">
        <v>9.6029600000000007E-2</v>
      </c>
      <c r="E1123">
        <v>0.74699968400000005</v>
      </c>
      <c r="F1123">
        <v>0.53120781500000003</v>
      </c>
      <c r="G1123">
        <v>0.848048154</v>
      </c>
      <c r="H1123">
        <v>2.99</v>
      </c>
      <c r="I1123">
        <v>3.9505400198181602</v>
      </c>
      <c r="J1123">
        <v>3.7409110876097098</v>
      </c>
      <c r="K1123">
        <v>4.0646128278908096</v>
      </c>
      <c r="L1123">
        <v>4.0849814202922898</v>
      </c>
      <c r="M1123">
        <v>3.8457255537139301</v>
      </c>
      <c r="N1123">
        <v>3.8442969399076898</v>
      </c>
      <c r="Q1123">
        <f t="shared" si="85"/>
        <v>2.99</v>
      </c>
      <c r="R1123">
        <f t="shared" si="87"/>
        <v>3.8710662561911668</v>
      </c>
      <c r="S1123">
        <f t="shared" si="88"/>
        <v>-0.88106625619116663</v>
      </c>
      <c r="T1123">
        <f t="shared" si="89"/>
        <v>0.7762777477987185</v>
      </c>
    </row>
    <row r="1124" spans="1:20" hidden="1" x14ac:dyDescent="0.25">
      <c r="A1124" t="str">
        <f t="shared" si="86"/>
        <v>RIP</v>
      </c>
      <c r="B1124" t="s">
        <v>1130</v>
      </c>
      <c r="C1124">
        <v>1.033418628</v>
      </c>
      <c r="D1124">
        <v>9.3757828000000001E-2</v>
      </c>
      <c r="E1124">
        <v>0.748053627</v>
      </c>
      <c r="F1124">
        <v>0.52160151200000004</v>
      </c>
      <c r="G1124">
        <v>0.85018306399999999</v>
      </c>
      <c r="H1124">
        <v>3.78</v>
      </c>
      <c r="I1124">
        <v>3.7746652810049102</v>
      </c>
      <c r="J1124">
        <v>3.5774230090199102</v>
      </c>
      <c r="K1124">
        <v>3.9910421127732501</v>
      </c>
      <c r="L1124">
        <v>4.0101427591022398</v>
      </c>
      <c r="M1124">
        <v>3.6760441450124102</v>
      </c>
      <c r="N1124">
        <v>3.67472099996932</v>
      </c>
      <c r="Q1124">
        <f t="shared" si="85"/>
        <v>3.78</v>
      </c>
      <c r="R1124">
        <f t="shared" si="87"/>
        <v>3.7045723033899902</v>
      </c>
      <c r="S1124">
        <f t="shared" si="88"/>
        <v>7.5427696610009587E-2</v>
      </c>
      <c r="T1124">
        <f t="shared" si="89"/>
        <v>5.6893374158916519E-3</v>
      </c>
    </row>
    <row r="1125" spans="1:20" hidden="1" x14ac:dyDescent="0.25">
      <c r="A1125" t="str">
        <f t="shared" si="86"/>
        <v>RIP</v>
      </c>
      <c r="B1125" t="s">
        <v>1131</v>
      </c>
      <c r="C1125">
        <v>1.169583949</v>
      </c>
      <c r="D1125">
        <v>8.9710215999999995E-2</v>
      </c>
      <c r="E1125">
        <v>0.74934117099999997</v>
      </c>
      <c r="F1125">
        <v>0.56045113599999996</v>
      </c>
      <c r="G1125">
        <v>0.85154358100000005</v>
      </c>
      <c r="H1125">
        <v>3.84</v>
      </c>
      <c r="I1125">
        <v>3.53976199350305</v>
      </c>
      <c r="J1125">
        <v>3.41573342685773</v>
      </c>
      <c r="K1125">
        <v>3.77891601507207</v>
      </c>
      <c r="L1125">
        <v>3.7068936975262199</v>
      </c>
      <c r="M1125">
        <v>3.47774771018039</v>
      </c>
      <c r="N1125">
        <v>3.4771947550186102</v>
      </c>
      <c r="Q1125">
        <f t="shared" si="85"/>
        <v>3.84</v>
      </c>
      <c r="R1125">
        <f t="shared" si="87"/>
        <v>3.5487586628413177</v>
      </c>
      <c r="S1125">
        <f t="shared" si="88"/>
        <v>0.29124133715868217</v>
      </c>
      <c r="T1125">
        <f t="shared" si="89"/>
        <v>8.4821516469977182E-2</v>
      </c>
    </row>
    <row r="1126" spans="1:20" hidden="1" x14ac:dyDescent="0.25">
      <c r="A1126" t="str">
        <f t="shared" si="86"/>
        <v>RIP</v>
      </c>
      <c r="B1126" t="s">
        <v>1132</v>
      </c>
      <c r="C1126">
        <v>1.0460710529999999</v>
      </c>
      <c r="D1126">
        <v>9.0685633000000002E-2</v>
      </c>
      <c r="E1126">
        <v>0.74929827999999998</v>
      </c>
      <c r="F1126">
        <v>0.48395057400000002</v>
      </c>
      <c r="G1126">
        <v>0.84899238700000002</v>
      </c>
      <c r="H1126">
        <v>4.0999999999999996</v>
      </c>
      <c r="I1126">
        <v>3.43718166758309</v>
      </c>
      <c r="J1126">
        <v>3.29751105363699</v>
      </c>
      <c r="K1126">
        <v>3.7370936998591802</v>
      </c>
      <c r="L1126">
        <v>3.79183845703984</v>
      </c>
      <c r="M1126">
        <v>3.36734636061004</v>
      </c>
      <c r="N1126">
        <v>3.3666221264367699</v>
      </c>
      <c r="Q1126">
        <f t="shared" si="85"/>
        <v>4.0999999999999996</v>
      </c>
      <c r="R1126">
        <f t="shared" si="87"/>
        <v>3.4076743775645033</v>
      </c>
      <c r="S1126">
        <f t="shared" si="88"/>
        <v>0.69232562243549634</v>
      </c>
      <c r="T1126">
        <f t="shared" si="89"/>
        <v>0.4793147674806974</v>
      </c>
    </row>
    <row r="1127" spans="1:20" hidden="1" x14ac:dyDescent="0.25">
      <c r="A1127" t="str">
        <f t="shared" si="86"/>
        <v>RIP</v>
      </c>
      <c r="B1127" t="s">
        <v>1133</v>
      </c>
      <c r="C1127">
        <v>1.1552975329999999</v>
      </c>
      <c r="D1127">
        <v>9.7602936000000001E-2</v>
      </c>
      <c r="E1127">
        <v>0.74492251700000001</v>
      </c>
      <c r="F1127">
        <v>0.47657402300000001</v>
      </c>
      <c r="G1127">
        <v>0.84099275200000001</v>
      </c>
      <c r="H1127">
        <v>3.26</v>
      </c>
      <c r="I1127">
        <v>3.57755245961769</v>
      </c>
      <c r="J1127">
        <v>3.4671216385762298</v>
      </c>
      <c r="K1127">
        <v>3.68626563507978</v>
      </c>
      <c r="L1127">
        <v>3.6965815163385898</v>
      </c>
      <c r="M1127">
        <v>3.5223370490969601</v>
      </c>
      <c r="N1127">
        <v>3.5219042499594102</v>
      </c>
      <c r="Q1127">
        <f t="shared" si="85"/>
        <v>3.26</v>
      </c>
      <c r="R1127">
        <f t="shared" si="87"/>
        <v>3.5254949768864479</v>
      </c>
      <c r="S1127">
        <f t="shared" si="88"/>
        <v>-0.26549497688644808</v>
      </c>
      <c r="T1127">
        <f t="shared" si="89"/>
        <v>7.0487582751935604E-2</v>
      </c>
    </row>
    <row r="1128" spans="1:20" hidden="1" x14ac:dyDescent="0.25">
      <c r="A1128" t="str">
        <f t="shared" si="86"/>
        <v>RIP</v>
      </c>
      <c r="B1128" t="s">
        <v>1134</v>
      </c>
      <c r="C1128">
        <v>1.0964185239999999</v>
      </c>
      <c r="D1128">
        <v>9.8365521999999997E-2</v>
      </c>
      <c r="E1128">
        <v>0.74789461300000004</v>
      </c>
      <c r="F1128">
        <v>0.43236443800000002</v>
      </c>
      <c r="G1128">
        <v>0.84072281100000001</v>
      </c>
      <c r="H1128">
        <v>2.5299999999999998</v>
      </c>
      <c r="I1128">
        <v>3.4928513405856201</v>
      </c>
      <c r="J1128">
        <v>3.40763717201866</v>
      </c>
      <c r="K1128">
        <v>3.4853077461779698</v>
      </c>
      <c r="L1128">
        <v>3.5632639689049999</v>
      </c>
      <c r="M1128">
        <v>3.45024425630214</v>
      </c>
      <c r="N1128">
        <v>3.4499811687188702</v>
      </c>
      <c r="Q1128">
        <f t="shared" si="85"/>
        <v>2.5299999999999998</v>
      </c>
      <c r="R1128">
        <f t="shared" si="87"/>
        <v>3.4480183249620202</v>
      </c>
      <c r="S1128">
        <f t="shared" si="88"/>
        <v>-0.9180183249620204</v>
      </c>
      <c r="T1128">
        <f t="shared" si="89"/>
        <v>0.84275764496607375</v>
      </c>
    </row>
    <row r="1129" spans="1:20" hidden="1" x14ac:dyDescent="0.25">
      <c r="A1129" t="str">
        <f t="shared" si="86"/>
        <v>RIP</v>
      </c>
      <c r="B1129" t="s">
        <v>1135</v>
      </c>
      <c r="C1129">
        <v>1.122457147</v>
      </c>
      <c r="D1129">
        <v>0.100111251</v>
      </c>
      <c r="E1129">
        <v>0.74901715400000002</v>
      </c>
      <c r="F1129">
        <v>0.48901346699999998</v>
      </c>
      <c r="G1129">
        <v>0.84165053099999998</v>
      </c>
      <c r="H1129">
        <v>3.69</v>
      </c>
      <c r="I1129">
        <v>3.7766475792112901</v>
      </c>
      <c r="J1129">
        <v>3.6849936254504798</v>
      </c>
      <c r="K1129">
        <v>3.9297233525161102</v>
      </c>
      <c r="L1129">
        <v>3.9323393005717899</v>
      </c>
      <c r="M1129">
        <v>3.7308206023308799</v>
      </c>
      <c r="N1129">
        <v>3.7305391373052998</v>
      </c>
      <c r="Q1129">
        <f t="shared" si="85"/>
        <v>3.69</v>
      </c>
      <c r="R1129">
        <f t="shared" si="87"/>
        <v>3.7453624384779332</v>
      </c>
      <c r="S1129">
        <f t="shared" si="88"/>
        <v>-5.5362438477933207E-2</v>
      </c>
      <c r="T1129">
        <f t="shared" si="89"/>
        <v>3.0649995942229392E-3</v>
      </c>
    </row>
    <row r="1130" spans="1:20" hidden="1" x14ac:dyDescent="0.25">
      <c r="A1130" t="str">
        <f t="shared" si="86"/>
        <v>RIP</v>
      </c>
      <c r="B1130" t="s">
        <v>1136</v>
      </c>
      <c r="C1130">
        <v>1.153085425</v>
      </c>
      <c r="D1130">
        <v>9.5032491999999996E-2</v>
      </c>
      <c r="E1130">
        <v>0.74624097199999995</v>
      </c>
      <c r="F1130">
        <v>0.49073124000000001</v>
      </c>
      <c r="G1130">
        <v>0.84118815000000002</v>
      </c>
      <c r="H1130">
        <v>4.1399999999999997</v>
      </c>
      <c r="I1130">
        <v>3.4804248145166201</v>
      </c>
      <c r="J1130">
        <v>3.3993408727474002</v>
      </c>
      <c r="K1130">
        <v>3.8539947676745099</v>
      </c>
      <c r="L1130">
        <v>3.8370506161813598</v>
      </c>
      <c r="M1130">
        <v>3.4398828436320099</v>
      </c>
      <c r="N1130">
        <v>3.4396439243780201</v>
      </c>
      <c r="Q1130">
        <f t="shared" si="85"/>
        <v>4.1399999999999997</v>
      </c>
      <c r="R1130">
        <f t="shared" si="87"/>
        <v>3.4774697628576314</v>
      </c>
      <c r="S1130">
        <f t="shared" si="88"/>
        <v>0.66253023714236825</v>
      </c>
      <c r="T1130">
        <f t="shared" si="89"/>
        <v>0.4389463151279227</v>
      </c>
    </row>
    <row r="1131" spans="1:20" hidden="1" x14ac:dyDescent="0.25">
      <c r="A1131" t="str">
        <f t="shared" si="86"/>
        <v>RIP</v>
      </c>
      <c r="B1131" t="s">
        <v>1137</v>
      </c>
      <c r="C1131">
        <v>1.0961997990000001</v>
      </c>
      <c r="D1131">
        <v>9.6874046000000005E-2</v>
      </c>
      <c r="E1131">
        <v>0.75124124599999997</v>
      </c>
      <c r="F1131">
        <v>0.47170946899999999</v>
      </c>
      <c r="G1131">
        <v>0.84643455400000001</v>
      </c>
      <c r="H1131">
        <v>3.54</v>
      </c>
      <c r="I1131">
        <v>3.6082427789363298</v>
      </c>
      <c r="J1131">
        <v>3.4826176505364801</v>
      </c>
      <c r="K1131">
        <v>3.5719262816745698</v>
      </c>
      <c r="L1131">
        <v>3.6302014883848699</v>
      </c>
      <c r="M1131">
        <v>3.5454302147363999</v>
      </c>
      <c r="N1131">
        <v>3.54487376211685</v>
      </c>
      <c r="Q1131">
        <f t="shared" si="85"/>
        <v>3.54</v>
      </c>
      <c r="R1131">
        <f t="shared" si="87"/>
        <v>3.5542207265954389</v>
      </c>
      <c r="S1131">
        <f t="shared" si="88"/>
        <v>-1.4220726595438826E-2</v>
      </c>
      <c r="T1131">
        <f t="shared" si="89"/>
        <v>2.0222906490222116E-4</v>
      </c>
    </row>
    <row r="1132" spans="1:20" hidden="1" x14ac:dyDescent="0.25">
      <c r="A1132" t="str">
        <f t="shared" si="86"/>
        <v>RIP</v>
      </c>
      <c r="B1132" t="s">
        <v>1138</v>
      </c>
      <c r="C1132">
        <v>1.274840865</v>
      </c>
      <c r="D1132">
        <v>8.9753730000000004E-2</v>
      </c>
      <c r="E1132">
        <v>0.719549836</v>
      </c>
      <c r="F1132">
        <v>0.54054671099999996</v>
      </c>
      <c r="G1132">
        <v>0.82284869999999999</v>
      </c>
      <c r="H1132">
        <v>1.97</v>
      </c>
      <c r="I1132">
        <v>3.2837272933517898</v>
      </c>
      <c r="J1132">
        <v>3.1930033728622398</v>
      </c>
      <c r="K1132">
        <v>3.54868278678597</v>
      </c>
      <c r="L1132">
        <v>3.5181004687936501</v>
      </c>
      <c r="M1132">
        <v>3.2383653331070099</v>
      </c>
      <c r="N1132">
        <v>3.23804760978464</v>
      </c>
      <c r="Q1132">
        <f t="shared" si="85"/>
        <v>1.97</v>
      </c>
      <c r="R1132">
        <f t="shared" si="87"/>
        <v>3.2896929443419554</v>
      </c>
      <c r="S1132">
        <f t="shared" si="88"/>
        <v>-1.3196929443419554</v>
      </c>
      <c r="T1132">
        <f t="shared" si="89"/>
        <v>1.7415894673459393</v>
      </c>
    </row>
    <row r="1133" spans="1:20" hidden="1" x14ac:dyDescent="0.25">
      <c r="A1133" t="str">
        <f t="shared" si="86"/>
        <v>RIP</v>
      </c>
      <c r="B1133" t="s">
        <v>1139</v>
      </c>
      <c r="C1133">
        <v>1.2083901699999999</v>
      </c>
      <c r="D1133">
        <v>9.1351396000000001E-2</v>
      </c>
      <c r="E1133">
        <v>0.721454594</v>
      </c>
      <c r="F1133">
        <v>0.50107010200000002</v>
      </c>
      <c r="G1133">
        <v>0.82169540100000005</v>
      </c>
      <c r="H1133">
        <v>3.11</v>
      </c>
      <c r="I1133">
        <v>3.26355790933497</v>
      </c>
      <c r="J1133">
        <v>3.1816317985912499</v>
      </c>
      <c r="K1133">
        <v>3.5296405656003702</v>
      </c>
      <c r="L1133">
        <v>3.56031379555691</v>
      </c>
      <c r="M1133">
        <v>3.22259485396311</v>
      </c>
      <c r="N1133">
        <v>3.2223344986025402</v>
      </c>
      <c r="Q1133">
        <f t="shared" si="85"/>
        <v>3.11</v>
      </c>
      <c r="R1133">
        <f t="shared" si="87"/>
        <v>3.2644515212271576</v>
      </c>
      <c r="S1133">
        <f t="shared" si="88"/>
        <v>-0.15445152122715777</v>
      </c>
      <c r="T1133">
        <f t="shared" si="89"/>
        <v>2.3855272409383167E-2</v>
      </c>
    </row>
    <row r="1134" spans="1:20" hidden="1" x14ac:dyDescent="0.25">
      <c r="A1134" t="str">
        <f t="shared" si="86"/>
        <v>RIP</v>
      </c>
      <c r="B1134" t="s">
        <v>1140</v>
      </c>
      <c r="C1134">
        <v>1.276174229</v>
      </c>
      <c r="D1134">
        <v>9.0553270000000005E-2</v>
      </c>
      <c r="E1134">
        <v>0.73366401599999997</v>
      </c>
      <c r="F1134">
        <v>0.53822338599999997</v>
      </c>
      <c r="G1134">
        <v>0.836002617</v>
      </c>
      <c r="H1134">
        <v>3.75</v>
      </c>
      <c r="I1134">
        <v>3.3297630481651801</v>
      </c>
      <c r="J1134">
        <v>3.2369290726818898</v>
      </c>
      <c r="K1134">
        <v>3.7757211366719599</v>
      </c>
      <c r="L1134">
        <v>3.66708427756762</v>
      </c>
      <c r="M1134">
        <v>3.2833460604235398</v>
      </c>
      <c r="N1134">
        <v>3.2830179432570499</v>
      </c>
      <c r="Q1134">
        <f t="shared" si="85"/>
        <v>3.75</v>
      </c>
      <c r="R1134">
        <f t="shared" si="87"/>
        <v>3.3307251231578916</v>
      </c>
      <c r="S1134">
        <f t="shared" si="88"/>
        <v>0.4192748768421084</v>
      </c>
      <c r="T1134">
        <f t="shared" si="89"/>
        <v>0.17579142235096518</v>
      </c>
    </row>
    <row r="1135" spans="1:20" hidden="1" x14ac:dyDescent="0.25">
      <c r="A1135" t="str">
        <f t="shared" si="86"/>
        <v>RIP</v>
      </c>
      <c r="B1135" t="s">
        <v>1141</v>
      </c>
      <c r="C1135">
        <v>1.4000840569999999</v>
      </c>
      <c r="D1135">
        <v>9.1486121000000004E-2</v>
      </c>
      <c r="E1135">
        <v>0.73445673700000003</v>
      </c>
      <c r="F1135">
        <v>0.53474675199999999</v>
      </c>
      <c r="G1135">
        <v>0.84302863100000003</v>
      </c>
      <c r="H1135">
        <v>3.2</v>
      </c>
      <c r="I1135">
        <v>3.2961268609290801</v>
      </c>
      <c r="J1135">
        <v>3.1396753355193501</v>
      </c>
      <c r="K1135">
        <v>3.36959514845443</v>
      </c>
      <c r="L1135">
        <v>3.2659865553990799</v>
      </c>
      <c r="M1135">
        <v>3.21790109822421</v>
      </c>
      <c r="N1135">
        <v>3.2169501407391801</v>
      </c>
      <c r="Q1135">
        <f t="shared" si="85"/>
        <v>3.2</v>
      </c>
      <c r="R1135">
        <f t="shared" si="87"/>
        <v>3.202491873797209</v>
      </c>
      <c r="S1135">
        <f t="shared" si="88"/>
        <v>-2.4918737972088323E-3</v>
      </c>
      <c r="T1135">
        <f t="shared" si="89"/>
        <v>6.2094350212159647E-6</v>
      </c>
    </row>
    <row r="1136" spans="1:20" hidden="1" x14ac:dyDescent="0.25">
      <c r="A1136" t="str">
        <f t="shared" si="86"/>
        <v>RIP</v>
      </c>
      <c r="B1136" t="s">
        <v>1142</v>
      </c>
      <c r="C1136">
        <v>1.273174257</v>
      </c>
      <c r="D1136">
        <v>9.1372597E-2</v>
      </c>
      <c r="E1136">
        <v>0.74004269899999997</v>
      </c>
      <c r="F1136">
        <v>0.57775874199999999</v>
      </c>
      <c r="G1136">
        <v>0.84603766400000002</v>
      </c>
      <c r="H1136">
        <v>2.93</v>
      </c>
      <c r="I1136">
        <v>3.5762001358845499</v>
      </c>
      <c r="J1136">
        <v>3.4286516450538298</v>
      </c>
      <c r="K1136">
        <v>3.82592374664753</v>
      </c>
      <c r="L1136">
        <v>3.66634104517953</v>
      </c>
      <c r="M1136">
        <v>3.5024258904691901</v>
      </c>
      <c r="N1136">
        <v>3.5016488229036198</v>
      </c>
      <c r="Q1136">
        <f t="shared" si="85"/>
        <v>2.93</v>
      </c>
      <c r="R1136">
        <f t="shared" si="87"/>
        <v>3.5455903832042042</v>
      </c>
      <c r="S1136">
        <f t="shared" si="88"/>
        <v>-0.61559038320420401</v>
      </c>
      <c r="T1136">
        <f t="shared" si="89"/>
        <v>0.37895151989349873</v>
      </c>
    </row>
    <row r="1137" spans="1:20" hidden="1" x14ac:dyDescent="0.25">
      <c r="A1137" t="str">
        <f t="shared" si="86"/>
        <v>RIP</v>
      </c>
      <c r="B1137" t="s">
        <v>1143</v>
      </c>
      <c r="C1137">
        <v>1.2845910760000001</v>
      </c>
      <c r="D1137">
        <v>9.4840722000000002E-2</v>
      </c>
      <c r="E1137">
        <v>0.73024150799999998</v>
      </c>
      <c r="F1137">
        <v>0.60796651599999996</v>
      </c>
      <c r="G1137">
        <v>0.84247312900000004</v>
      </c>
      <c r="H1137">
        <v>3.54</v>
      </c>
      <c r="I1137">
        <v>3.92386553198271</v>
      </c>
      <c r="J1137">
        <v>3.6633761872721502</v>
      </c>
      <c r="K1137">
        <v>3.8795534269033798</v>
      </c>
      <c r="L1137">
        <v>3.7043790788923499</v>
      </c>
      <c r="M1137">
        <v>3.7936208596274299</v>
      </c>
      <c r="N1137">
        <v>3.7913843846177699</v>
      </c>
      <c r="Q1137">
        <f t="shared" si="85"/>
        <v>3.54</v>
      </c>
      <c r="R1137">
        <f t="shared" si="87"/>
        <v>3.7851674860941724</v>
      </c>
      <c r="S1137">
        <f t="shared" si="88"/>
        <v>-0.24516748609417238</v>
      </c>
      <c r="T1137">
        <f t="shared" si="89"/>
        <v>6.0107096237736211E-2</v>
      </c>
    </row>
    <row r="1138" spans="1:20" hidden="1" x14ac:dyDescent="0.25">
      <c r="A1138" t="str">
        <f t="shared" si="86"/>
        <v>RIP</v>
      </c>
      <c r="B1138" t="s">
        <v>1144</v>
      </c>
      <c r="C1138">
        <v>1.309324688</v>
      </c>
      <c r="D1138">
        <v>9.5696536999999998E-2</v>
      </c>
      <c r="E1138">
        <v>0.72434072199999999</v>
      </c>
      <c r="F1138">
        <v>0.61434861399999996</v>
      </c>
      <c r="G1138">
        <v>0.83888333800000003</v>
      </c>
      <c r="H1138">
        <v>3.73</v>
      </c>
      <c r="I1138">
        <v>3.9830981656538098</v>
      </c>
      <c r="J1138">
        <v>3.6920555844644198</v>
      </c>
      <c r="K1138">
        <v>3.8400305192959499</v>
      </c>
      <c r="L1138">
        <v>3.6396042593047802</v>
      </c>
      <c r="M1138">
        <v>3.8375768750591099</v>
      </c>
      <c r="N1138">
        <v>3.8348167917088398</v>
      </c>
      <c r="Q1138">
        <f t="shared" si="85"/>
        <v>3.73</v>
      </c>
      <c r="R1138">
        <f t="shared" si="87"/>
        <v>3.8089620447116896</v>
      </c>
      <c r="S1138">
        <f t="shared" si="88"/>
        <v>-7.8962044711689661E-2</v>
      </c>
      <c r="T1138">
        <f t="shared" si="89"/>
        <v>6.2350045050508767E-3</v>
      </c>
    </row>
    <row r="1139" spans="1:20" hidden="1" x14ac:dyDescent="0.25">
      <c r="A1139" t="str">
        <f t="shared" si="86"/>
        <v>RIP</v>
      </c>
      <c r="B1139" t="s">
        <v>1145</v>
      </c>
      <c r="C1139">
        <v>1.4394151260000001</v>
      </c>
      <c r="D1139">
        <v>9.3290269999999995E-2</v>
      </c>
      <c r="E1139">
        <v>0.72808261600000002</v>
      </c>
      <c r="F1139">
        <v>0.60914701599999999</v>
      </c>
      <c r="G1139">
        <v>0.842892321</v>
      </c>
      <c r="H1139">
        <v>3.48</v>
      </c>
      <c r="I1139">
        <v>3.68218263244967</v>
      </c>
      <c r="J1139">
        <v>3.4401348742447602</v>
      </c>
      <c r="K1139">
        <v>3.6547684916684502</v>
      </c>
      <c r="L1139">
        <v>3.3606391200918102</v>
      </c>
      <c r="M1139">
        <v>3.5611587533472102</v>
      </c>
      <c r="N1139">
        <v>3.5591016966684799</v>
      </c>
      <c r="Q1139">
        <f t="shared" si="85"/>
        <v>3.48</v>
      </c>
      <c r="R1139">
        <f t="shared" si="87"/>
        <v>3.534639368613667</v>
      </c>
      <c r="S1139">
        <f t="shared" si="88"/>
        <v>-5.4639368613667028E-2</v>
      </c>
      <c r="T1139">
        <f t="shared" si="89"/>
        <v>2.9854606025001814E-3</v>
      </c>
    </row>
    <row r="1140" spans="1:20" hidden="1" x14ac:dyDescent="0.25">
      <c r="A1140" t="str">
        <f t="shared" si="86"/>
        <v>RIP</v>
      </c>
      <c r="B1140" t="s">
        <v>1146</v>
      </c>
      <c r="C1140">
        <v>1.610350293</v>
      </c>
      <c r="D1140">
        <v>9.7208844000000003E-2</v>
      </c>
      <c r="E1140">
        <v>0.72524785300000005</v>
      </c>
      <c r="F1140">
        <v>0.59508069299999999</v>
      </c>
      <c r="G1140">
        <v>0.84129451899999996</v>
      </c>
      <c r="H1140">
        <v>4.01</v>
      </c>
      <c r="I1140">
        <v>3.7180837335572199</v>
      </c>
      <c r="J1140">
        <v>3.3945895732490401</v>
      </c>
      <c r="K1140">
        <v>3.16410039593584</v>
      </c>
      <c r="L1140">
        <v>2.94690420379911</v>
      </c>
      <c r="M1140">
        <v>3.5563366534031302</v>
      </c>
      <c r="N1140">
        <v>3.55265650948698</v>
      </c>
      <c r="Q1140">
        <f t="shared" si="85"/>
        <v>4.01</v>
      </c>
      <c r="R1140">
        <f t="shared" si="87"/>
        <v>3.4290848097508522</v>
      </c>
      <c r="S1140">
        <f t="shared" si="88"/>
        <v>0.58091519024914762</v>
      </c>
      <c r="T1140">
        <f t="shared" si="89"/>
        <v>0.33746245826220339</v>
      </c>
    </row>
    <row r="1141" spans="1:20" hidden="1" x14ac:dyDescent="0.25">
      <c r="A1141" t="str">
        <f t="shared" si="86"/>
        <v>RIP</v>
      </c>
      <c r="B1141" t="s">
        <v>1147</v>
      </c>
      <c r="C1141">
        <v>1.416348231</v>
      </c>
      <c r="D1141">
        <v>9.1603946000000006E-2</v>
      </c>
      <c r="E1141">
        <v>0.72223338800000003</v>
      </c>
      <c r="F1141">
        <v>0.62185094799999996</v>
      </c>
      <c r="G1141">
        <v>0.83891321600000002</v>
      </c>
      <c r="H1141">
        <v>3.71</v>
      </c>
      <c r="I1141">
        <v>3.6492292133650102</v>
      </c>
      <c r="J1141">
        <v>3.42890045796775</v>
      </c>
      <c r="K1141">
        <v>3.6098529495151701</v>
      </c>
      <c r="L1141">
        <v>3.3286890015325898</v>
      </c>
      <c r="M1141">
        <v>3.5390648356663799</v>
      </c>
      <c r="N1141">
        <v>3.53734981602563</v>
      </c>
      <c r="Q1141">
        <f t="shared" si="85"/>
        <v>3.71</v>
      </c>
      <c r="R1141">
        <f t="shared" si="87"/>
        <v>3.5407438188729672</v>
      </c>
      <c r="S1141">
        <f t="shared" si="88"/>
        <v>0.16925618112703278</v>
      </c>
      <c r="T1141">
        <f t="shared" si="89"/>
        <v>2.8647654849706928E-2</v>
      </c>
    </row>
    <row r="1142" spans="1:20" hidden="1" x14ac:dyDescent="0.25">
      <c r="A1142" t="str">
        <f t="shared" si="86"/>
        <v>RIP</v>
      </c>
      <c r="B1142" t="s">
        <v>1148</v>
      </c>
      <c r="C1142">
        <v>1.195186257</v>
      </c>
      <c r="D1142">
        <v>9.8778309999999994E-2</v>
      </c>
      <c r="E1142">
        <v>0.73282357799999998</v>
      </c>
      <c r="F1142">
        <v>0.55866392799999998</v>
      </c>
      <c r="G1142">
        <v>0.84575246400000004</v>
      </c>
      <c r="H1142">
        <v>3.13</v>
      </c>
      <c r="I1142">
        <v>4.1922948949134904</v>
      </c>
      <c r="J1142">
        <v>3.76860508141369</v>
      </c>
      <c r="K1142">
        <v>4.0083716930395701</v>
      </c>
      <c r="L1142">
        <v>4.0021203688209299</v>
      </c>
      <c r="M1142">
        <v>3.9804499881635902</v>
      </c>
      <c r="N1142">
        <v>3.9748086549865098</v>
      </c>
      <c r="Q1142">
        <f t="shared" si="85"/>
        <v>3.13</v>
      </c>
      <c r="R1142">
        <f t="shared" si="87"/>
        <v>3.8624719910564718</v>
      </c>
      <c r="S1142">
        <f t="shared" si="88"/>
        <v>-0.73247199105647187</v>
      </c>
      <c r="T1142">
        <f t="shared" si="89"/>
        <v>0.5365152176822322</v>
      </c>
    </row>
    <row r="1143" spans="1:20" hidden="1" x14ac:dyDescent="0.25">
      <c r="A1143" t="str">
        <f t="shared" si="86"/>
        <v>RIP</v>
      </c>
      <c r="B1143" t="s">
        <v>1149</v>
      </c>
      <c r="C1143">
        <v>1.3022574</v>
      </c>
      <c r="D1143">
        <v>9.6844816E-2</v>
      </c>
      <c r="E1143">
        <v>0.72511853999999998</v>
      </c>
      <c r="F1143">
        <v>0.58484075800000002</v>
      </c>
      <c r="G1143">
        <v>0.83792877600000004</v>
      </c>
      <c r="H1143">
        <v>3.58</v>
      </c>
      <c r="I1143">
        <v>3.9372346510337</v>
      </c>
      <c r="J1143">
        <v>3.6469891067328501</v>
      </c>
      <c r="K1143">
        <v>3.78184666019119</v>
      </c>
      <c r="L1143">
        <v>3.7474553493407998</v>
      </c>
      <c r="M1143">
        <v>3.7921118788832802</v>
      </c>
      <c r="N1143">
        <v>3.7893339629770102</v>
      </c>
      <c r="Q1143">
        <f t="shared" si="85"/>
        <v>3.58</v>
      </c>
      <c r="R1143">
        <f t="shared" si="87"/>
        <v>3.7426542551891355</v>
      </c>
      <c r="S1143">
        <f t="shared" si="88"/>
        <v>-0.16265425518913545</v>
      </c>
      <c r="T1143">
        <f t="shared" si="89"/>
        <v>2.6456406731132399E-2</v>
      </c>
    </row>
    <row r="1144" spans="1:20" hidden="1" x14ac:dyDescent="0.25">
      <c r="A1144" t="str">
        <f t="shared" si="86"/>
        <v>RIP</v>
      </c>
      <c r="B1144" t="s">
        <v>1150</v>
      </c>
      <c r="C1144">
        <v>1.663587742</v>
      </c>
      <c r="D1144">
        <v>9.9988260999999995E-2</v>
      </c>
      <c r="E1144">
        <v>0.73479233099999997</v>
      </c>
      <c r="F1144">
        <v>0.573251819</v>
      </c>
      <c r="G1144">
        <v>0.84650363699999998</v>
      </c>
      <c r="H1144">
        <v>3.19</v>
      </c>
      <c r="I1144">
        <v>3.78694639053982</v>
      </c>
      <c r="J1144">
        <v>3.4219328687206398</v>
      </c>
      <c r="K1144">
        <v>3.0994864908901398</v>
      </c>
      <c r="L1144">
        <v>2.84556438239568</v>
      </c>
      <c r="M1144">
        <v>3.6044396296302299</v>
      </c>
      <c r="N1144">
        <v>3.5998161516765301</v>
      </c>
      <c r="Q1144">
        <f t="shared" si="85"/>
        <v>3.19</v>
      </c>
      <c r="R1144">
        <f t="shared" si="87"/>
        <v>3.4181956628777277</v>
      </c>
      <c r="S1144">
        <f t="shared" si="88"/>
        <v>-0.22819566287772775</v>
      </c>
      <c r="T1144">
        <f t="shared" si="89"/>
        <v>5.2073260556205571E-2</v>
      </c>
    </row>
    <row r="1145" spans="1:20" hidden="1" x14ac:dyDescent="0.25">
      <c r="A1145" t="str">
        <f t="shared" si="86"/>
        <v>RIP</v>
      </c>
      <c r="B1145" t="s">
        <v>1151</v>
      </c>
      <c r="C1145">
        <v>1.2599655279999999</v>
      </c>
      <c r="D1145">
        <v>0.100083906</v>
      </c>
      <c r="E1145">
        <v>0.71888969700000005</v>
      </c>
      <c r="F1145">
        <v>0.58052629</v>
      </c>
      <c r="G1145">
        <v>0.83504352000000004</v>
      </c>
      <c r="H1145">
        <v>3.67</v>
      </c>
      <c r="I1145">
        <v>4.2583204704918103</v>
      </c>
      <c r="J1145">
        <v>3.83007745905463</v>
      </c>
      <c r="K1145">
        <v>3.8032592128896701</v>
      </c>
      <c r="L1145">
        <v>3.7238655151212599</v>
      </c>
      <c r="M1145">
        <v>4.0441989647732202</v>
      </c>
      <c r="N1145">
        <v>4.03852661839211</v>
      </c>
      <c r="Q1145">
        <f t="shared" si="85"/>
        <v>3.67</v>
      </c>
      <c r="R1145">
        <f t="shared" si="87"/>
        <v>3.9156540894409249</v>
      </c>
      <c r="S1145">
        <f t="shared" si="88"/>
        <v>-0.24565408944092493</v>
      </c>
      <c r="T1145">
        <f t="shared" si="89"/>
        <v>6.0345931659049945E-2</v>
      </c>
    </row>
    <row r="1146" spans="1:20" hidden="1" x14ac:dyDescent="0.25">
      <c r="A1146" t="str">
        <f t="shared" si="86"/>
        <v>RIP</v>
      </c>
      <c r="B1146" t="s">
        <v>1152</v>
      </c>
      <c r="C1146">
        <v>1.33576107</v>
      </c>
      <c r="D1146">
        <v>9.7733679000000004E-2</v>
      </c>
      <c r="E1146">
        <v>0.71964953700000001</v>
      </c>
      <c r="F1146">
        <v>0.57819759299999995</v>
      </c>
      <c r="G1146">
        <v>0.83236482999999994</v>
      </c>
      <c r="H1146">
        <v>3.37</v>
      </c>
      <c r="I1146">
        <v>3.8980077093971102</v>
      </c>
      <c r="J1146">
        <v>3.6239012376057</v>
      </c>
      <c r="K1146">
        <v>3.7110386763815701</v>
      </c>
      <c r="L1146">
        <v>3.6463857539734899</v>
      </c>
      <c r="M1146">
        <v>3.76095447350141</v>
      </c>
      <c r="N1146">
        <v>3.7584564600751702</v>
      </c>
      <c r="Q1146">
        <f t="shared" si="85"/>
        <v>3.37</v>
      </c>
      <c r="R1146">
        <f t="shared" si="87"/>
        <v>3.7040529107219857</v>
      </c>
      <c r="S1146">
        <f t="shared" si="88"/>
        <v>-0.33405291072198562</v>
      </c>
      <c r="T1146">
        <f t="shared" si="89"/>
        <v>0.11159134716183089</v>
      </c>
    </row>
    <row r="1147" spans="1:20" hidden="1" x14ac:dyDescent="0.25">
      <c r="A1147" t="str">
        <f t="shared" si="86"/>
        <v>RIP</v>
      </c>
      <c r="B1147" t="s">
        <v>1153</v>
      </c>
      <c r="C1147">
        <v>1.2177574630000001</v>
      </c>
      <c r="D1147">
        <v>9.7363406999999999E-2</v>
      </c>
      <c r="E1147">
        <v>0.73555864699999995</v>
      </c>
      <c r="F1147">
        <v>0.58699090600000003</v>
      </c>
      <c r="G1147">
        <v>0.8491919</v>
      </c>
      <c r="H1147">
        <v>3.54</v>
      </c>
      <c r="I1147">
        <v>4.1935087220171896</v>
      </c>
      <c r="J1147">
        <v>3.7824358505922699</v>
      </c>
      <c r="K1147">
        <v>3.9727627911102399</v>
      </c>
      <c r="L1147">
        <v>3.8703750196480202</v>
      </c>
      <c r="M1147">
        <v>3.9879722863047302</v>
      </c>
      <c r="N1147">
        <v>3.9826721845928001</v>
      </c>
      <c r="Q1147">
        <f t="shared" si="85"/>
        <v>3.54</v>
      </c>
      <c r="R1147">
        <f t="shared" si="87"/>
        <v>3.895785856556317</v>
      </c>
      <c r="S1147">
        <f t="shared" si="88"/>
        <v>-0.355785856556317</v>
      </c>
      <c r="T1147">
        <f t="shared" si="89"/>
        <v>0.12658357572551218</v>
      </c>
    </row>
    <row r="1148" spans="1:20" hidden="1" x14ac:dyDescent="0.25">
      <c r="A1148" t="str">
        <f t="shared" si="86"/>
        <v>RIP</v>
      </c>
      <c r="B1148" t="s">
        <v>1154</v>
      </c>
      <c r="C1148">
        <v>1.3827717580000001</v>
      </c>
      <c r="D1148">
        <v>0.100059884</v>
      </c>
      <c r="E1148">
        <v>0.73153635400000006</v>
      </c>
      <c r="F1148">
        <v>0.56473892199999998</v>
      </c>
      <c r="G1148">
        <v>0.84460578200000003</v>
      </c>
      <c r="H1148">
        <v>3.68</v>
      </c>
      <c r="I1148">
        <v>4.0985116009626701</v>
      </c>
      <c r="J1148">
        <v>3.6697951887610598</v>
      </c>
      <c r="K1148">
        <v>3.5068771303083799</v>
      </c>
      <c r="L1148">
        <v>3.45040456851748</v>
      </c>
      <c r="M1148">
        <v>3.8841533948618698</v>
      </c>
      <c r="N1148">
        <v>3.87823389628503</v>
      </c>
      <c r="Q1148">
        <f t="shared" si="85"/>
        <v>3.68</v>
      </c>
      <c r="R1148">
        <f t="shared" si="87"/>
        <v>3.720281354712232</v>
      </c>
      <c r="S1148">
        <f t="shared" si="88"/>
        <v>-4.0281354712231821E-2</v>
      </c>
      <c r="T1148">
        <f t="shared" si="89"/>
        <v>1.6225875374526408E-3</v>
      </c>
    </row>
    <row r="1149" spans="1:20" hidden="1" x14ac:dyDescent="0.25">
      <c r="A1149" t="str">
        <f t="shared" si="86"/>
        <v>RIP</v>
      </c>
      <c r="B1149" t="s">
        <v>1155</v>
      </c>
      <c r="C1149">
        <v>1.5245965480000001</v>
      </c>
      <c r="D1149">
        <v>9.4226180000000007E-2</v>
      </c>
      <c r="E1149">
        <v>0.73497447699999996</v>
      </c>
      <c r="F1149">
        <v>0.52941480100000005</v>
      </c>
      <c r="G1149">
        <v>0.84831089400000004</v>
      </c>
      <c r="H1149">
        <v>3.6</v>
      </c>
      <c r="I1149">
        <v>3.3909539129967898</v>
      </c>
      <c r="J1149">
        <v>3.1147120497405498</v>
      </c>
      <c r="K1149">
        <v>2.9885341218755999</v>
      </c>
      <c r="L1149">
        <v>2.83394011227182</v>
      </c>
      <c r="M1149">
        <v>3.2528329813686701</v>
      </c>
      <c r="N1149">
        <v>3.2498992311956298</v>
      </c>
      <c r="Q1149">
        <f t="shared" si="85"/>
        <v>3.6</v>
      </c>
      <c r="R1149">
        <f t="shared" si="87"/>
        <v>3.1393823614097998</v>
      </c>
      <c r="S1149">
        <f t="shared" si="88"/>
        <v>0.46061763859020033</v>
      </c>
      <c r="T1149">
        <f t="shared" si="89"/>
        <v>0.2121686089804124</v>
      </c>
    </row>
    <row r="1150" spans="1:20" hidden="1" x14ac:dyDescent="0.25">
      <c r="A1150" t="str">
        <f t="shared" si="86"/>
        <v>RIP</v>
      </c>
      <c r="B1150" t="s">
        <v>1156</v>
      </c>
      <c r="C1150">
        <v>1.522338569</v>
      </c>
      <c r="D1150">
        <v>9.5645806E-2</v>
      </c>
      <c r="E1150">
        <v>0.71777750100000004</v>
      </c>
      <c r="F1150">
        <v>0.60588948300000001</v>
      </c>
      <c r="G1150">
        <v>0.833916188</v>
      </c>
      <c r="H1150">
        <v>4.21</v>
      </c>
      <c r="I1150">
        <v>3.6901087378762201</v>
      </c>
      <c r="J1150">
        <v>3.4347716020801302</v>
      </c>
      <c r="K1150">
        <v>3.2807428601432198</v>
      </c>
      <c r="L1150">
        <v>3.0723177015775001</v>
      </c>
      <c r="M1150">
        <v>3.56244016997818</v>
      </c>
      <c r="N1150">
        <v>3.5601517806752301</v>
      </c>
      <c r="Q1150">
        <f t="shared" si="85"/>
        <v>4.21</v>
      </c>
      <c r="R1150">
        <f t="shared" si="87"/>
        <v>3.5007825752240782</v>
      </c>
      <c r="S1150">
        <f t="shared" si="88"/>
        <v>0.70921742477592176</v>
      </c>
      <c r="T1150">
        <f t="shared" si="89"/>
        <v>0.50298935560579028</v>
      </c>
    </row>
    <row r="1151" spans="1:20" hidden="1" x14ac:dyDescent="0.25">
      <c r="A1151" t="str">
        <f t="shared" si="86"/>
        <v>RIP</v>
      </c>
      <c r="B1151" t="s">
        <v>1157</v>
      </c>
      <c r="C1151">
        <v>1.724408562</v>
      </c>
      <c r="D1151">
        <v>9.3273367999999995E-2</v>
      </c>
      <c r="E1151">
        <v>0.72149100499999996</v>
      </c>
      <c r="F1151">
        <v>0.61430885000000002</v>
      </c>
      <c r="G1151">
        <v>0.83404689499999995</v>
      </c>
      <c r="H1151">
        <v>4.2</v>
      </c>
      <c r="I1151">
        <v>3.2959362504481402</v>
      </c>
      <c r="J1151">
        <v>3.1627615646109</v>
      </c>
      <c r="K1151">
        <v>2.8059889346822602</v>
      </c>
      <c r="L1151">
        <v>2.4958032833157699</v>
      </c>
      <c r="M1151">
        <v>3.2293489075295199</v>
      </c>
      <c r="N1151">
        <v>3.2286623379234198</v>
      </c>
      <c r="Q1151">
        <f t="shared" si="85"/>
        <v>4.2</v>
      </c>
      <c r="R1151">
        <f t="shared" si="87"/>
        <v>3.1992037847278194</v>
      </c>
      <c r="S1151">
        <f t="shared" si="88"/>
        <v>1.0007962152721808</v>
      </c>
      <c r="T1151">
        <f t="shared" si="89"/>
        <v>1.0015930645031212</v>
      </c>
    </row>
    <row r="1152" spans="1:20" hidden="1" x14ac:dyDescent="0.25">
      <c r="A1152" t="str">
        <f t="shared" si="86"/>
        <v>RIP</v>
      </c>
      <c r="B1152" t="s">
        <v>1158</v>
      </c>
      <c r="C1152">
        <v>1.103442357</v>
      </c>
      <c r="D1152">
        <v>9.1333201000000003E-2</v>
      </c>
      <c r="E1152">
        <v>0.72588286300000004</v>
      </c>
      <c r="F1152">
        <v>0.59095486100000005</v>
      </c>
      <c r="G1152">
        <v>0.82536050100000002</v>
      </c>
      <c r="H1152">
        <v>3.44</v>
      </c>
      <c r="I1152">
        <v>3.7281697355682</v>
      </c>
      <c r="J1152">
        <v>3.6229181068564098</v>
      </c>
      <c r="K1152">
        <v>4.2775123880404902</v>
      </c>
      <c r="L1152">
        <v>4.2008454786549798</v>
      </c>
      <c r="M1152">
        <v>3.6755439212123102</v>
      </c>
      <c r="N1152">
        <v>3.6751671581608498</v>
      </c>
      <c r="Q1152">
        <f t="shared" si="85"/>
        <v>3.44</v>
      </c>
      <c r="R1152">
        <f t="shared" si="87"/>
        <v>3.783616290893991</v>
      </c>
      <c r="S1152">
        <f t="shared" si="88"/>
        <v>-0.34361629089399104</v>
      </c>
      <c r="T1152">
        <f t="shared" si="89"/>
        <v>0.11807215536774388</v>
      </c>
    </row>
    <row r="1153" spans="1:20" hidden="1" x14ac:dyDescent="0.25">
      <c r="A1153" t="str">
        <f t="shared" si="86"/>
        <v>RIP</v>
      </c>
      <c r="B1153" t="s">
        <v>1159</v>
      </c>
      <c r="C1153">
        <v>1.245837989</v>
      </c>
      <c r="D1153">
        <v>9.1553254000000001E-2</v>
      </c>
      <c r="E1153">
        <v>0.72169543199999997</v>
      </c>
      <c r="F1153">
        <v>0.55176864999999997</v>
      </c>
      <c r="G1153">
        <v>0.82353336499999996</v>
      </c>
      <c r="H1153">
        <v>3.6</v>
      </c>
      <c r="I1153">
        <v>3.4308220695734102</v>
      </c>
      <c r="J1153">
        <v>3.33907879965308</v>
      </c>
      <c r="K1153">
        <v>3.8245028514939698</v>
      </c>
      <c r="L1153">
        <v>3.7793247762363298</v>
      </c>
      <c r="M1153">
        <v>3.3849504346132502</v>
      </c>
      <c r="N1153">
        <v>3.3846396023645502</v>
      </c>
      <c r="Q1153">
        <f t="shared" ref="Q1153:Q1216" si="90">H1153</f>
        <v>3.6</v>
      </c>
      <c r="R1153">
        <f t="shared" si="87"/>
        <v>3.4444785561037392</v>
      </c>
      <c r="S1153">
        <f t="shared" si="88"/>
        <v>0.15552144389626088</v>
      </c>
      <c r="T1153">
        <f t="shared" si="89"/>
        <v>2.4186919511577819E-2</v>
      </c>
    </row>
    <row r="1154" spans="1:20" hidden="1" x14ac:dyDescent="0.25">
      <c r="A1154" t="str">
        <f t="shared" si="86"/>
        <v>RIP</v>
      </c>
      <c r="B1154" t="s">
        <v>1160</v>
      </c>
      <c r="C1154">
        <v>1.182328582</v>
      </c>
      <c r="D1154">
        <v>9.2942926999999995E-2</v>
      </c>
      <c r="E1154">
        <v>0.72474712799999996</v>
      </c>
      <c r="F1154">
        <v>0.49604974299999999</v>
      </c>
      <c r="G1154">
        <v>0.82768529000000002</v>
      </c>
      <c r="H1154">
        <v>3.97</v>
      </c>
      <c r="I1154">
        <v>3.3802683396067201</v>
      </c>
      <c r="J1154">
        <v>3.2614484258788199</v>
      </c>
      <c r="K1154">
        <v>3.5593514195954299</v>
      </c>
      <c r="L1154">
        <v>3.5566562175019398</v>
      </c>
      <c r="M1154">
        <v>3.3208583827427698</v>
      </c>
      <c r="N1154">
        <v>3.320326919937</v>
      </c>
      <c r="Q1154">
        <f t="shared" si="90"/>
        <v>3.97</v>
      </c>
      <c r="R1154">
        <f t="shared" si="87"/>
        <v>3.3424097726436783</v>
      </c>
      <c r="S1154">
        <f t="shared" si="88"/>
        <v>0.62759022735632186</v>
      </c>
      <c r="T1154">
        <f t="shared" si="89"/>
        <v>0.39386949347315975</v>
      </c>
    </row>
    <row r="1155" spans="1:20" hidden="1" x14ac:dyDescent="0.25">
      <c r="A1155" t="str">
        <f t="shared" ref="A1155:A1218" si="91">LEFT(B1155,3)</f>
        <v>RIP</v>
      </c>
      <c r="B1155" t="s">
        <v>1161</v>
      </c>
      <c r="C1155">
        <v>1.2583167959999999</v>
      </c>
      <c r="D1155">
        <v>9.4954665999999993E-2</v>
      </c>
      <c r="E1155">
        <v>0.72125678400000004</v>
      </c>
      <c r="F1155">
        <v>0.57280762600000001</v>
      </c>
      <c r="G1155">
        <v>0.82554245000000004</v>
      </c>
      <c r="H1155">
        <v>3.45</v>
      </c>
      <c r="I1155">
        <v>3.6805830799692298</v>
      </c>
      <c r="J1155">
        <v>3.5510400532027102</v>
      </c>
      <c r="K1155">
        <v>3.8463126653708199</v>
      </c>
      <c r="L1155">
        <v>3.7604628835397498</v>
      </c>
      <c r="M1155">
        <v>3.61581156658597</v>
      </c>
      <c r="N1155">
        <v>3.6152313807156098</v>
      </c>
      <c r="Q1155">
        <f t="shared" si="90"/>
        <v>3.45</v>
      </c>
      <c r="R1155">
        <f t="shared" ref="R1155:R1218" si="92">$X$2*F1155+$X$3*D1155*E1155+($X$4/(D1155-$X$5))-$X$6*C1155</f>
        <v>3.6559770362193769</v>
      </c>
      <c r="S1155">
        <f t="shared" ref="S1155:S1218" si="93">Q1155-R1155</f>
        <v>-0.20597703621937669</v>
      </c>
      <c r="T1155">
        <f t="shared" ref="T1155:T1218" si="94">S1155^2</f>
        <v>4.2426539449718415E-2</v>
      </c>
    </row>
    <row r="1156" spans="1:20" hidden="1" x14ac:dyDescent="0.25">
      <c r="A1156" t="str">
        <f t="shared" si="91"/>
        <v>RIP</v>
      </c>
      <c r="B1156" t="s">
        <v>1162</v>
      </c>
      <c r="C1156">
        <v>1.215283501</v>
      </c>
      <c r="D1156">
        <v>9.3600274999999997E-2</v>
      </c>
      <c r="E1156">
        <v>0.72446471599999995</v>
      </c>
      <c r="F1156">
        <v>0.547493758</v>
      </c>
      <c r="G1156">
        <v>0.82603839300000004</v>
      </c>
      <c r="H1156">
        <v>3.22</v>
      </c>
      <c r="I1156">
        <v>3.5496173305374801</v>
      </c>
      <c r="J1156">
        <v>3.4455774092941001</v>
      </c>
      <c r="K1156">
        <v>3.7599368770869299</v>
      </c>
      <c r="L1156">
        <v>3.7135370816434201</v>
      </c>
      <c r="M1156">
        <v>3.4975973699157898</v>
      </c>
      <c r="N1156">
        <v>3.49721050063315</v>
      </c>
      <c r="Q1156">
        <f t="shared" si="90"/>
        <v>3.22</v>
      </c>
      <c r="R1156">
        <f t="shared" si="92"/>
        <v>3.548989660601114</v>
      </c>
      <c r="S1156">
        <f t="shared" si="93"/>
        <v>-0.32898966060111379</v>
      </c>
      <c r="T1156">
        <f t="shared" si="94"/>
        <v>0.10823419678243604</v>
      </c>
    </row>
    <row r="1157" spans="1:20" hidden="1" x14ac:dyDescent="0.25">
      <c r="A1157" t="str">
        <f t="shared" si="91"/>
        <v>RIP</v>
      </c>
      <c r="B1157" t="s">
        <v>1163</v>
      </c>
      <c r="C1157">
        <v>1.128195238</v>
      </c>
      <c r="D1157">
        <v>9.7130625999999998E-2</v>
      </c>
      <c r="E1157">
        <v>0.73610523800000005</v>
      </c>
      <c r="F1157">
        <v>0.53103294899999998</v>
      </c>
      <c r="G1157">
        <v>0.84989660499999997</v>
      </c>
      <c r="H1157">
        <v>3.42</v>
      </c>
      <c r="I1157">
        <v>4.0957571077555199</v>
      </c>
      <c r="J1157">
        <v>3.6558461740066801</v>
      </c>
      <c r="K1157">
        <v>3.8814550362517002</v>
      </c>
      <c r="L1157">
        <v>3.8668919193118501</v>
      </c>
      <c r="M1157">
        <v>3.8758016408810998</v>
      </c>
      <c r="N1157">
        <v>3.8695552654082501</v>
      </c>
      <c r="Q1157">
        <f t="shared" si="90"/>
        <v>3.42</v>
      </c>
      <c r="R1157">
        <f t="shared" si="92"/>
        <v>3.7550684094914404</v>
      </c>
      <c r="S1157">
        <f t="shared" si="93"/>
        <v>-0.33506840949144046</v>
      </c>
      <c r="T1157">
        <f t="shared" si="94"/>
        <v>0.11227083903912362</v>
      </c>
    </row>
    <row r="1158" spans="1:20" hidden="1" x14ac:dyDescent="0.25">
      <c r="A1158" t="str">
        <f t="shared" si="91"/>
        <v>RIP</v>
      </c>
      <c r="B1158" t="s">
        <v>1164</v>
      </c>
      <c r="C1158">
        <v>1.0788667810000001</v>
      </c>
      <c r="D1158">
        <v>9.7219553E-2</v>
      </c>
      <c r="E1158">
        <v>0.74057250299999999</v>
      </c>
      <c r="F1158">
        <v>0.50345589400000001</v>
      </c>
      <c r="G1158">
        <v>0.84761960300000005</v>
      </c>
      <c r="H1158">
        <v>3.54</v>
      </c>
      <c r="I1158">
        <v>3.9289088712848201</v>
      </c>
      <c r="J1158">
        <v>3.6157870215692798</v>
      </c>
      <c r="K1158">
        <v>3.7915741860630998</v>
      </c>
      <c r="L1158">
        <v>3.81606890760786</v>
      </c>
      <c r="M1158">
        <v>3.77234794642705</v>
      </c>
      <c r="N1158">
        <v>3.7690977309855</v>
      </c>
      <c r="Q1158">
        <f t="shared" si="90"/>
        <v>3.54</v>
      </c>
      <c r="R1158">
        <f t="shared" si="92"/>
        <v>3.7084859513574955</v>
      </c>
      <c r="S1158">
        <f t="shared" si="93"/>
        <v>-0.16848595135749544</v>
      </c>
      <c r="T1158">
        <f t="shared" si="94"/>
        <v>2.8387515804840321E-2</v>
      </c>
    </row>
    <row r="1159" spans="1:20" hidden="1" x14ac:dyDescent="0.25">
      <c r="A1159" t="str">
        <f t="shared" si="91"/>
        <v>RIP</v>
      </c>
      <c r="B1159" t="s">
        <v>1165</v>
      </c>
      <c r="C1159">
        <v>0.95410981800000005</v>
      </c>
      <c r="D1159">
        <v>9.3860228000000004E-2</v>
      </c>
      <c r="E1159">
        <v>0.73153964999999999</v>
      </c>
      <c r="F1159">
        <v>0.43824826900000002</v>
      </c>
      <c r="G1159">
        <v>0.84541782899999995</v>
      </c>
      <c r="H1159">
        <v>3.5</v>
      </c>
      <c r="I1159">
        <v>3.6931188953930101</v>
      </c>
      <c r="J1159">
        <v>3.3284523863373399</v>
      </c>
      <c r="K1159">
        <v>3.8445403981706199</v>
      </c>
      <c r="L1159">
        <v>3.96051124609588</v>
      </c>
      <c r="M1159">
        <v>3.5107856408651701</v>
      </c>
      <c r="N1159">
        <v>3.5060476894073198</v>
      </c>
      <c r="Q1159">
        <f t="shared" si="90"/>
        <v>3.5</v>
      </c>
      <c r="R1159">
        <f t="shared" si="92"/>
        <v>3.4201912789326432</v>
      </c>
      <c r="S1159">
        <f t="shared" si="93"/>
        <v>7.9808721067356814E-2</v>
      </c>
      <c r="T1159">
        <f t="shared" si="94"/>
        <v>6.3694319584071636E-3</v>
      </c>
    </row>
    <row r="1160" spans="1:20" hidden="1" x14ac:dyDescent="0.25">
      <c r="A1160" t="str">
        <f t="shared" si="91"/>
        <v>RIP</v>
      </c>
      <c r="B1160" t="s">
        <v>1166</v>
      </c>
      <c r="C1160">
        <v>1.32885393</v>
      </c>
      <c r="D1160">
        <v>9.2432827999999995E-2</v>
      </c>
      <c r="E1160">
        <v>0.74919007199999998</v>
      </c>
      <c r="F1160">
        <v>0.53060436600000005</v>
      </c>
      <c r="G1160">
        <v>0.85810132299999997</v>
      </c>
      <c r="H1160">
        <v>3.58</v>
      </c>
      <c r="I1160">
        <v>3.5195872931238901</v>
      </c>
      <c r="J1160">
        <v>3.2589693663047998</v>
      </c>
      <c r="K1160">
        <v>3.2996360389389801</v>
      </c>
      <c r="L1160">
        <v>3.1766114911154002</v>
      </c>
      <c r="M1160">
        <v>3.3892783297143398</v>
      </c>
      <c r="N1160">
        <v>3.3867723824205198</v>
      </c>
      <c r="Q1160">
        <f t="shared" si="90"/>
        <v>3.58</v>
      </c>
      <c r="R1160">
        <f t="shared" si="92"/>
        <v>3.3326072883911499</v>
      </c>
      <c r="S1160">
        <f t="shared" si="93"/>
        <v>0.24739271160885012</v>
      </c>
      <c r="T1160">
        <f t="shared" si="94"/>
        <v>6.120315375717969E-2</v>
      </c>
    </row>
    <row r="1161" spans="1:20" hidden="1" x14ac:dyDescent="0.25">
      <c r="A1161" t="str">
        <f t="shared" si="91"/>
        <v>RIP</v>
      </c>
      <c r="B1161" t="s">
        <v>1167</v>
      </c>
      <c r="C1161">
        <v>1.29875294</v>
      </c>
      <c r="D1161">
        <v>9.1157285000000005E-2</v>
      </c>
      <c r="E1161">
        <v>0.73948801600000003</v>
      </c>
      <c r="F1161">
        <v>0.55948472199999999</v>
      </c>
      <c r="G1161">
        <v>0.85152472400000001</v>
      </c>
      <c r="H1161">
        <v>3.38</v>
      </c>
      <c r="I1161">
        <v>3.5625711223329199</v>
      </c>
      <c r="J1161">
        <v>3.3261929125359901</v>
      </c>
      <c r="K1161">
        <v>3.5162311113336102</v>
      </c>
      <c r="L1161">
        <v>3.3667631174385599</v>
      </c>
      <c r="M1161">
        <v>3.4443820174344602</v>
      </c>
      <c r="N1161">
        <v>3.4423536740882898</v>
      </c>
      <c r="Q1161">
        <f t="shared" si="90"/>
        <v>3.38</v>
      </c>
      <c r="R1161">
        <f t="shared" si="92"/>
        <v>3.4269829506598772</v>
      </c>
      <c r="S1161">
        <f t="shared" si="93"/>
        <v>-4.6982950659877343E-2</v>
      </c>
      <c r="T1161">
        <f t="shared" si="94"/>
        <v>2.2073976527084687E-3</v>
      </c>
    </row>
    <row r="1162" spans="1:20" hidden="1" x14ac:dyDescent="0.25">
      <c r="A1162" t="str">
        <f t="shared" si="91"/>
        <v>RIP</v>
      </c>
      <c r="B1162" t="s">
        <v>1168</v>
      </c>
      <c r="C1162">
        <v>1.444167972</v>
      </c>
      <c r="D1162">
        <v>8.9570035000000006E-2</v>
      </c>
      <c r="E1162">
        <v>0.75408029399999998</v>
      </c>
      <c r="F1162">
        <v>0.52868966299999998</v>
      </c>
      <c r="G1162">
        <v>0.85815782100000004</v>
      </c>
      <c r="H1162">
        <v>3.58</v>
      </c>
      <c r="I1162">
        <v>3.1583675439129899</v>
      </c>
      <c r="J1162">
        <v>3.02625779132073</v>
      </c>
      <c r="K1162">
        <v>2.9917761816991701</v>
      </c>
      <c r="L1162">
        <v>2.8567913370027598</v>
      </c>
      <c r="M1162">
        <v>3.0923126676168602</v>
      </c>
      <c r="N1162">
        <v>3.09160708816971</v>
      </c>
      <c r="Q1162">
        <f t="shared" si="90"/>
        <v>3.58</v>
      </c>
      <c r="R1162">
        <f t="shared" si="92"/>
        <v>3.0816401822209043</v>
      </c>
      <c r="S1162">
        <f t="shared" si="93"/>
        <v>0.49835981777909577</v>
      </c>
      <c r="T1162">
        <f t="shared" si="94"/>
        <v>0.24836250797681353</v>
      </c>
    </row>
    <row r="1163" spans="1:20" hidden="1" x14ac:dyDescent="0.25">
      <c r="A1163" t="str">
        <f t="shared" si="91"/>
        <v>RIP</v>
      </c>
      <c r="B1163" t="s">
        <v>1169</v>
      </c>
      <c r="C1163">
        <v>1.3474231169999999</v>
      </c>
      <c r="D1163">
        <v>8.8154376000000007E-2</v>
      </c>
      <c r="E1163">
        <v>0.74201081300000005</v>
      </c>
      <c r="F1163">
        <v>0.58881106800000005</v>
      </c>
      <c r="G1163">
        <v>0.85084495100000002</v>
      </c>
      <c r="H1163">
        <v>3.24</v>
      </c>
      <c r="I1163">
        <v>3.4067943509368002</v>
      </c>
      <c r="J1163">
        <v>3.2702905559892002</v>
      </c>
      <c r="K1163">
        <v>3.4846894141049001</v>
      </c>
      <c r="L1163">
        <v>3.3259722307509598</v>
      </c>
      <c r="M1163">
        <v>3.3385424534629999</v>
      </c>
      <c r="N1163">
        <v>3.3378447225816199</v>
      </c>
      <c r="Q1163">
        <f t="shared" si="90"/>
        <v>3.24</v>
      </c>
      <c r="R1163">
        <f t="shared" si="92"/>
        <v>3.3856383918866699</v>
      </c>
      <c r="S1163">
        <f t="shared" si="93"/>
        <v>-0.14563839188666972</v>
      </c>
      <c r="T1163">
        <f t="shared" si="94"/>
        <v>2.1210541191335183E-2</v>
      </c>
    </row>
    <row r="1164" spans="1:20" hidden="1" x14ac:dyDescent="0.25">
      <c r="A1164" t="str">
        <f t="shared" si="91"/>
        <v>RIP</v>
      </c>
      <c r="B1164" t="s">
        <v>1170</v>
      </c>
      <c r="C1164">
        <v>1.3720416719999999</v>
      </c>
      <c r="D1164">
        <v>8.5917631999999994E-2</v>
      </c>
      <c r="E1164">
        <v>0.74332195099999998</v>
      </c>
      <c r="F1164">
        <v>0.54240408399999995</v>
      </c>
      <c r="G1164">
        <v>0.84970374900000001</v>
      </c>
      <c r="H1164">
        <v>4.03</v>
      </c>
      <c r="I1164">
        <v>3.0940727785501601</v>
      </c>
      <c r="J1164">
        <v>2.9943494374564401</v>
      </c>
      <c r="K1164">
        <v>3.2696855869823702</v>
      </c>
      <c r="L1164">
        <v>3.16187519881783</v>
      </c>
      <c r="M1164">
        <v>3.0442111080032999</v>
      </c>
      <c r="N1164">
        <v>3.0438027340648999</v>
      </c>
      <c r="Q1164">
        <f t="shared" si="90"/>
        <v>4.03</v>
      </c>
      <c r="R1164">
        <f t="shared" si="92"/>
        <v>3.0800422474422158</v>
      </c>
      <c r="S1164">
        <f t="shared" si="93"/>
        <v>0.94995775255778447</v>
      </c>
      <c r="T1164">
        <f t="shared" si="94"/>
        <v>0.90241973164463685</v>
      </c>
    </row>
    <row r="1165" spans="1:20" hidden="1" x14ac:dyDescent="0.25">
      <c r="A1165" t="str">
        <f t="shared" si="91"/>
        <v>RIP</v>
      </c>
      <c r="B1165" t="s">
        <v>1171</v>
      </c>
      <c r="C1165">
        <v>1.2929110319999999</v>
      </c>
      <c r="D1165">
        <v>8.7872188000000004E-2</v>
      </c>
      <c r="E1165">
        <v>0.75094652399999995</v>
      </c>
      <c r="F1165">
        <v>0.55456680700000005</v>
      </c>
      <c r="G1165">
        <v>0.85965832399999997</v>
      </c>
      <c r="H1165">
        <v>3.75</v>
      </c>
      <c r="I1165">
        <v>3.3805791588698799</v>
      </c>
      <c r="J1165">
        <v>3.2018718694402399</v>
      </c>
      <c r="K1165">
        <v>3.42745840620436</v>
      </c>
      <c r="L1165">
        <v>3.3083916093760899</v>
      </c>
      <c r="M1165">
        <v>3.2912255141550602</v>
      </c>
      <c r="N1165">
        <v>3.2900123573022402</v>
      </c>
      <c r="Q1165">
        <f t="shared" si="90"/>
        <v>3.75</v>
      </c>
      <c r="R1165">
        <f t="shared" si="92"/>
        <v>3.3088580237557181</v>
      </c>
      <c r="S1165">
        <f t="shared" si="93"/>
        <v>0.44114197624428186</v>
      </c>
      <c r="T1165">
        <f t="shared" si="94"/>
        <v>0.19460624320471054</v>
      </c>
    </row>
    <row r="1166" spans="1:20" hidden="1" x14ac:dyDescent="0.25">
      <c r="A1166" t="str">
        <f t="shared" si="91"/>
        <v>RIP</v>
      </c>
      <c r="B1166" t="s">
        <v>1172</v>
      </c>
      <c r="C1166">
        <v>1.0393006309999999</v>
      </c>
      <c r="D1166">
        <v>8.9083657999999996E-2</v>
      </c>
      <c r="E1166">
        <v>0.74397290999999999</v>
      </c>
      <c r="F1166">
        <v>0.52939518200000002</v>
      </c>
      <c r="G1166">
        <v>0.85517489300000005</v>
      </c>
      <c r="H1166">
        <v>3.63</v>
      </c>
      <c r="I1166">
        <v>3.6488499784917399</v>
      </c>
      <c r="J1166">
        <v>3.3990093398523999</v>
      </c>
      <c r="K1166">
        <v>3.9334290052377598</v>
      </c>
      <c r="L1166">
        <v>3.9476569038923799</v>
      </c>
      <c r="M1166">
        <v>3.5239296591720701</v>
      </c>
      <c r="N1166">
        <v>3.5217148034180301</v>
      </c>
      <c r="Q1166">
        <f t="shared" si="90"/>
        <v>3.63</v>
      </c>
      <c r="R1166">
        <f t="shared" si="92"/>
        <v>3.5419479768938649</v>
      </c>
      <c r="S1166">
        <f t="shared" si="93"/>
        <v>8.8052023106135024E-2</v>
      </c>
      <c r="T1166">
        <f t="shared" si="94"/>
        <v>7.7531587730833365E-3</v>
      </c>
    </row>
    <row r="1167" spans="1:20" hidden="1" x14ac:dyDescent="0.25">
      <c r="A1167" t="str">
        <f t="shared" si="91"/>
        <v>RIP</v>
      </c>
      <c r="B1167" t="s">
        <v>1173</v>
      </c>
      <c r="C1167">
        <v>1.2780638419999999</v>
      </c>
      <c r="D1167">
        <v>9.0465557000000002E-2</v>
      </c>
      <c r="E1167">
        <v>0.754204867</v>
      </c>
      <c r="F1167">
        <v>0.53405424000000001</v>
      </c>
      <c r="G1167">
        <v>0.85708777800000002</v>
      </c>
      <c r="H1167">
        <v>3.57</v>
      </c>
      <c r="I1167">
        <v>3.39555946338852</v>
      </c>
      <c r="J1167">
        <v>3.2482282849870199</v>
      </c>
      <c r="K1167">
        <v>3.4435050900148099</v>
      </c>
      <c r="L1167">
        <v>3.34669050171766</v>
      </c>
      <c r="M1167">
        <v>3.3218938741877699</v>
      </c>
      <c r="N1167">
        <v>3.3210769777790299</v>
      </c>
      <c r="Q1167">
        <f t="shared" si="90"/>
        <v>3.57</v>
      </c>
      <c r="R1167">
        <f t="shared" si="92"/>
        <v>3.3403304967139786</v>
      </c>
      <c r="S1167">
        <f t="shared" si="93"/>
        <v>0.2296695032860212</v>
      </c>
      <c r="T1167">
        <f t="shared" si="94"/>
        <v>5.2748080739647707E-2</v>
      </c>
    </row>
    <row r="1168" spans="1:20" hidden="1" x14ac:dyDescent="0.25">
      <c r="A1168" t="str">
        <f t="shared" si="91"/>
        <v>RIP</v>
      </c>
      <c r="B1168" t="s">
        <v>1174</v>
      </c>
      <c r="C1168">
        <v>1.2316555259999999</v>
      </c>
      <c r="D1168">
        <v>8.9154999999999998E-2</v>
      </c>
      <c r="E1168">
        <v>0.75195773600000004</v>
      </c>
      <c r="F1168">
        <v>0.53221663299999999</v>
      </c>
      <c r="G1168">
        <v>0.85500738899999995</v>
      </c>
      <c r="H1168">
        <v>3.8</v>
      </c>
      <c r="I1168">
        <v>3.3660814833758201</v>
      </c>
      <c r="J1168">
        <v>3.2320768656377501</v>
      </c>
      <c r="K1168">
        <v>3.4473878138448102</v>
      </c>
      <c r="L1168">
        <v>3.3829119471464599</v>
      </c>
      <c r="M1168">
        <v>3.29907917450678</v>
      </c>
      <c r="N1168">
        <v>3.2983987160849102</v>
      </c>
      <c r="Q1168">
        <f t="shared" si="90"/>
        <v>3.8</v>
      </c>
      <c r="R1168">
        <f t="shared" si="92"/>
        <v>3.3358689348267667</v>
      </c>
      <c r="S1168">
        <f t="shared" si="93"/>
        <v>0.4641310651732331</v>
      </c>
      <c r="T1168">
        <f t="shared" si="94"/>
        <v>0.21541764565883995</v>
      </c>
    </row>
    <row r="1169" spans="1:20" hidden="1" x14ac:dyDescent="0.25">
      <c r="A1169" t="str">
        <f t="shared" si="91"/>
        <v>RIP</v>
      </c>
      <c r="B1169" t="s">
        <v>1175</v>
      </c>
      <c r="C1169">
        <v>0.79945109199999997</v>
      </c>
      <c r="D1169">
        <v>8.9183162999999996E-2</v>
      </c>
      <c r="E1169">
        <v>0.75102595699999997</v>
      </c>
      <c r="F1169">
        <v>0.37584270800000003</v>
      </c>
      <c r="G1169">
        <v>0.85297974300000001</v>
      </c>
      <c r="H1169">
        <v>3.75</v>
      </c>
      <c r="I1169">
        <v>3.3150303484427401</v>
      </c>
      <c r="J1169">
        <v>3.0896517053575399</v>
      </c>
      <c r="K1169">
        <v>3.6643778580820601</v>
      </c>
      <c r="L1169">
        <v>3.9300277194393298</v>
      </c>
      <c r="M1169">
        <v>3.20234102690014</v>
      </c>
      <c r="N1169">
        <v>3.2003576627274199</v>
      </c>
      <c r="Q1169">
        <f t="shared" si="90"/>
        <v>3.75</v>
      </c>
      <c r="R1169">
        <f t="shared" si="92"/>
        <v>3.1897787746594375</v>
      </c>
      <c r="S1169">
        <f t="shared" si="93"/>
        <v>0.56022122534056251</v>
      </c>
      <c r="T1169">
        <f t="shared" si="94"/>
        <v>0.31384782132208133</v>
      </c>
    </row>
    <row r="1170" spans="1:20" hidden="1" x14ac:dyDescent="0.25">
      <c r="A1170" t="str">
        <f t="shared" si="91"/>
        <v>RIP</v>
      </c>
      <c r="B1170" t="s">
        <v>1176</v>
      </c>
      <c r="C1170">
        <v>1.066186681</v>
      </c>
      <c r="D1170">
        <v>9.2104955000000002E-2</v>
      </c>
      <c r="E1170">
        <v>0.74498026500000003</v>
      </c>
      <c r="F1170">
        <v>0.49704795299999999</v>
      </c>
      <c r="G1170">
        <v>0.85637068999999999</v>
      </c>
      <c r="H1170">
        <v>3.32</v>
      </c>
      <c r="I1170">
        <v>3.7040989045674002</v>
      </c>
      <c r="J1170">
        <v>3.3777225073818502</v>
      </c>
      <c r="K1170">
        <v>3.6847745824842399</v>
      </c>
      <c r="L1170">
        <v>3.7264905221113498</v>
      </c>
      <c r="M1170">
        <v>3.5409107059746199</v>
      </c>
      <c r="N1170">
        <v>3.5371483202610801</v>
      </c>
      <c r="Q1170">
        <f t="shared" si="90"/>
        <v>3.32</v>
      </c>
      <c r="R1170">
        <f t="shared" si="92"/>
        <v>3.4876438639068956</v>
      </c>
      <c r="S1170">
        <f t="shared" si="93"/>
        <v>-0.16764386390689578</v>
      </c>
      <c r="T1170">
        <f t="shared" si="94"/>
        <v>2.8104465105633795E-2</v>
      </c>
    </row>
    <row r="1171" spans="1:20" hidden="1" x14ac:dyDescent="0.25">
      <c r="A1171" t="str">
        <f t="shared" si="91"/>
        <v>RIP</v>
      </c>
      <c r="B1171" t="s">
        <v>1177</v>
      </c>
      <c r="C1171">
        <v>1.195321852</v>
      </c>
      <c r="D1171">
        <v>9.0917406000000006E-2</v>
      </c>
      <c r="E1171">
        <v>0.75011445099999996</v>
      </c>
      <c r="F1171">
        <v>0.53782271699999995</v>
      </c>
      <c r="G1171">
        <v>0.85685319100000001</v>
      </c>
      <c r="H1171">
        <v>3.64</v>
      </c>
      <c r="I1171">
        <v>3.56738164437798</v>
      </c>
      <c r="J1171">
        <v>3.3568809040696799</v>
      </c>
      <c r="K1171">
        <v>3.5427590134991398</v>
      </c>
      <c r="L1171">
        <v>3.4931651455425299</v>
      </c>
      <c r="M1171">
        <v>3.4621312742238302</v>
      </c>
      <c r="N1171">
        <v>3.46053107478334</v>
      </c>
      <c r="Q1171">
        <f t="shared" si="90"/>
        <v>3.64</v>
      </c>
      <c r="R1171">
        <f t="shared" si="92"/>
        <v>3.4676549632005687</v>
      </c>
      <c r="S1171">
        <f t="shared" si="93"/>
        <v>0.17234503679943147</v>
      </c>
      <c r="T1171">
        <f t="shared" si="94"/>
        <v>2.9702811709397387E-2</v>
      </c>
    </row>
    <row r="1172" spans="1:20" hidden="1" x14ac:dyDescent="0.25">
      <c r="A1172" t="str">
        <f t="shared" si="91"/>
        <v>RIP</v>
      </c>
      <c r="B1172" t="s">
        <v>1178</v>
      </c>
      <c r="C1172">
        <v>1.0537374260000001</v>
      </c>
      <c r="D1172">
        <v>8.9202112E-2</v>
      </c>
      <c r="E1172">
        <v>0.75770232900000001</v>
      </c>
      <c r="F1172">
        <v>0.50555917100000003</v>
      </c>
      <c r="G1172">
        <v>0.86114731099999997</v>
      </c>
      <c r="H1172">
        <v>3.83</v>
      </c>
      <c r="I1172">
        <v>3.51703021136845</v>
      </c>
      <c r="J1172">
        <v>3.32277664435947</v>
      </c>
      <c r="K1172">
        <v>3.6106058211922898</v>
      </c>
      <c r="L1172">
        <v>3.6547817100900701</v>
      </c>
      <c r="M1172">
        <v>3.41990342786396</v>
      </c>
      <c r="N1172">
        <v>3.4185239276392001</v>
      </c>
      <c r="Q1172">
        <f t="shared" si="90"/>
        <v>3.83</v>
      </c>
      <c r="R1172">
        <f t="shared" si="92"/>
        <v>3.4484380051027195</v>
      </c>
      <c r="S1172">
        <f t="shared" si="93"/>
        <v>0.3815619948972806</v>
      </c>
      <c r="T1172">
        <f t="shared" si="94"/>
        <v>0.14558955594999237</v>
      </c>
    </row>
    <row r="1173" spans="1:20" hidden="1" x14ac:dyDescent="0.25">
      <c r="A1173" t="str">
        <f t="shared" si="91"/>
        <v>RIP</v>
      </c>
      <c r="B1173" t="s">
        <v>1179</v>
      </c>
      <c r="C1173">
        <v>1.016532947</v>
      </c>
      <c r="D1173">
        <v>9.0541528999999996E-2</v>
      </c>
      <c r="E1173">
        <v>0.75730426699999998</v>
      </c>
      <c r="F1173">
        <v>0.50241215400000006</v>
      </c>
      <c r="G1173">
        <v>0.85518762100000001</v>
      </c>
      <c r="H1173">
        <v>3.61</v>
      </c>
      <c r="I1173">
        <v>3.5383788339842801</v>
      </c>
      <c r="J1173">
        <v>3.4014800311190001</v>
      </c>
      <c r="K1173">
        <v>3.8311726782731301</v>
      </c>
      <c r="L1173">
        <v>3.8851360677109601</v>
      </c>
      <c r="M1173">
        <v>3.4699294325516399</v>
      </c>
      <c r="N1173">
        <v>3.4692542348942501</v>
      </c>
      <c r="Q1173">
        <f t="shared" si="90"/>
        <v>3.61</v>
      </c>
      <c r="R1173">
        <f t="shared" si="92"/>
        <v>3.5300551579857116</v>
      </c>
      <c r="S1173">
        <f t="shared" si="93"/>
        <v>7.9944842014288309E-2</v>
      </c>
      <c r="T1173">
        <f t="shared" si="94"/>
        <v>6.3911777646895171E-3</v>
      </c>
    </row>
    <row r="1174" spans="1:20" hidden="1" x14ac:dyDescent="0.25">
      <c r="A1174" t="str">
        <f t="shared" si="91"/>
        <v>RIP</v>
      </c>
      <c r="B1174" t="s">
        <v>1180</v>
      </c>
      <c r="C1174">
        <v>0.93745586800000003</v>
      </c>
      <c r="D1174">
        <v>9.0421789000000002E-2</v>
      </c>
      <c r="E1174">
        <v>0.75520847000000002</v>
      </c>
      <c r="F1174">
        <v>0.471139154</v>
      </c>
      <c r="G1174">
        <v>0.85379861099999999</v>
      </c>
      <c r="H1174">
        <v>3.3</v>
      </c>
      <c r="I1174">
        <v>3.5172787904954999</v>
      </c>
      <c r="J1174">
        <v>3.3575595089523702</v>
      </c>
      <c r="K1174">
        <v>3.82419467696409</v>
      </c>
      <c r="L1174">
        <v>3.9400273135755399</v>
      </c>
      <c r="M1174">
        <v>3.4374191497239299</v>
      </c>
      <c r="N1174">
        <v>3.4364913572806599</v>
      </c>
      <c r="Q1174">
        <f t="shared" si="90"/>
        <v>3.3</v>
      </c>
      <c r="R1174">
        <f t="shared" si="92"/>
        <v>3.4840338509287534</v>
      </c>
      <c r="S1174">
        <f t="shared" si="93"/>
        <v>-0.18403385092875357</v>
      </c>
      <c r="T1174">
        <f t="shared" si="94"/>
        <v>3.3868458287666693E-2</v>
      </c>
    </row>
    <row r="1175" spans="1:20" hidden="1" x14ac:dyDescent="0.25">
      <c r="A1175" t="str">
        <f t="shared" si="91"/>
        <v>RIP</v>
      </c>
      <c r="B1175" t="s">
        <v>1181</v>
      </c>
      <c r="C1175">
        <v>0.90362422899999995</v>
      </c>
      <c r="D1175">
        <v>9.3359758000000001E-2</v>
      </c>
      <c r="E1175">
        <v>0.75460991200000005</v>
      </c>
      <c r="F1175">
        <v>0.49478390799999999</v>
      </c>
      <c r="G1175">
        <v>0.86097765500000001</v>
      </c>
      <c r="H1175">
        <v>3.3</v>
      </c>
      <c r="I1175">
        <v>3.9354165450359502</v>
      </c>
      <c r="J1175">
        <v>3.6016470790679902</v>
      </c>
      <c r="K1175">
        <v>3.86673086953058</v>
      </c>
      <c r="L1175">
        <v>3.9864657793681699</v>
      </c>
      <c r="M1175">
        <v>3.76853181205197</v>
      </c>
      <c r="N1175">
        <v>3.7648348575129602</v>
      </c>
      <c r="Q1175">
        <f t="shared" si="90"/>
        <v>3.3</v>
      </c>
      <c r="R1175">
        <f t="shared" si="92"/>
        <v>3.7417102261212705</v>
      </c>
      <c r="S1175">
        <f t="shared" si="93"/>
        <v>-0.44171022612127064</v>
      </c>
      <c r="T1175">
        <f t="shared" si="94"/>
        <v>0.19510792386010403</v>
      </c>
    </row>
    <row r="1176" spans="1:20" hidden="1" x14ac:dyDescent="0.25">
      <c r="A1176" t="str">
        <f t="shared" si="91"/>
        <v>RIP</v>
      </c>
      <c r="B1176" t="s">
        <v>1182</v>
      </c>
      <c r="C1176">
        <v>0.96675213800000004</v>
      </c>
      <c r="D1176">
        <v>9.3438800000000002E-2</v>
      </c>
      <c r="E1176">
        <v>0.76371317500000002</v>
      </c>
      <c r="F1176">
        <v>0.49966962500000001</v>
      </c>
      <c r="G1176">
        <v>0.86655026499999999</v>
      </c>
      <c r="H1176">
        <v>3.49</v>
      </c>
      <c r="I1176">
        <v>3.8839602515099898</v>
      </c>
      <c r="J1176">
        <v>3.5746219147064502</v>
      </c>
      <c r="K1176">
        <v>3.7979798369168298</v>
      </c>
      <c r="L1176">
        <v>3.87868129363522</v>
      </c>
      <c r="M1176">
        <v>3.7292910831082202</v>
      </c>
      <c r="N1176">
        <v>3.7260823167096602</v>
      </c>
      <c r="Q1176">
        <f t="shared" si="90"/>
        <v>3.49</v>
      </c>
      <c r="R1176">
        <f t="shared" si="92"/>
        <v>3.7044193117525408</v>
      </c>
      <c r="S1176">
        <f t="shared" si="93"/>
        <v>-0.21441931175254059</v>
      </c>
      <c r="T1176">
        <f t="shared" si="94"/>
        <v>4.597564125243319E-2</v>
      </c>
    </row>
    <row r="1177" spans="1:20" hidden="1" x14ac:dyDescent="0.25">
      <c r="A1177" t="str">
        <f t="shared" si="91"/>
        <v>RIP</v>
      </c>
      <c r="B1177" t="s">
        <v>1183</v>
      </c>
      <c r="C1177">
        <v>1.20571198</v>
      </c>
      <c r="D1177">
        <v>9.4939474999999995E-2</v>
      </c>
      <c r="E1177">
        <v>0.748015714</v>
      </c>
      <c r="F1177">
        <v>0.543176828</v>
      </c>
      <c r="G1177">
        <v>0.84929354199999996</v>
      </c>
      <c r="H1177">
        <v>2.95</v>
      </c>
      <c r="I1177">
        <v>3.70330318195502</v>
      </c>
      <c r="J1177">
        <v>3.5379294941282899</v>
      </c>
      <c r="K1177">
        <v>3.7538191528586302</v>
      </c>
      <c r="L1177">
        <v>3.6798984521400002</v>
      </c>
      <c r="M1177">
        <v>3.6206163380416498</v>
      </c>
      <c r="N1177">
        <v>3.6196720228686199</v>
      </c>
      <c r="Q1177">
        <f t="shared" si="90"/>
        <v>2.95</v>
      </c>
      <c r="R1177">
        <f t="shared" si="92"/>
        <v>3.6374251840641847</v>
      </c>
      <c r="S1177">
        <f t="shared" si="93"/>
        <v>-0.68742518406418451</v>
      </c>
      <c r="T1177">
        <f t="shared" si="94"/>
        <v>0.47255338368567795</v>
      </c>
    </row>
    <row r="1178" spans="1:20" hidden="1" x14ac:dyDescent="0.25">
      <c r="A1178" t="str">
        <f t="shared" si="91"/>
        <v>RIP</v>
      </c>
      <c r="B1178" t="s">
        <v>1184</v>
      </c>
      <c r="C1178">
        <v>1.3301808829999999</v>
      </c>
      <c r="D1178">
        <v>9.3527066000000006E-2</v>
      </c>
      <c r="E1178">
        <v>0.73799877400000002</v>
      </c>
      <c r="F1178">
        <v>0.500826628</v>
      </c>
      <c r="G1178">
        <v>0.83802854900000001</v>
      </c>
      <c r="H1178">
        <v>3.39</v>
      </c>
      <c r="I1178">
        <v>3.2618794546576799</v>
      </c>
      <c r="J1178">
        <v>3.1779006152173599</v>
      </c>
      <c r="K1178">
        <v>3.42041185443549</v>
      </c>
      <c r="L1178">
        <v>3.3517519876071602</v>
      </c>
      <c r="M1178">
        <v>3.2198900349375199</v>
      </c>
      <c r="N1178">
        <v>3.2196162388895799</v>
      </c>
      <c r="Q1178">
        <f t="shared" si="90"/>
        <v>3.39</v>
      </c>
      <c r="R1178">
        <f t="shared" si="92"/>
        <v>3.2290601138090311</v>
      </c>
      <c r="S1178">
        <f t="shared" si="93"/>
        <v>0.16093988619096899</v>
      </c>
      <c r="T1178">
        <f t="shared" si="94"/>
        <v>2.5901646967162052E-2</v>
      </c>
    </row>
    <row r="1179" spans="1:20" hidden="1" x14ac:dyDescent="0.25">
      <c r="A1179" t="str">
        <f t="shared" si="91"/>
        <v>RIP</v>
      </c>
      <c r="B1179" t="s">
        <v>1185</v>
      </c>
      <c r="C1179">
        <v>1.1874513959999999</v>
      </c>
      <c r="D1179">
        <v>9.9758410000000006E-2</v>
      </c>
      <c r="E1179">
        <v>0.73899103899999996</v>
      </c>
      <c r="F1179">
        <v>0.470402088</v>
      </c>
      <c r="G1179">
        <v>0.83929451899999996</v>
      </c>
      <c r="H1179">
        <v>3.59</v>
      </c>
      <c r="I1179">
        <v>3.6951789483864199</v>
      </c>
      <c r="J1179">
        <v>3.5150281147810798</v>
      </c>
      <c r="K1179">
        <v>3.4682520288685401</v>
      </c>
      <c r="L1179">
        <v>3.4865828284482401</v>
      </c>
      <c r="M1179">
        <v>3.6051035315837501</v>
      </c>
      <c r="N1179">
        <v>3.6039780649617499</v>
      </c>
      <c r="Q1179">
        <f t="shared" si="90"/>
        <v>3.59</v>
      </c>
      <c r="R1179">
        <f t="shared" si="92"/>
        <v>3.5515063201783574</v>
      </c>
      <c r="S1179">
        <f t="shared" si="93"/>
        <v>3.8493679821642424E-2</v>
      </c>
      <c r="T1179">
        <f t="shared" si="94"/>
        <v>1.4817633862111211E-3</v>
      </c>
    </row>
    <row r="1180" spans="1:20" hidden="1" x14ac:dyDescent="0.25">
      <c r="A1180" t="str">
        <f t="shared" si="91"/>
        <v>RIP</v>
      </c>
      <c r="B1180" t="s">
        <v>1186</v>
      </c>
      <c r="C1180">
        <v>1.109392699</v>
      </c>
      <c r="D1180">
        <v>9.7884392000000001E-2</v>
      </c>
      <c r="E1180">
        <v>0.73670912200000005</v>
      </c>
      <c r="F1180">
        <v>0.504883309</v>
      </c>
      <c r="G1180">
        <v>0.83642175600000002</v>
      </c>
      <c r="H1180">
        <v>4.0999999999999996</v>
      </c>
      <c r="I1180">
        <v>3.7707668145662798</v>
      </c>
      <c r="J1180">
        <v>3.61739259324384</v>
      </c>
      <c r="K1180">
        <v>3.9885016180403299</v>
      </c>
      <c r="L1180">
        <v>3.9928745066417202</v>
      </c>
      <c r="M1180">
        <v>3.6940797039050599</v>
      </c>
      <c r="N1180">
        <v>3.6932836265120201</v>
      </c>
      <c r="Q1180">
        <f t="shared" si="90"/>
        <v>4.0999999999999996</v>
      </c>
      <c r="R1180">
        <f t="shared" si="92"/>
        <v>3.7011926367637091</v>
      </c>
      <c r="S1180">
        <f t="shared" si="93"/>
        <v>0.39880736323629051</v>
      </c>
      <c r="T1180">
        <f t="shared" si="94"/>
        <v>0.15904731297148256</v>
      </c>
    </row>
    <row r="1181" spans="1:20" hidden="1" x14ac:dyDescent="0.25">
      <c r="A1181" t="str">
        <f t="shared" si="91"/>
        <v>RIP</v>
      </c>
      <c r="B1181" t="s">
        <v>1187</v>
      </c>
      <c r="C1181">
        <v>1.3335294129999999</v>
      </c>
      <c r="D1181">
        <v>9.5889827999999996E-2</v>
      </c>
      <c r="E1181">
        <v>0.72035914400000001</v>
      </c>
      <c r="F1181">
        <v>0.53303018700000004</v>
      </c>
      <c r="G1181">
        <v>0.82431792100000001</v>
      </c>
      <c r="H1181">
        <v>3.7</v>
      </c>
      <c r="I1181">
        <v>3.4834811761811402</v>
      </c>
      <c r="J1181">
        <v>3.3717185670386098</v>
      </c>
      <c r="K1181">
        <v>3.4449572515815499</v>
      </c>
      <c r="L1181">
        <v>3.37889098159323</v>
      </c>
      <c r="M1181">
        <v>3.4275998716098699</v>
      </c>
      <c r="N1181">
        <v>3.4271443155577002</v>
      </c>
      <c r="Q1181">
        <f t="shared" si="90"/>
        <v>3.7</v>
      </c>
      <c r="R1181">
        <f t="shared" si="92"/>
        <v>3.4325725376292828</v>
      </c>
      <c r="S1181">
        <f t="shared" si="93"/>
        <v>0.26742746237071735</v>
      </c>
      <c r="T1181">
        <f t="shared" si="94"/>
        <v>7.1517447630041447E-2</v>
      </c>
    </row>
    <row r="1182" spans="1:20" hidden="1" x14ac:dyDescent="0.25">
      <c r="A1182" t="str">
        <f t="shared" si="91"/>
        <v>RIP</v>
      </c>
      <c r="B1182" t="s">
        <v>1188</v>
      </c>
      <c r="C1182">
        <v>1.426218116</v>
      </c>
      <c r="D1182">
        <v>8.7422316E-2</v>
      </c>
      <c r="E1182">
        <v>0.73805916900000001</v>
      </c>
      <c r="F1182">
        <v>0.58193637099999995</v>
      </c>
      <c r="G1182">
        <v>0.84863293900000003</v>
      </c>
      <c r="H1182">
        <v>3.86</v>
      </c>
      <c r="I1182">
        <v>3.2634081287336598</v>
      </c>
      <c r="J1182">
        <v>3.1326805956249202</v>
      </c>
      <c r="K1182">
        <v>3.4569306169401699</v>
      </c>
      <c r="L1182">
        <v>3.2085549449344399</v>
      </c>
      <c r="M1182">
        <v>3.19804436217929</v>
      </c>
      <c r="N1182">
        <v>3.1973763182472901</v>
      </c>
      <c r="Q1182">
        <f t="shared" si="90"/>
        <v>3.86</v>
      </c>
      <c r="R1182">
        <f t="shared" si="92"/>
        <v>3.2281738952327279</v>
      </c>
      <c r="S1182">
        <f t="shared" si="93"/>
        <v>0.63182610476727197</v>
      </c>
      <c r="T1182">
        <f t="shared" si="94"/>
        <v>0.39920422666538374</v>
      </c>
    </row>
    <row r="1183" spans="1:20" hidden="1" x14ac:dyDescent="0.25">
      <c r="A1183" t="str">
        <f t="shared" si="91"/>
        <v>RIP</v>
      </c>
      <c r="B1183" t="s">
        <v>1189</v>
      </c>
      <c r="C1183">
        <v>1.412787268</v>
      </c>
      <c r="D1183">
        <v>8.7699985999999994E-2</v>
      </c>
      <c r="E1183">
        <v>0.74061703999999995</v>
      </c>
      <c r="F1183">
        <v>0.60855163300000004</v>
      </c>
      <c r="G1183">
        <v>0.84853623700000003</v>
      </c>
      <c r="H1183">
        <v>3.57</v>
      </c>
      <c r="I1183">
        <v>3.3612570969887301</v>
      </c>
      <c r="J1183">
        <v>3.2581212955395702</v>
      </c>
      <c r="K1183">
        <v>3.7109596958761002</v>
      </c>
      <c r="L1183">
        <v>3.3983503878755301</v>
      </c>
      <c r="M1183">
        <v>3.3096891962641499</v>
      </c>
      <c r="N1183">
        <v>3.3092874350050798</v>
      </c>
      <c r="Q1183">
        <f t="shared" si="90"/>
        <v>3.57</v>
      </c>
      <c r="R1183">
        <f t="shared" si="92"/>
        <v>3.3724235485252256</v>
      </c>
      <c r="S1183">
        <f t="shared" si="93"/>
        <v>0.19757645147477421</v>
      </c>
      <c r="T1183">
        <f t="shared" si="94"/>
        <v>3.9036454177363809E-2</v>
      </c>
    </row>
    <row r="1184" spans="1:20" hidden="1" x14ac:dyDescent="0.25">
      <c r="A1184" t="str">
        <f t="shared" si="91"/>
        <v>RIP</v>
      </c>
      <c r="B1184" t="s">
        <v>1190</v>
      </c>
      <c r="C1184">
        <v>1.4215282339999999</v>
      </c>
      <c r="D1184">
        <v>8.6282233E-2</v>
      </c>
      <c r="E1184">
        <v>0.73677278999999996</v>
      </c>
      <c r="F1184">
        <v>0.61572026499999999</v>
      </c>
      <c r="G1184">
        <v>0.84611072799999998</v>
      </c>
      <c r="H1184">
        <v>3.74</v>
      </c>
      <c r="I1184">
        <v>3.3128403437281499</v>
      </c>
      <c r="J1184">
        <v>3.21758816346706</v>
      </c>
      <c r="K1184">
        <v>3.8023963169825001</v>
      </c>
      <c r="L1184">
        <v>3.4485362023056498</v>
      </c>
      <c r="M1184">
        <v>3.2652142535976001</v>
      </c>
      <c r="N1184">
        <v>3.2648669004165898</v>
      </c>
      <c r="Q1184">
        <f t="shared" si="90"/>
        <v>3.74</v>
      </c>
      <c r="R1184">
        <f t="shared" si="92"/>
        <v>3.3367723311574338</v>
      </c>
      <c r="S1184">
        <f t="shared" si="93"/>
        <v>0.40322766884256644</v>
      </c>
      <c r="T1184">
        <f t="shared" si="94"/>
        <v>0.16259255292021044</v>
      </c>
    </row>
    <row r="1185" spans="1:20" hidden="1" x14ac:dyDescent="0.25">
      <c r="A1185" t="str">
        <f t="shared" si="91"/>
        <v>RIP</v>
      </c>
      <c r="B1185" t="s">
        <v>1191</v>
      </c>
      <c r="C1185">
        <v>1.422984072</v>
      </c>
      <c r="D1185">
        <v>8.8488012000000005E-2</v>
      </c>
      <c r="E1185">
        <v>0.73482738400000003</v>
      </c>
      <c r="F1185">
        <v>0.62009540799999996</v>
      </c>
      <c r="G1185">
        <v>0.84227927899999999</v>
      </c>
      <c r="H1185">
        <v>3.35</v>
      </c>
      <c r="I1185">
        <v>3.4048624904892</v>
      </c>
      <c r="J1185">
        <v>3.3114185470120598</v>
      </c>
      <c r="K1185">
        <v>3.77288407759124</v>
      </c>
      <c r="L1185">
        <v>3.4438820747337</v>
      </c>
      <c r="M1185">
        <v>3.3581405187506301</v>
      </c>
      <c r="N1185">
        <v>3.35781548049198</v>
      </c>
      <c r="Q1185">
        <f t="shared" si="90"/>
        <v>3.35</v>
      </c>
      <c r="R1185">
        <f t="shared" si="92"/>
        <v>3.428776743042901</v>
      </c>
      <c r="S1185">
        <f t="shared" si="93"/>
        <v>-7.8776743042900943E-2</v>
      </c>
      <c r="T1185">
        <f t="shared" si="94"/>
        <v>6.2057752444472421E-3</v>
      </c>
    </row>
    <row r="1186" spans="1:20" hidden="1" x14ac:dyDescent="0.25">
      <c r="A1186" t="str">
        <f t="shared" si="91"/>
        <v>RIP</v>
      </c>
      <c r="B1186" t="s">
        <v>1192</v>
      </c>
      <c r="C1186">
        <v>1.3597398279999999</v>
      </c>
      <c r="D1186">
        <v>8.7816569999999997E-2</v>
      </c>
      <c r="E1186">
        <v>0.73546786399999997</v>
      </c>
      <c r="F1186">
        <v>0.56764270900000002</v>
      </c>
      <c r="G1186">
        <v>0.84474275799999998</v>
      </c>
      <c r="H1186">
        <v>2.94</v>
      </c>
      <c r="I1186">
        <v>3.28526154828171</v>
      </c>
      <c r="J1186">
        <v>3.15752018492367</v>
      </c>
      <c r="K1186">
        <v>3.6276329026120102</v>
      </c>
      <c r="L1186">
        <v>3.42370171059315</v>
      </c>
      <c r="M1186">
        <v>3.22139086660269</v>
      </c>
      <c r="N1186">
        <v>3.2207576207242101</v>
      </c>
      <c r="Q1186">
        <f t="shared" si="90"/>
        <v>2.94</v>
      </c>
      <c r="R1186">
        <f t="shared" si="92"/>
        <v>3.2575787994588197</v>
      </c>
      <c r="S1186">
        <f t="shared" si="93"/>
        <v>-0.31757879945881973</v>
      </c>
      <c r="T1186">
        <f t="shared" si="94"/>
        <v>0.10085629386570524</v>
      </c>
    </row>
    <row r="1187" spans="1:20" hidden="1" x14ac:dyDescent="0.25">
      <c r="A1187" t="str">
        <f t="shared" si="91"/>
        <v>RIP</v>
      </c>
      <c r="B1187" t="s">
        <v>1193</v>
      </c>
      <c r="C1187">
        <v>1.5429049990000001</v>
      </c>
      <c r="D1187">
        <v>9.5137309000000003E-2</v>
      </c>
      <c r="E1187">
        <v>0.74049343700000003</v>
      </c>
      <c r="F1187">
        <v>0.62507011300000004</v>
      </c>
      <c r="G1187">
        <v>0.85070701599999998</v>
      </c>
      <c r="H1187">
        <v>3.96</v>
      </c>
      <c r="I1187">
        <v>3.7344891059433598</v>
      </c>
      <c r="J1187">
        <v>3.4983325953061599</v>
      </c>
      <c r="K1187">
        <v>3.42811634653029</v>
      </c>
      <c r="L1187">
        <v>3.1169817651654501</v>
      </c>
      <c r="M1187">
        <v>3.6164108506247601</v>
      </c>
      <c r="N1187">
        <v>3.6144826692263199</v>
      </c>
      <c r="Q1187">
        <f t="shared" si="90"/>
        <v>3.96</v>
      </c>
      <c r="R1187">
        <f t="shared" si="92"/>
        <v>3.5748639525188652</v>
      </c>
      <c r="S1187">
        <f t="shared" si="93"/>
        <v>0.38513604748113472</v>
      </c>
      <c r="T1187">
        <f t="shared" si="94"/>
        <v>0.14832977506939085</v>
      </c>
    </row>
    <row r="1188" spans="1:20" hidden="1" x14ac:dyDescent="0.25">
      <c r="A1188" t="str">
        <f t="shared" si="91"/>
        <v>RIP</v>
      </c>
      <c r="B1188" t="s">
        <v>1194</v>
      </c>
      <c r="C1188">
        <v>1.5088688079999999</v>
      </c>
      <c r="D1188">
        <v>9.6855470999999999E-2</v>
      </c>
      <c r="E1188">
        <v>0.74162908500000002</v>
      </c>
      <c r="F1188">
        <v>0.60782368099999995</v>
      </c>
      <c r="G1188">
        <v>0.85064111899999995</v>
      </c>
      <c r="H1188">
        <v>3.69</v>
      </c>
      <c r="I1188">
        <v>3.8206266576032699</v>
      </c>
      <c r="J1188">
        <v>3.55287721094169</v>
      </c>
      <c r="K1188">
        <v>3.3064706231236198</v>
      </c>
      <c r="L1188">
        <v>3.05814696491713</v>
      </c>
      <c r="M1188">
        <v>3.6867519342724799</v>
      </c>
      <c r="N1188">
        <v>3.68432047782423</v>
      </c>
      <c r="Q1188">
        <f t="shared" si="90"/>
        <v>3.69</v>
      </c>
      <c r="R1188">
        <f t="shared" si="92"/>
        <v>3.619332336777294</v>
      </c>
      <c r="S1188">
        <f t="shared" si="93"/>
        <v>7.0667663222705901E-2</v>
      </c>
      <c r="T1188">
        <f t="shared" si="94"/>
        <v>4.9939186253577803E-3</v>
      </c>
    </row>
    <row r="1189" spans="1:20" hidden="1" x14ac:dyDescent="0.25">
      <c r="A1189" t="str">
        <f t="shared" si="91"/>
        <v>RIP</v>
      </c>
      <c r="B1189" t="s">
        <v>1195</v>
      </c>
      <c r="C1189">
        <v>1.4906438179999999</v>
      </c>
      <c r="D1189">
        <v>9.4273439000000001E-2</v>
      </c>
      <c r="E1189">
        <v>0.73683033499999995</v>
      </c>
      <c r="F1189">
        <v>0.595412367</v>
      </c>
      <c r="G1189">
        <v>0.84889523600000005</v>
      </c>
      <c r="H1189">
        <v>3.28</v>
      </c>
      <c r="I1189">
        <v>3.6459301861045601</v>
      </c>
      <c r="J1189">
        <v>3.3961925623912501</v>
      </c>
      <c r="K1189">
        <v>3.2908039447252002</v>
      </c>
      <c r="L1189">
        <v>3.0371497952115298</v>
      </c>
      <c r="M1189">
        <v>3.52106137424791</v>
      </c>
      <c r="N1189">
        <v>3.5188465412754302</v>
      </c>
      <c r="Q1189">
        <f t="shared" si="90"/>
        <v>3.28</v>
      </c>
      <c r="R1189">
        <f t="shared" si="92"/>
        <v>3.4685630479610765</v>
      </c>
      <c r="S1189">
        <f t="shared" si="93"/>
        <v>-0.1885630479610767</v>
      </c>
      <c r="T1189">
        <f t="shared" si="94"/>
        <v>3.5556023056371309E-2</v>
      </c>
    </row>
    <row r="1190" spans="1:20" hidden="1" x14ac:dyDescent="0.25">
      <c r="A1190" t="str">
        <f t="shared" si="91"/>
        <v>RIP</v>
      </c>
      <c r="B1190" t="s">
        <v>1196</v>
      </c>
      <c r="C1190">
        <v>1.5267274710000001</v>
      </c>
      <c r="D1190">
        <v>9.3713297000000001E-2</v>
      </c>
      <c r="E1190">
        <v>0.736755936</v>
      </c>
      <c r="F1190">
        <v>0.60045682099999997</v>
      </c>
      <c r="G1190">
        <v>0.84940675799999998</v>
      </c>
      <c r="H1190">
        <v>4.1900000000000004</v>
      </c>
      <c r="I1190">
        <v>3.5959363413539802</v>
      </c>
      <c r="J1190">
        <v>3.3534818907305599</v>
      </c>
      <c r="K1190">
        <v>3.1542304703863202</v>
      </c>
      <c r="L1190">
        <v>2.8770108160580801</v>
      </c>
      <c r="M1190">
        <v>3.4747091160422698</v>
      </c>
      <c r="N1190">
        <v>3.4725937569704999</v>
      </c>
      <c r="Q1190">
        <f t="shared" si="90"/>
        <v>4.1900000000000004</v>
      </c>
      <c r="R1190">
        <f t="shared" si="92"/>
        <v>3.4230946419033934</v>
      </c>
      <c r="S1190">
        <f t="shared" si="93"/>
        <v>0.76690535809660698</v>
      </c>
      <c r="T1190">
        <f t="shared" si="94"/>
        <v>0.58814382827728495</v>
      </c>
    </row>
    <row r="1191" spans="1:20" hidden="1" x14ac:dyDescent="0.25">
      <c r="A1191" t="str">
        <f t="shared" si="91"/>
        <v>RIP</v>
      </c>
      <c r="B1191" t="s">
        <v>1197</v>
      </c>
      <c r="C1191">
        <v>1.512099276</v>
      </c>
      <c r="D1191">
        <v>9.0535283999999994E-2</v>
      </c>
      <c r="E1191">
        <v>0.73402318099999997</v>
      </c>
      <c r="F1191">
        <v>0.60263795600000003</v>
      </c>
      <c r="G1191">
        <v>0.84645599500000002</v>
      </c>
      <c r="H1191">
        <v>3.68</v>
      </c>
      <c r="I1191">
        <v>3.40516383873946</v>
      </c>
      <c r="J1191">
        <v>3.2374085202186</v>
      </c>
      <c r="K1191">
        <v>3.2171578043979201</v>
      </c>
      <c r="L1191">
        <v>2.9244520069355899</v>
      </c>
      <c r="M1191">
        <v>3.32128617947903</v>
      </c>
      <c r="N1191">
        <v>3.32022686337476</v>
      </c>
      <c r="Q1191">
        <f t="shared" si="90"/>
        <v>3.68</v>
      </c>
      <c r="R1191">
        <f t="shared" si="92"/>
        <v>3.3203552487990713</v>
      </c>
      <c r="S1191">
        <f t="shared" si="93"/>
        <v>0.35964475120092887</v>
      </c>
      <c r="T1191">
        <f t="shared" si="94"/>
        <v>0.12934434706637804</v>
      </c>
    </row>
    <row r="1192" spans="1:20" hidden="1" x14ac:dyDescent="0.25">
      <c r="A1192" t="str">
        <f t="shared" si="91"/>
        <v>RIP</v>
      </c>
      <c r="B1192" t="s">
        <v>1198</v>
      </c>
      <c r="C1192">
        <v>1.4401248959999999</v>
      </c>
      <c r="D1192">
        <v>0.100674918</v>
      </c>
      <c r="E1192">
        <v>0.743572491</v>
      </c>
      <c r="F1192">
        <v>0.58006580600000002</v>
      </c>
      <c r="G1192">
        <v>0.84684035300000005</v>
      </c>
      <c r="H1192">
        <v>3.11</v>
      </c>
      <c r="I1192">
        <v>3.9665093279848</v>
      </c>
      <c r="J1192">
        <v>3.72376734395089</v>
      </c>
      <c r="K1192">
        <v>3.52932669700097</v>
      </c>
      <c r="L1192">
        <v>3.4045535852448401</v>
      </c>
      <c r="M1192">
        <v>3.8451383359678499</v>
      </c>
      <c r="N1192">
        <v>3.84322233354075</v>
      </c>
      <c r="Q1192">
        <f t="shared" si="90"/>
        <v>3.11</v>
      </c>
      <c r="R1192">
        <f t="shared" si="92"/>
        <v>3.768460189014792</v>
      </c>
      <c r="S1192">
        <f t="shared" si="93"/>
        <v>-0.65846018901479209</v>
      </c>
      <c r="T1192">
        <f t="shared" si="94"/>
        <v>0.43356982051739573</v>
      </c>
    </row>
    <row r="1193" spans="1:20" hidden="1" x14ac:dyDescent="0.25">
      <c r="A1193" t="str">
        <f t="shared" si="91"/>
        <v>RIP</v>
      </c>
      <c r="B1193" t="s">
        <v>1199</v>
      </c>
      <c r="C1193">
        <v>1.7509847460000001</v>
      </c>
      <c r="D1193">
        <v>0.100954167</v>
      </c>
      <c r="E1193">
        <v>0.73117741599999997</v>
      </c>
      <c r="F1193">
        <v>0.57952551100000005</v>
      </c>
      <c r="G1193">
        <v>0.84029092100000002</v>
      </c>
      <c r="H1193">
        <v>3.25</v>
      </c>
      <c r="I1193">
        <v>3.6651152603616901</v>
      </c>
      <c r="J1193">
        <v>3.4051776825994602</v>
      </c>
      <c r="K1193">
        <v>2.8195291098972302</v>
      </c>
      <c r="L1193">
        <v>2.6924270313265599</v>
      </c>
      <c r="M1193">
        <v>3.5351464714805698</v>
      </c>
      <c r="N1193">
        <v>3.53275652836964</v>
      </c>
      <c r="Q1193">
        <f t="shared" si="90"/>
        <v>3.25</v>
      </c>
      <c r="R1193">
        <f t="shared" si="92"/>
        <v>3.380652358127429</v>
      </c>
      <c r="S1193">
        <f t="shared" si="93"/>
        <v>-0.13065235812742904</v>
      </c>
      <c r="T1193">
        <f t="shared" si="94"/>
        <v>1.7070038684257972E-2</v>
      </c>
    </row>
    <row r="1194" spans="1:20" hidden="1" x14ac:dyDescent="0.25">
      <c r="A1194" t="str">
        <f t="shared" si="91"/>
        <v>RIP</v>
      </c>
      <c r="B1194" t="s">
        <v>1200</v>
      </c>
      <c r="C1194">
        <v>1.7231079170000001</v>
      </c>
      <c r="D1194">
        <v>9.7064869999999998E-2</v>
      </c>
      <c r="E1194">
        <v>0.73120462500000005</v>
      </c>
      <c r="F1194">
        <v>0.53118423400000003</v>
      </c>
      <c r="G1194">
        <v>0.83911788899999995</v>
      </c>
      <c r="H1194">
        <v>3.52</v>
      </c>
      <c r="I1194">
        <v>3.20371081314287</v>
      </c>
      <c r="J1194">
        <v>3.0500394537561601</v>
      </c>
      <c r="K1194">
        <v>2.5900992649230798</v>
      </c>
      <c r="L1194">
        <v>2.3872588059727602</v>
      </c>
      <c r="M1194">
        <v>3.1268751334495102</v>
      </c>
      <c r="N1194">
        <v>3.12593096189135</v>
      </c>
      <c r="Q1194">
        <f t="shared" si="90"/>
        <v>3.52</v>
      </c>
      <c r="R1194">
        <f t="shared" si="92"/>
        <v>3.0221749199200239</v>
      </c>
      <c r="S1194">
        <f t="shared" si="93"/>
        <v>0.49782508007997617</v>
      </c>
      <c r="T1194">
        <f t="shared" si="94"/>
        <v>0.24782981035663468</v>
      </c>
    </row>
    <row r="1195" spans="1:20" hidden="1" x14ac:dyDescent="0.25">
      <c r="A1195" t="str">
        <f t="shared" si="91"/>
        <v>RIP</v>
      </c>
      <c r="B1195" t="s">
        <v>1201</v>
      </c>
      <c r="C1195">
        <v>1.7468944179999999</v>
      </c>
      <c r="D1195">
        <v>9.4743991E-2</v>
      </c>
      <c r="E1195">
        <v>0.734549177</v>
      </c>
      <c r="F1195">
        <v>0.57161841700000005</v>
      </c>
      <c r="G1195">
        <v>0.84323683299999996</v>
      </c>
      <c r="H1195">
        <v>3.26</v>
      </c>
      <c r="I1195">
        <v>3.21091956514829</v>
      </c>
      <c r="J1195">
        <v>3.0701963746677601</v>
      </c>
      <c r="K1195">
        <v>2.6516873918548298</v>
      </c>
      <c r="L1195">
        <v>2.3481826027358701</v>
      </c>
      <c r="M1195">
        <v>3.1405579699080199</v>
      </c>
      <c r="N1195">
        <v>3.1397696743978001</v>
      </c>
      <c r="Q1195">
        <f t="shared" si="90"/>
        <v>3.26</v>
      </c>
      <c r="R1195">
        <f t="shared" si="92"/>
        <v>3.0714133242125969</v>
      </c>
      <c r="S1195">
        <f t="shared" si="93"/>
        <v>0.18858667578740285</v>
      </c>
      <c r="T1195">
        <f t="shared" si="94"/>
        <v>3.5564934284542993E-2</v>
      </c>
    </row>
    <row r="1196" spans="1:20" hidden="1" x14ac:dyDescent="0.25">
      <c r="A1196" t="str">
        <f t="shared" si="91"/>
        <v>RIP</v>
      </c>
      <c r="B1196" t="s">
        <v>1202</v>
      </c>
      <c r="C1196">
        <v>1.4784833429999999</v>
      </c>
      <c r="D1196">
        <v>9.2251901999999997E-2</v>
      </c>
      <c r="E1196">
        <v>0.743690882</v>
      </c>
      <c r="F1196">
        <v>0.59344931000000001</v>
      </c>
      <c r="G1196">
        <v>0.84701230699999996</v>
      </c>
      <c r="H1196">
        <v>3.69</v>
      </c>
      <c r="I1196">
        <v>3.4177059560016598</v>
      </c>
      <c r="J1196">
        <v>3.32366301766154</v>
      </c>
      <c r="K1196">
        <v>3.16158973157743</v>
      </c>
      <c r="L1196">
        <v>2.9534617714892999</v>
      </c>
      <c r="M1196">
        <v>3.3706844868316002</v>
      </c>
      <c r="N1196">
        <v>3.3703564931924199</v>
      </c>
      <c r="Q1196">
        <f t="shared" si="90"/>
        <v>3.69</v>
      </c>
      <c r="R1196">
        <f t="shared" si="92"/>
        <v>3.4041086523033686</v>
      </c>
      <c r="S1196">
        <f t="shared" si="93"/>
        <v>0.28589134769663138</v>
      </c>
      <c r="T1196">
        <f t="shared" si="94"/>
        <v>8.1733862687796172E-2</v>
      </c>
    </row>
    <row r="1197" spans="1:20" hidden="1" x14ac:dyDescent="0.25">
      <c r="A1197" t="str">
        <f t="shared" si="91"/>
        <v>RIP</v>
      </c>
      <c r="B1197" t="s">
        <v>1203</v>
      </c>
      <c r="C1197">
        <v>1.48970117</v>
      </c>
      <c r="D1197">
        <v>9.7767456000000003E-2</v>
      </c>
      <c r="E1197">
        <v>0.72905988799999999</v>
      </c>
      <c r="F1197">
        <v>0.61331874500000005</v>
      </c>
      <c r="G1197">
        <v>0.83711784899999997</v>
      </c>
      <c r="H1197">
        <v>3.81</v>
      </c>
      <c r="I1197">
        <v>3.8112344998374499</v>
      </c>
      <c r="J1197">
        <v>3.6165075279886398</v>
      </c>
      <c r="K1197">
        <v>3.3920863265517598</v>
      </c>
      <c r="L1197">
        <v>3.1966392931602101</v>
      </c>
      <c r="M1197">
        <v>3.7138710139130402</v>
      </c>
      <c r="N1197">
        <v>3.71259454554253</v>
      </c>
      <c r="Q1197">
        <f t="shared" si="90"/>
        <v>3.81</v>
      </c>
      <c r="R1197">
        <f t="shared" si="92"/>
        <v>3.6856634979445024</v>
      </c>
      <c r="S1197">
        <f t="shared" si="93"/>
        <v>0.12433650205549762</v>
      </c>
      <c r="T1197">
        <f t="shared" si="94"/>
        <v>1.5459565743396764E-2</v>
      </c>
    </row>
    <row r="1198" spans="1:20" hidden="1" x14ac:dyDescent="0.25">
      <c r="A1198" t="str">
        <f t="shared" si="91"/>
        <v>RIP</v>
      </c>
      <c r="B1198" t="s">
        <v>1204</v>
      </c>
      <c r="C1198">
        <v>1.8850397430000001</v>
      </c>
      <c r="D1198">
        <v>9.7875908999999997E-2</v>
      </c>
      <c r="E1198">
        <v>0.73139694399999999</v>
      </c>
      <c r="F1198">
        <v>0.60373661000000001</v>
      </c>
      <c r="G1198">
        <v>0.83997619499999998</v>
      </c>
      <c r="H1198">
        <v>3.25</v>
      </c>
      <c r="I1198">
        <v>3.3434654760193401</v>
      </c>
      <c r="J1198">
        <v>3.1954008882860201</v>
      </c>
      <c r="K1198">
        <v>2.63041437724408</v>
      </c>
      <c r="L1198">
        <v>2.36193385271996</v>
      </c>
      <c r="M1198">
        <v>3.2694331821526799</v>
      </c>
      <c r="N1198">
        <v>3.26859488955512</v>
      </c>
      <c r="Q1198">
        <f t="shared" si="90"/>
        <v>3.25</v>
      </c>
      <c r="R1198">
        <f t="shared" si="92"/>
        <v>3.1737711101408093</v>
      </c>
      <c r="S1198">
        <f t="shared" si="93"/>
        <v>7.622888985919074E-2</v>
      </c>
      <c r="T1198">
        <f t="shared" si="94"/>
        <v>5.8108436491646331E-3</v>
      </c>
    </row>
    <row r="1199" spans="1:20" hidden="1" x14ac:dyDescent="0.25">
      <c r="A1199" t="str">
        <f t="shared" si="91"/>
        <v>RIP</v>
      </c>
      <c r="B1199" t="s">
        <v>1205</v>
      </c>
      <c r="C1199">
        <v>1.3774509189999999</v>
      </c>
      <c r="D1199">
        <v>9.6971014999999994E-2</v>
      </c>
      <c r="E1199">
        <v>0.73289422299999996</v>
      </c>
      <c r="F1199">
        <v>0.53448143699999995</v>
      </c>
      <c r="G1199">
        <v>0.84241489199999997</v>
      </c>
      <c r="H1199">
        <v>4.21</v>
      </c>
      <c r="I1199">
        <v>3.6648399149737898</v>
      </c>
      <c r="J1199">
        <v>3.4060152586968901</v>
      </c>
      <c r="K1199">
        <v>3.3851683439693598</v>
      </c>
      <c r="L1199">
        <v>3.3868435275212501</v>
      </c>
      <c r="M1199">
        <v>3.5354275868353402</v>
      </c>
      <c r="N1199">
        <v>3.5330582603577501</v>
      </c>
      <c r="Q1199">
        <f t="shared" si="90"/>
        <v>4.21</v>
      </c>
      <c r="R1199">
        <f t="shared" si="92"/>
        <v>3.4545807286152472</v>
      </c>
      <c r="S1199">
        <f t="shared" si="93"/>
        <v>0.75541927138475273</v>
      </c>
      <c r="T1199">
        <f t="shared" si="94"/>
        <v>0.57065827557947069</v>
      </c>
    </row>
    <row r="1200" spans="1:20" hidden="1" x14ac:dyDescent="0.25">
      <c r="A1200" t="str">
        <f t="shared" si="91"/>
        <v>RIP</v>
      </c>
      <c r="B1200" t="s">
        <v>1206</v>
      </c>
      <c r="C1200">
        <v>1.6175691699999999</v>
      </c>
      <c r="D1200">
        <v>9.7299273000000006E-2</v>
      </c>
      <c r="E1200">
        <v>0.73666743099999998</v>
      </c>
      <c r="F1200">
        <v>0.58113996899999998</v>
      </c>
      <c r="G1200">
        <v>0.84524115300000002</v>
      </c>
      <c r="H1200">
        <v>3.2</v>
      </c>
      <c r="I1200">
        <v>3.5794161961716302</v>
      </c>
      <c r="J1200">
        <v>3.3598032295430098</v>
      </c>
      <c r="K1200">
        <v>3.0047612364171901</v>
      </c>
      <c r="L1200">
        <v>2.8956871704170402</v>
      </c>
      <c r="M1200">
        <v>3.46960971285732</v>
      </c>
      <c r="N1200">
        <v>3.4678716954028199</v>
      </c>
      <c r="Q1200">
        <f t="shared" si="90"/>
        <v>3.2</v>
      </c>
      <c r="R1200">
        <f t="shared" si="92"/>
        <v>3.3844270971456378</v>
      </c>
      <c r="S1200">
        <f t="shared" si="93"/>
        <v>-0.18442709714563765</v>
      </c>
      <c r="T1200">
        <f t="shared" si="94"/>
        <v>3.4013354161566471E-2</v>
      </c>
    </row>
    <row r="1201" spans="1:20" hidden="1" x14ac:dyDescent="0.25">
      <c r="A1201" t="str">
        <f t="shared" si="91"/>
        <v>RIP</v>
      </c>
      <c r="B1201" t="s">
        <v>1207</v>
      </c>
      <c r="C1201">
        <v>1.47588158</v>
      </c>
      <c r="D1201">
        <v>9.7339950999999994E-2</v>
      </c>
      <c r="E1201">
        <v>0.73694212299999995</v>
      </c>
      <c r="F1201">
        <v>0.61382376100000002</v>
      </c>
      <c r="G1201">
        <v>0.84120504900000004</v>
      </c>
      <c r="H1201">
        <v>3.8</v>
      </c>
      <c r="I1201">
        <v>3.77467132139975</v>
      </c>
      <c r="J1201">
        <v>3.62401199608427</v>
      </c>
      <c r="K1201">
        <v>3.36891276075951</v>
      </c>
      <c r="L1201">
        <v>3.1962822011287799</v>
      </c>
      <c r="M1201">
        <v>3.6993416587420098</v>
      </c>
      <c r="N1201">
        <v>3.6985746105801298</v>
      </c>
      <c r="Q1201">
        <f t="shared" si="90"/>
        <v>3.8</v>
      </c>
      <c r="R1201">
        <f t="shared" si="92"/>
        <v>3.6988213399852263</v>
      </c>
      <c r="S1201">
        <f t="shared" si="93"/>
        <v>0.10117866001477349</v>
      </c>
      <c r="T1201">
        <f t="shared" si="94"/>
        <v>1.0237121242385124E-2</v>
      </c>
    </row>
    <row r="1202" spans="1:20" hidden="1" x14ac:dyDescent="0.25">
      <c r="A1202" t="str">
        <f t="shared" si="91"/>
        <v>RIP</v>
      </c>
      <c r="B1202" t="s">
        <v>1208</v>
      </c>
      <c r="C1202">
        <v>0.922535628</v>
      </c>
      <c r="D1202">
        <v>8.8678192000000003E-2</v>
      </c>
      <c r="E1202">
        <v>0.69648843599999999</v>
      </c>
      <c r="F1202">
        <v>0.40666698899999998</v>
      </c>
      <c r="G1202">
        <v>0.81200154599999996</v>
      </c>
      <c r="H1202">
        <v>4.1500000000000004</v>
      </c>
      <c r="I1202">
        <v>3.1995995922267699</v>
      </c>
      <c r="J1202">
        <v>2.9767010227139101</v>
      </c>
      <c r="K1202">
        <v>3.6293840552196999</v>
      </c>
      <c r="L1202">
        <v>3.6922839355719002</v>
      </c>
      <c r="M1202">
        <v>3.08815030747034</v>
      </c>
      <c r="N1202">
        <v>3.0861385870463498</v>
      </c>
      <c r="Q1202">
        <f t="shared" si="90"/>
        <v>4.1500000000000004</v>
      </c>
      <c r="R1202">
        <f t="shared" si="92"/>
        <v>3.0677584292962505</v>
      </c>
      <c r="S1202">
        <f t="shared" si="93"/>
        <v>1.0822415707037498</v>
      </c>
      <c r="T1202">
        <f t="shared" si="94"/>
        <v>1.1712468173593196</v>
      </c>
    </row>
    <row r="1203" spans="1:20" hidden="1" x14ac:dyDescent="0.25">
      <c r="A1203" t="str">
        <f t="shared" si="91"/>
        <v>RIP</v>
      </c>
      <c r="B1203" t="s">
        <v>1209</v>
      </c>
      <c r="C1203">
        <v>0.74563404799999999</v>
      </c>
      <c r="D1203">
        <v>8.6996908999999997E-2</v>
      </c>
      <c r="E1203">
        <v>0.69123647200000005</v>
      </c>
      <c r="F1203">
        <v>0.35005750099999999</v>
      </c>
      <c r="G1203">
        <v>0.80584422099999997</v>
      </c>
      <c r="H1203">
        <v>2.98</v>
      </c>
      <c r="I1203">
        <v>3.1051687504716101</v>
      </c>
      <c r="J1203">
        <v>2.8756411519481802</v>
      </c>
      <c r="K1203">
        <v>3.6148325553256799</v>
      </c>
      <c r="L1203">
        <v>3.6969723252718198</v>
      </c>
      <c r="M1203">
        <v>2.9904049512098898</v>
      </c>
      <c r="N1203">
        <v>2.9882019748671</v>
      </c>
      <c r="Q1203">
        <f t="shared" si="90"/>
        <v>2.98</v>
      </c>
      <c r="R1203">
        <f t="shared" si="92"/>
        <v>2.9728141259165279</v>
      </c>
      <c r="S1203">
        <f t="shared" si="93"/>
        <v>7.1858740834720436E-3</v>
      </c>
      <c r="T1203">
        <f t="shared" si="94"/>
        <v>5.1636786343515183E-5</v>
      </c>
    </row>
    <row r="1204" spans="1:20" hidden="1" x14ac:dyDescent="0.25">
      <c r="A1204" t="str">
        <f t="shared" si="91"/>
        <v>RIP</v>
      </c>
      <c r="B1204" t="s">
        <v>1210</v>
      </c>
      <c r="C1204">
        <v>1.017974615</v>
      </c>
      <c r="D1204">
        <v>8.9638696000000004E-2</v>
      </c>
      <c r="E1204">
        <v>0.69957863200000003</v>
      </c>
      <c r="F1204">
        <v>0.34545540499999999</v>
      </c>
      <c r="G1204">
        <v>0.81337869299999999</v>
      </c>
      <c r="H1204">
        <v>3.28</v>
      </c>
      <c r="I1204">
        <v>2.8908073778514298</v>
      </c>
      <c r="J1204">
        <v>2.69799469084569</v>
      </c>
      <c r="K1204">
        <v>3.1782041127852301</v>
      </c>
      <c r="L1204">
        <v>3.2650879820490202</v>
      </c>
      <c r="M1204">
        <v>2.7944010343485601</v>
      </c>
      <c r="N1204">
        <v>2.7927375382768602</v>
      </c>
      <c r="Q1204">
        <f t="shared" si="90"/>
        <v>3.28</v>
      </c>
      <c r="R1204">
        <f t="shared" si="92"/>
        <v>2.72912618243274</v>
      </c>
      <c r="S1204">
        <f t="shared" si="93"/>
        <v>0.55087381756725984</v>
      </c>
      <c r="T1204">
        <f t="shared" si="94"/>
        <v>0.3034619628811267</v>
      </c>
    </row>
    <row r="1205" spans="1:20" hidden="1" x14ac:dyDescent="0.25">
      <c r="A1205" t="str">
        <f t="shared" si="91"/>
        <v>RIP</v>
      </c>
      <c r="B1205" t="s">
        <v>1211</v>
      </c>
      <c r="C1205">
        <v>0.93574278399999999</v>
      </c>
      <c r="D1205">
        <v>8.8103476E-2</v>
      </c>
      <c r="E1205">
        <v>0.69261430000000002</v>
      </c>
      <c r="F1205">
        <v>0.3987504</v>
      </c>
      <c r="G1205">
        <v>0.80336487000000001</v>
      </c>
      <c r="H1205">
        <v>3.51</v>
      </c>
      <c r="I1205">
        <v>3.08684090563513</v>
      </c>
      <c r="J1205">
        <v>2.9069775285580701</v>
      </c>
      <c r="K1205">
        <v>3.7969449003317699</v>
      </c>
      <c r="L1205">
        <v>3.8648590069929698</v>
      </c>
      <c r="M1205">
        <v>2.9969092170965999</v>
      </c>
      <c r="N1205">
        <v>2.9955595715850998</v>
      </c>
      <c r="Q1205">
        <f t="shared" si="90"/>
        <v>3.51</v>
      </c>
      <c r="R1205">
        <f t="shared" si="92"/>
        <v>2.9913400991753574</v>
      </c>
      <c r="S1205">
        <f t="shared" si="93"/>
        <v>0.51865990082464242</v>
      </c>
      <c r="T1205">
        <f t="shared" si="94"/>
        <v>0.26900809272342791</v>
      </c>
    </row>
    <row r="1206" spans="1:20" hidden="1" x14ac:dyDescent="0.25">
      <c r="A1206" t="str">
        <f t="shared" si="91"/>
        <v>RIP</v>
      </c>
      <c r="B1206" t="s">
        <v>1212</v>
      </c>
      <c r="C1206">
        <v>0.86985526800000001</v>
      </c>
      <c r="D1206">
        <v>9.3667892000000003E-2</v>
      </c>
      <c r="E1206">
        <v>0.69044569700000002</v>
      </c>
      <c r="F1206">
        <v>0.33430379300000002</v>
      </c>
      <c r="G1206">
        <v>0.80664063699999999</v>
      </c>
      <c r="H1206">
        <v>2.57</v>
      </c>
      <c r="I1206">
        <v>3.2030291103732802</v>
      </c>
      <c r="J1206">
        <v>2.9560734637161499</v>
      </c>
      <c r="K1206">
        <v>3.4144692437228001</v>
      </c>
      <c r="L1206">
        <v>3.4609556404711599</v>
      </c>
      <c r="M1206">
        <v>3.0795512870447199</v>
      </c>
      <c r="N1206">
        <v>3.0770748051818302</v>
      </c>
      <c r="Q1206">
        <f t="shared" si="90"/>
        <v>2.57</v>
      </c>
      <c r="R1206">
        <f t="shared" si="92"/>
        <v>3.0004820242623111</v>
      </c>
      <c r="S1206">
        <f t="shared" si="93"/>
        <v>-0.4304820242623113</v>
      </c>
      <c r="T1206">
        <f t="shared" si="94"/>
        <v>0.18531477321297718</v>
      </c>
    </row>
    <row r="1207" spans="1:20" hidden="1" x14ac:dyDescent="0.25">
      <c r="A1207" t="str">
        <f t="shared" si="91"/>
        <v>RIP</v>
      </c>
      <c r="B1207" t="s">
        <v>1213</v>
      </c>
      <c r="C1207">
        <v>1.1728844709999999</v>
      </c>
      <c r="D1207">
        <v>9.7584137000000001E-2</v>
      </c>
      <c r="E1207">
        <v>0.67532440500000002</v>
      </c>
      <c r="F1207">
        <v>0.46658294700000003</v>
      </c>
      <c r="G1207">
        <v>0.792060396</v>
      </c>
      <c r="H1207">
        <v>2.62</v>
      </c>
      <c r="I1207">
        <v>3.51706531992658</v>
      </c>
      <c r="J1207">
        <v>3.2947928484846098</v>
      </c>
      <c r="K1207">
        <v>3.4879726896785201</v>
      </c>
      <c r="L1207">
        <v>3.5608559686495802</v>
      </c>
      <c r="M1207">
        <v>3.40592908420559</v>
      </c>
      <c r="N1207">
        <v>3.4041154010619699</v>
      </c>
      <c r="Q1207">
        <f t="shared" si="90"/>
        <v>2.62</v>
      </c>
      <c r="R1207">
        <f t="shared" si="92"/>
        <v>3.3395095450974974</v>
      </c>
      <c r="S1207">
        <f t="shared" si="93"/>
        <v>-0.71950954509749732</v>
      </c>
      <c r="T1207">
        <f t="shared" si="94"/>
        <v>0.51769398548640755</v>
      </c>
    </row>
    <row r="1208" spans="1:20" hidden="1" x14ac:dyDescent="0.25">
      <c r="A1208" t="str">
        <f t="shared" si="91"/>
        <v>RIP</v>
      </c>
      <c r="B1208" t="s">
        <v>1214</v>
      </c>
      <c r="C1208">
        <v>1.246126616</v>
      </c>
      <c r="D1208">
        <v>9.9128978000000006E-2</v>
      </c>
      <c r="E1208">
        <v>0.68280647500000002</v>
      </c>
      <c r="F1208">
        <v>0.48084755099999998</v>
      </c>
      <c r="G1208">
        <v>0.80080860300000001</v>
      </c>
      <c r="H1208">
        <v>4.08</v>
      </c>
      <c r="I1208">
        <v>3.62278686073385</v>
      </c>
      <c r="J1208">
        <v>3.36485924405887</v>
      </c>
      <c r="K1208">
        <v>3.28510359899661</v>
      </c>
      <c r="L1208">
        <v>3.3256356070004802</v>
      </c>
      <c r="M1208">
        <v>3.49382305239636</v>
      </c>
      <c r="N1208">
        <v>3.4914420885352402</v>
      </c>
      <c r="Q1208">
        <f t="shared" si="90"/>
        <v>4.08</v>
      </c>
      <c r="R1208">
        <f t="shared" si="92"/>
        <v>3.3954511034280044</v>
      </c>
      <c r="S1208">
        <f t="shared" si="93"/>
        <v>0.68454889657199569</v>
      </c>
      <c r="T1208">
        <f t="shared" si="94"/>
        <v>0.46860719179793686</v>
      </c>
    </row>
    <row r="1209" spans="1:20" hidden="1" x14ac:dyDescent="0.25">
      <c r="A1209" t="str">
        <f t="shared" si="91"/>
        <v>RIP</v>
      </c>
      <c r="B1209" t="s">
        <v>1215</v>
      </c>
      <c r="C1209">
        <v>1.111517622</v>
      </c>
      <c r="D1209">
        <v>0.102079505</v>
      </c>
      <c r="E1209">
        <v>0.68327550599999998</v>
      </c>
      <c r="F1209">
        <v>0.46168579799999998</v>
      </c>
      <c r="G1209">
        <v>0.79802684400000001</v>
      </c>
      <c r="H1209">
        <v>4.3600000000000003</v>
      </c>
      <c r="I1209">
        <v>3.85573087266213</v>
      </c>
      <c r="J1209">
        <v>3.5929027170924202</v>
      </c>
      <c r="K1209">
        <v>3.6023494936137199</v>
      </c>
      <c r="L1209">
        <v>3.6662458459195899</v>
      </c>
      <c r="M1209">
        <v>3.72431679487728</v>
      </c>
      <c r="N1209">
        <v>3.7219975723749301</v>
      </c>
      <c r="Q1209">
        <f t="shared" si="90"/>
        <v>4.3600000000000003</v>
      </c>
      <c r="R1209">
        <f t="shared" si="92"/>
        <v>3.6226371610649362</v>
      </c>
      <c r="S1209">
        <f t="shared" si="93"/>
        <v>0.73736283893506416</v>
      </c>
      <c r="T1209">
        <f t="shared" si="94"/>
        <v>0.54370395624237733</v>
      </c>
    </row>
    <row r="1210" spans="1:20" hidden="1" x14ac:dyDescent="0.25">
      <c r="A1210" t="str">
        <f t="shared" si="91"/>
        <v>RIP</v>
      </c>
      <c r="B1210" t="s">
        <v>1216</v>
      </c>
      <c r="C1210">
        <v>1.031188486</v>
      </c>
      <c r="D1210">
        <v>0.10481609</v>
      </c>
      <c r="E1210">
        <v>0.68019245900000003</v>
      </c>
      <c r="F1210">
        <v>0.43141602699999998</v>
      </c>
      <c r="G1210">
        <v>0.79799757400000004</v>
      </c>
      <c r="H1210">
        <v>3.69</v>
      </c>
      <c r="I1210">
        <v>4.0856874548736899</v>
      </c>
      <c r="J1210">
        <v>3.7265376427751602</v>
      </c>
      <c r="K1210">
        <v>3.6363270644157302</v>
      </c>
      <c r="L1210">
        <v>3.6900174363737999</v>
      </c>
      <c r="M1210">
        <v>3.9061125488244302</v>
      </c>
      <c r="N1210">
        <v>3.9019825854558898</v>
      </c>
      <c r="Q1210">
        <f t="shared" si="90"/>
        <v>3.69</v>
      </c>
      <c r="R1210">
        <f t="shared" si="92"/>
        <v>3.7330612186177623</v>
      </c>
      <c r="S1210">
        <f t="shared" si="93"/>
        <v>-4.3061218617762353E-2</v>
      </c>
      <c r="T1210">
        <f t="shared" si="94"/>
        <v>1.8542685488467231E-3</v>
      </c>
    </row>
    <row r="1211" spans="1:20" hidden="1" x14ac:dyDescent="0.25">
      <c r="A1211" t="str">
        <f t="shared" si="91"/>
        <v>RIP</v>
      </c>
      <c r="B1211" t="s">
        <v>1217</v>
      </c>
      <c r="C1211">
        <v>1.0210380269999999</v>
      </c>
      <c r="D1211">
        <v>0.1033042</v>
      </c>
      <c r="E1211">
        <v>0.670617778</v>
      </c>
      <c r="F1211">
        <v>0.37912890700000001</v>
      </c>
      <c r="G1211">
        <v>0.78487500600000004</v>
      </c>
      <c r="H1211">
        <v>3.08</v>
      </c>
      <c r="I1211">
        <v>3.6348762107932102</v>
      </c>
      <c r="J1211">
        <v>3.4312429821483401</v>
      </c>
      <c r="K1211">
        <v>3.36409198675404</v>
      </c>
      <c r="L1211">
        <v>3.3427229237570901</v>
      </c>
      <c r="M1211">
        <v>3.5330595964707801</v>
      </c>
      <c r="N1211">
        <v>3.5315922031375799</v>
      </c>
      <c r="Q1211">
        <f t="shared" si="90"/>
        <v>3.08</v>
      </c>
      <c r="R1211">
        <f t="shared" si="92"/>
        <v>3.4199265061540611</v>
      </c>
      <c r="S1211">
        <f t="shared" si="93"/>
        <v>-0.33992650615406106</v>
      </c>
      <c r="T1211">
        <f t="shared" si="94"/>
        <v>0.11555002958610691</v>
      </c>
    </row>
    <row r="1212" spans="1:20" hidden="1" x14ac:dyDescent="0.25">
      <c r="A1212" t="str">
        <f t="shared" si="91"/>
        <v>RIP</v>
      </c>
      <c r="B1212" t="s">
        <v>1218</v>
      </c>
      <c r="C1212">
        <v>1.333053136</v>
      </c>
      <c r="D1212">
        <v>9.8118810000000001E-2</v>
      </c>
      <c r="E1212">
        <v>0.70055330800000004</v>
      </c>
      <c r="F1212">
        <v>0.485650217</v>
      </c>
      <c r="G1212">
        <v>0.81909963600000002</v>
      </c>
      <c r="H1212">
        <v>4.1100000000000003</v>
      </c>
      <c r="I1212">
        <v>3.5781242887048799</v>
      </c>
      <c r="J1212">
        <v>3.27387967135311</v>
      </c>
      <c r="K1212">
        <v>3.1459511435256302</v>
      </c>
      <c r="L1212">
        <v>3.1751566948978902</v>
      </c>
      <c r="M1212">
        <v>3.4260019800289898</v>
      </c>
      <c r="N1212">
        <v>3.4226230248693299</v>
      </c>
      <c r="Q1212">
        <f t="shared" si="90"/>
        <v>4.1100000000000003</v>
      </c>
      <c r="R1212">
        <f t="shared" si="92"/>
        <v>3.2949301002155478</v>
      </c>
      <c r="S1212">
        <f t="shared" si="93"/>
        <v>0.81506989978445255</v>
      </c>
      <c r="T1212">
        <f t="shared" si="94"/>
        <v>0.66433894153463746</v>
      </c>
    </row>
    <row r="1213" spans="1:20" hidden="1" x14ac:dyDescent="0.25">
      <c r="A1213" t="str">
        <f t="shared" si="91"/>
        <v>RIP</v>
      </c>
      <c r="B1213" t="s">
        <v>1219</v>
      </c>
      <c r="C1213">
        <v>1.1908085289999999</v>
      </c>
      <c r="D1213">
        <v>9.9149432999999995E-2</v>
      </c>
      <c r="E1213">
        <v>0.68911092699999998</v>
      </c>
      <c r="F1213">
        <v>0.48172073700000001</v>
      </c>
      <c r="G1213">
        <v>0.80811235299999995</v>
      </c>
      <c r="H1213">
        <v>4.32</v>
      </c>
      <c r="I1213">
        <v>3.7436840017511099</v>
      </c>
      <c r="J1213">
        <v>3.4352289828631002</v>
      </c>
      <c r="K1213">
        <v>3.4363656257602102</v>
      </c>
      <c r="L1213">
        <v>3.4785888312270599</v>
      </c>
      <c r="M1213">
        <v>3.5894564923071099</v>
      </c>
      <c r="N1213">
        <v>3.5861416293136501</v>
      </c>
      <c r="Q1213">
        <f t="shared" si="90"/>
        <v>4.32</v>
      </c>
      <c r="R1213">
        <f t="shared" si="92"/>
        <v>3.478430365520266</v>
      </c>
      <c r="S1213">
        <f t="shared" si="93"/>
        <v>0.84156963447973432</v>
      </c>
      <c r="T1213">
        <f t="shared" si="94"/>
        <v>0.70823944967835362</v>
      </c>
    </row>
    <row r="1214" spans="1:20" hidden="1" x14ac:dyDescent="0.25">
      <c r="A1214" t="str">
        <f t="shared" si="91"/>
        <v>RIP</v>
      </c>
      <c r="B1214" t="s">
        <v>1220</v>
      </c>
      <c r="C1214">
        <v>1.0816775620000001</v>
      </c>
      <c r="D1214">
        <v>9.8933222000000001E-2</v>
      </c>
      <c r="E1214">
        <v>0.69359643699999995</v>
      </c>
      <c r="F1214">
        <v>0.48439618099999998</v>
      </c>
      <c r="G1214">
        <v>0.81559320499999999</v>
      </c>
      <c r="H1214">
        <v>4.17</v>
      </c>
      <c r="I1214">
        <v>3.9561032061663299</v>
      </c>
      <c r="J1214">
        <v>3.5505744101003902</v>
      </c>
      <c r="K1214">
        <v>3.8558392700867499</v>
      </c>
      <c r="L1214">
        <v>3.92298794070153</v>
      </c>
      <c r="M1214">
        <v>3.7533388081333601</v>
      </c>
      <c r="N1214">
        <v>3.7478578958560198</v>
      </c>
      <c r="Q1214">
        <f t="shared" si="90"/>
        <v>4.17</v>
      </c>
      <c r="R1214">
        <f t="shared" si="92"/>
        <v>3.6201368257125246</v>
      </c>
      <c r="S1214">
        <f t="shared" si="93"/>
        <v>0.54986317428747533</v>
      </c>
      <c r="T1214">
        <f t="shared" si="94"/>
        <v>0.30234951043749847</v>
      </c>
    </row>
    <row r="1215" spans="1:20" hidden="1" x14ac:dyDescent="0.25">
      <c r="A1215" t="str">
        <f t="shared" si="91"/>
        <v>RIP</v>
      </c>
      <c r="B1215" t="s">
        <v>1221</v>
      </c>
      <c r="C1215">
        <v>1.026246682</v>
      </c>
      <c r="D1215">
        <v>9.7192828999999994E-2</v>
      </c>
      <c r="E1215">
        <v>0.70114884</v>
      </c>
      <c r="F1215">
        <v>0.43616596699999999</v>
      </c>
      <c r="G1215">
        <v>0.822877313</v>
      </c>
      <c r="H1215">
        <v>3.43</v>
      </c>
      <c r="I1215">
        <v>3.7630091828571999</v>
      </c>
      <c r="J1215">
        <v>3.3538842579916799</v>
      </c>
      <c r="K1215">
        <v>3.6044465250380102</v>
      </c>
      <c r="L1215">
        <v>3.6622412581338502</v>
      </c>
      <c r="M1215">
        <v>3.5584467204244401</v>
      </c>
      <c r="N1215">
        <v>3.55256206998033</v>
      </c>
      <c r="Q1215">
        <f t="shared" si="90"/>
        <v>3.43</v>
      </c>
      <c r="R1215">
        <f t="shared" si="92"/>
        <v>3.4144837950315394</v>
      </c>
      <c r="S1215">
        <f t="shared" si="93"/>
        <v>1.5516204968460734E-2</v>
      </c>
      <c r="T1215">
        <f t="shared" si="94"/>
        <v>2.4075261662328556E-4</v>
      </c>
    </row>
    <row r="1216" spans="1:20" hidden="1" x14ac:dyDescent="0.25">
      <c r="A1216" t="str">
        <f t="shared" si="91"/>
        <v>RIP</v>
      </c>
      <c r="B1216" t="s">
        <v>1222</v>
      </c>
      <c r="C1216">
        <v>1.1529944830000001</v>
      </c>
      <c r="D1216">
        <v>9.8060265999999993E-2</v>
      </c>
      <c r="E1216">
        <v>0.69736865299999995</v>
      </c>
      <c r="F1216">
        <v>0.44250804900000001</v>
      </c>
      <c r="G1216">
        <v>0.81952301299999997</v>
      </c>
      <c r="H1216">
        <v>3.97</v>
      </c>
      <c r="I1216">
        <v>3.6799939621407001</v>
      </c>
      <c r="J1216">
        <v>3.2871519894050101</v>
      </c>
      <c r="K1216">
        <v>3.3064988202380898</v>
      </c>
      <c r="L1216">
        <v>3.3456406533916501</v>
      </c>
      <c r="M1216">
        <v>3.48357297577286</v>
      </c>
      <c r="N1216">
        <v>3.4780309765223798</v>
      </c>
      <c r="Q1216">
        <f t="shared" si="90"/>
        <v>3.97</v>
      </c>
      <c r="R1216">
        <f t="shared" si="92"/>
        <v>3.3203289966243639</v>
      </c>
      <c r="S1216">
        <f t="shared" si="93"/>
        <v>0.64967100337563632</v>
      </c>
      <c r="T1216">
        <f t="shared" si="94"/>
        <v>0.42207241262710604</v>
      </c>
    </row>
    <row r="1217" spans="1:20" hidden="1" x14ac:dyDescent="0.25">
      <c r="A1217" t="str">
        <f t="shared" si="91"/>
        <v>RIP</v>
      </c>
      <c r="B1217" t="s">
        <v>1223</v>
      </c>
      <c r="C1217">
        <v>0.939163631</v>
      </c>
      <c r="D1217">
        <v>9.9741566000000004E-2</v>
      </c>
      <c r="E1217">
        <v>0.69806268199999999</v>
      </c>
      <c r="F1217">
        <v>0.448343361</v>
      </c>
      <c r="G1217">
        <v>0.81165135300000002</v>
      </c>
      <c r="H1217">
        <v>3.61</v>
      </c>
      <c r="I1217">
        <v>3.9131203952432498</v>
      </c>
      <c r="J1217">
        <v>3.61100127621786</v>
      </c>
      <c r="K1217">
        <v>3.8990622351031199</v>
      </c>
      <c r="L1217">
        <v>3.9716731635825799</v>
      </c>
      <c r="M1217">
        <v>3.7620608357305501</v>
      </c>
      <c r="N1217">
        <v>3.7590268343306001</v>
      </c>
      <c r="Q1217">
        <f t="shared" ref="Q1217:Q1280" si="95">H1217</f>
        <v>3.61</v>
      </c>
      <c r="R1217">
        <f t="shared" si="92"/>
        <v>3.6848075263683007</v>
      </c>
      <c r="S1217">
        <f t="shared" si="93"/>
        <v>-7.4807526368300792E-2</v>
      </c>
      <c r="T1217">
        <f t="shared" si="94"/>
        <v>5.5961660013440183E-3</v>
      </c>
    </row>
    <row r="1218" spans="1:20" hidden="1" x14ac:dyDescent="0.25">
      <c r="A1218" t="str">
        <f t="shared" si="91"/>
        <v>RIP</v>
      </c>
      <c r="B1218" t="s">
        <v>1224</v>
      </c>
      <c r="C1218">
        <v>1.118656702</v>
      </c>
      <c r="D1218">
        <v>9.7889052000000004E-2</v>
      </c>
      <c r="E1218">
        <v>0.69638763699999995</v>
      </c>
      <c r="F1218">
        <v>0.445256227</v>
      </c>
      <c r="G1218">
        <v>0.81016821299999997</v>
      </c>
      <c r="H1218">
        <v>3.45</v>
      </c>
      <c r="I1218">
        <v>3.5594559098759202</v>
      </c>
      <c r="J1218">
        <v>3.32132341433734</v>
      </c>
      <c r="K1218">
        <v>3.56063498435471</v>
      </c>
      <c r="L1218">
        <v>3.6180893438438901</v>
      </c>
      <c r="M1218">
        <v>3.4403896621066301</v>
      </c>
      <c r="N1218">
        <v>3.4383287009493899</v>
      </c>
      <c r="Q1218">
        <f t="shared" si="95"/>
        <v>3.45</v>
      </c>
      <c r="R1218">
        <f t="shared" si="92"/>
        <v>3.3642898242678729</v>
      </c>
      <c r="S1218">
        <f t="shared" si="93"/>
        <v>8.5710175732127247E-2</v>
      </c>
      <c r="T1218">
        <f t="shared" si="94"/>
        <v>7.3462342240321341E-3</v>
      </c>
    </row>
    <row r="1219" spans="1:20" hidden="1" x14ac:dyDescent="0.25">
      <c r="A1219" t="str">
        <f t="shared" ref="A1219:A1282" si="96">LEFT(B1219,3)</f>
        <v>RIP</v>
      </c>
      <c r="B1219" t="s">
        <v>1225</v>
      </c>
      <c r="C1219">
        <v>0.804315746</v>
      </c>
      <c r="D1219">
        <v>0.104088418</v>
      </c>
      <c r="E1219">
        <v>0.69783054799999999</v>
      </c>
      <c r="F1219">
        <v>0.35452399699999998</v>
      </c>
      <c r="G1219">
        <v>0.81484954799999998</v>
      </c>
      <c r="H1219">
        <v>3.56</v>
      </c>
      <c r="I1219">
        <v>4.13290273427077</v>
      </c>
      <c r="J1219">
        <v>3.6554806745370199</v>
      </c>
      <c r="K1219">
        <v>3.81797949454179</v>
      </c>
      <c r="L1219">
        <v>3.90321208466368</v>
      </c>
      <c r="M1219">
        <v>3.8941917044038901</v>
      </c>
      <c r="N1219">
        <v>3.8868684149155301</v>
      </c>
      <c r="Q1219">
        <f t="shared" si="95"/>
        <v>3.56</v>
      </c>
      <c r="R1219">
        <f t="shared" ref="R1219:R1282" si="97">$X$2*F1219+$X$3*D1219*E1219+($X$4/(D1219-$X$5))-$X$6*C1219</f>
        <v>3.6706754951062979</v>
      </c>
      <c r="S1219">
        <f t="shared" ref="S1219:S1282" si="98">Q1219-R1219</f>
        <v>-0.11067549510629782</v>
      </c>
      <c r="T1219">
        <f t="shared" ref="T1219:T1282" si="99">S1219^2</f>
        <v>1.2249065217024152E-2</v>
      </c>
    </row>
    <row r="1220" spans="1:20" hidden="1" x14ac:dyDescent="0.25">
      <c r="A1220" t="str">
        <f t="shared" si="96"/>
        <v>RIP</v>
      </c>
      <c r="B1220" t="s">
        <v>1226</v>
      </c>
      <c r="C1220">
        <v>1.0638248480000001</v>
      </c>
      <c r="D1220">
        <v>9.8669941999999997E-2</v>
      </c>
      <c r="E1220">
        <v>0.69475745200000005</v>
      </c>
      <c r="F1220">
        <v>0.41429616699999999</v>
      </c>
      <c r="G1220">
        <v>0.80641994100000003</v>
      </c>
      <c r="H1220">
        <v>4.03</v>
      </c>
      <c r="I1220">
        <v>3.5117468485744898</v>
      </c>
      <c r="J1220">
        <v>3.29933739730633</v>
      </c>
      <c r="K1220">
        <v>3.6274610046214</v>
      </c>
      <c r="L1220">
        <v>3.6859486400506398</v>
      </c>
      <c r="M1220">
        <v>3.4055421229404099</v>
      </c>
      <c r="N1220">
        <v>3.40388567777687</v>
      </c>
      <c r="Q1220">
        <f t="shared" si="95"/>
        <v>4.03</v>
      </c>
      <c r="R1220">
        <f t="shared" si="97"/>
        <v>3.3311126574207073</v>
      </c>
      <c r="S1220">
        <f t="shared" si="98"/>
        <v>0.69888734257929297</v>
      </c>
      <c r="T1220">
        <f t="shared" si="99"/>
        <v>0.48844351761754601</v>
      </c>
    </row>
    <row r="1221" spans="1:20" hidden="1" x14ac:dyDescent="0.25">
      <c r="A1221" t="str">
        <f t="shared" si="96"/>
        <v>RIP</v>
      </c>
      <c r="B1221" t="s">
        <v>1227</v>
      </c>
      <c r="C1221">
        <v>1.0193380379999999</v>
      </c>
      <c r="D1221">
        <v>0.100727786</v>
      </c>
      <c r="E1221">
        <v>0.69440980200000002</v>
      </c>
      <c r="F1221">
        <v>0.47527399999999997</v>
      </c>
      <c r="G1221">
        <v>0.80988800100000002</v>
      </c>
      <c r="H1221">
        <v>2.97</v>
      </c>
      <c r="I1221">
        <v>4.0025023611752504</v>
      </c>
      <c r="J1221">
        <v>3.67729505349768</v>
      </c>
      <c r="K1221">
        <v>3.98841014242092</v>
      </c>
      <c r="L1221">
        <v>4.0749383607333796</v>
      </c>
      <c r="M1221">
        <v>3.8398987073364701</v>
      </c>
      <c r="N1221">
        <v>3.83645437016557</v>
      </c>
      <c r="Q1221">
        <f t="shared" si="95"/>
        <v>2.97</v>
      </c>
      <c r="R1221">
        <f t="shared" si="97"/>
        <v>3.744517115351313</v>
      </c>
      <c r="S1221">
        <f t="shared" si="98"/>
        <v>-0.77451711535131285</v>
      </c>
      <c r="T1221">
        <f t="shared" si="99"/>
        <v>0.59987676197211881</v>
      </c>
    </row>
    <row r="1222" spans="1:20" hidden="1" x14ac:dyDescent="0.25">
      <c r="A1222" t="str">
        <f t="shared" si="96"/>
        <v>RIP</v>
      </c>
      <c r="B1222" t="s">
        <v>1228</v>
      </c>
      <c r="C1222">
        <v>0.96335139400000003</v>
      </c>
      <c r="D1222">
        <v>9.5470705000000003E-2</v>
      </c>
      <c r="E1222">
        <v>0.67450879399999997</v>
      </c>
      <c r="F1222">
        <v>0.38651834200000001</v>
      </c>
      <c r="G1222">
        <v>0.79834565300000004</v>
      </c>
      <c r="H1222">
        <v>3.94</v>
      </c>
      <c r="I1222">
        <v>3.4192300311070598</v>
      </c>
      <c r="J1222">
        <v>3.1087048712258398</v>
      </c>
      <c r="K1222">
        <v>3.3609806341878898</v>
      </c>
      <c r="L1222">
        <v>3.3962676224095398</v>
      </c>
      <c r="M1222">
        <v>3.26396745116645</v>
      </c>
      <c r="N1222">
        <v>3.2602725428319901</v>
      </c>
      <c r="Q1222">
        <f t="shared" si="95"/>
        <v>3.94</v>
      </c>
      <c r="R1222">
        <f t="shared" si="97"/>
        <v>3.1579342602016656</v>
      </c>
      <c r="S1222">
        <f t="shared" si="98"/>
        <v>0.78206573979833438</v>
      </c>
      <c r="T1222">
        <f t="shared" si="99"/>
        <v>0.61162682136631608</v>
      </c>
    </row>
    <row r="1223" spans="1:20" hidden="1" x14ac:dyDescent="0.25">
      <c r="A1223" t="str">
        <f t="shared" si="96"/>
        <v>RIP</v>
      </c>
      <c r="B1223" t="s">
        <v>1229</v>
      </c>
      <c r="C1223">
        <v>0.977852375</v>
      </c>
      <c r="D1223">
        <v>9.4806926E-2</v>
      </c>
      <c r="E1223">
        <v>0.68364347299999995</v>
      </c>
      <c r="F1223">
        <v>0.395700518</v>
      </c>
      <c r="G1223">
        <v>0.81040276499999997</v>
      </c>
      <c r="H1223">
        <v>3.44</v>
      </c>
      <c r="I1223">
        <v>3.4885401811863499</v>
      </c>
      <c r="J1223">
        <v>3.1128252747902798</v>
      </c>
      <c r="K1223">
        <v>3.3431588158469498</v>
      </c>
      <c r="L1223">
        <v>3.38552555105491</v>
      </c>
      <c r="M1223">
        <v>3.3006827279883102</v>
      </c>
      <c r="N1223">
        <v>3.2953324639736001</v>
      </c>
      <c r="Q1223">
        <f t="shared" si="95"/>
        <v>3.44</v>
      </c>
      <c r="R1223">
        <f t="shared" si="97"/>
        <v>3.1675494015018097</v>
      </c>
      <c r="S1223">
        <f t="shared" si="98"/>
        <v>0.2724505984981902</v>
      </c>
      <c r="T1223">
        <f t="shared" si="99"/>
        <v>7.4229328622022042E-2</v>
      </c>
    </row>
    <row r="1224" spans="1:20" hidden="1" x14ac:dyDescent="0.25">
      <c r="A1224" t="str">
        <f t="shared" si="96"/>
        <v>RIP</v>
      </c>
      <c r="B1224" t="s">
        <v>1230</v>
      </c>
      <c r="C1224">
        <v>1.033049895</v>
      </c>
      <c r="D1224">
        <v>9.9356886000000005E-2</v>
      </c>
      <c r="E1224">
        <v>0.68454329599999997</v>
      </c>
      <c r="F1224">
        <v>0.40834848600000001</v>
      </c>
      <c r="G1224">
        <v>0.81154695200000004</v>
      </c>
      <c r="H1224">
        <v>4.54</v>
      </c>
      <c r="I1224">
        <v>3.8009493036696398</v>
      </c>
      <c r="J1224">
        <v>3.3265865292327299</v>
      </c>
      <c r="K1224">
        <v>3.4702630723088999</v>
      </c>
      <c r="L1224">
        <v>3.52602509621132</v>
      </c>
      <c r="M1224">
        <v>3.56376791645119</v>
      </c>
      <c r="N1224">
        <v>3.5558665261626401</v>
      </c>
      <c r="Q1224">
        <f t="shared" si="95"/>
        <v>4.54</v>
      </c>
      <c r="R1224">
        <f t="shared" si="97"/>
        <v>3.3571232840450191</v>
      </c>
      <c r="S1224">
        <f t="shared" si="98"/>
        <v>1.1828767159549809</v>
      </c>
      <c r="T1224">
        <f t="shared" si="99"/>
        <v>1.3991973251484406</v>
      </c>
    </row>
    <row r="1225" spans="1:20" hidden="1" x14ac:dyDescent="0.25">
      <c r="A1225" t="str">
        <f t="shared" si="96"/>
        <v>RIP</v>
      </c>
      <c r="B1225" t="s">
        <v>1231</v>
      </c>
      <c r="C1225">
        <v>1.058630776</v>
      </c>
      <c r="D1225">
        <v>0.101252327</v>
      </c>
      <c r="E1225">
        <v>0.69700166399999997</v>
      </c>
      <c r="F1225">
        <v>0.38136003299999999</v>
      </c>
      <c r="G1225">
        <v>0.81498218899999997</v>
      </c>
      <c r="H1225">
        <v>4.3099999999999996</v>
      </c>
      <c r="I1225">
        <v>3.70363427257778</v>
      </c>
      <c r="J1225">
        <v>3.3271115647460001</v>
      </c>
      <c r="K1225">
        <v>3.1976015996489502</v>
      </c>
      <c r="L1225">
        <v>3.2428730667083099</v>
      </c>
      <c r="M1225">
        <v>3.5153729186618898</v>
      </c>
      <c r="N1225">
        <v>3.5103282495919301</v>
      </c>
      <c r="Q1225">
        <f t="shared" si="95"/>
        <v>4.3099999999999996</v>
      </c>
      <c r="R1225">
        <f t="shared" si="97"/>
        <v>3.3251629719110385</v>
      </c>
      <c r="S1225">
        <f t="shared" si="98"/>
        <v>0.98483702808896112</v>
      </c>
      <c r="T1225">
        <f t="shared" si="99"/>
        <v>0.96990397189509714</v>
      </c>
    </row>
    <row r="1226" spans="1:20" hidden="1" x14ac:dyDescent="0.25">
      <c r="A1226" t="str">
        <f t="shared" si="96"/>
        <v>RIP</v>
      </c>
      <c r="B1226" t="s">
        <v>1232</v>
      </c>
      <c r="C1226">
        <v>1.301148336</v>
      </c>
      <c r="D1226">
        <v>0.100132745</v>
      </c>
      <c r="E1226">
        <v>0.68570919699999999</v>
      </c>
      <c r="F1226">
        <v>0.42248576100000002</v>
      </c>
      <c r="G1226">
        <v>0.80756689400000004</v>
      </c>
      <c r="H1226">
        <v>3.5</v>
      </c>
      <c r="I1226">
        <v>3.4837828934256398</v>
      </c>
      <c r="J1226">
        <v>3.1538604426479999</v>
      </c>
      <c r="K1226">
        <v>2.9165141436161699</v>
      </c>
      <c r="L1226">
        <v>2.9346485000312001</v>
      </c>
      <c r="M1226">
        <v>3.3188216680368199</v>
      </c>
      <c r="N1226">
        <v>3.31471945394311</v>
      </c>
      <c r="Q1226">
        <f t="shared" si="95"/>
        <v>3.5</v>
      </c>
      <c r="R1226">
        <f t="shared" si="97"/>
        <v>3.1314774317757017</v>
      </c>
      <c r="S1226">
        <f t="shared" si="98"/>
        <v>0.3685225682242983</v>
      </c>
      <c r="T1226">
        <f t="shared" si="99"/>
        <v>0.13580888329063259</v>
      </c>
    </row>
    <row r="1227" spans="1:20" hidden="1" x14ac:dyDescent="0.25">
      <c r="A1227" t="str">
        <f t="shared" si="96"/>
        <v>RIP</v>
      </c>
      <c r="B1227" t="s">
        <v>1233</v>
      </c>
      <c r="C1227">
        <v>0.90634939199999998</v>
      </c>
      <c r="D1227">
        <v>9.7625505000000001E-2</v>
      </c>
      <c r="E1227">
        <v>0.70142539699999995</v>
      </c>
      <c r="F1227">
        <v>0.40992842600000001</v>
      </c>
      <c r="G1227">
        <v>0.81063527000000002</v>
      </c>
      <c r="H1227">
        <v>3.94</v>
      </c>
      <c r="I1227">
        <v>3.6215228447185601</v>
      </c>
      <c r="J1227">
        <v>3.3992277670887998</v>
      </c>
      <c r="K1227">
        <v>3.4587940334533598</v>
      </c>
      <c r="L1227">
        <v>3.51539197022421</v>
      </c>
      <c r="M1227">
        <v>3.51037530590368</v>
      </c>
      <c r="N1227">
        <v>3.50861525575458</v>
      </c>
      <c r="Q1227">
        <f t="shared" si="95"/>
        <v>3.94</v>
      </c>
      <c r="R1227">
        <f t="shared" si="97"/>
        <v>3.4674171697301475</v>
      </c>
      <c r="S1227">
        <f t="shared" si="98"/>
        <v>0.47258283026985248</v>
      </c>
      <c r="T1227">
        <f t="shared" si="99"/>
        <v>0.22333453146586421</v>
      </c>
    </row>
    <row r="1228" spans="1:20" hidden="1" x14ac:dyDescent="0.25">
      <c r="A1228" t="str">
        <f t="shared" si="96"/>
        <v>RIP</v>
      </c>
      <c r="B1228" t="s">
        <v>1234</v>
      </c>
      <c r="C1228">
        <v>0.69328134299999999</v>
      </c>
      <c r="D1228">
        <v>8.4734843000000004E-2</v>
      </c>
      <c r="E1228">
        <v>0.72463013600000004</v>
      </c>
      <c r="F1228">
        <v>0.31195187499999999</v>
      </c>
      <c r="G1228">
        <v>0.82955999899999999</v>
      </c>
      <c r="H1228">
        <v>4.01</v>
      </c>
      <c r="I1228">
        <v>2.95720543666835</v>
      </c>
      <c r="J1228">
        <v>2.7573631484240302</v>
      </c>
      <c r="K1228">
        <v>3.2949380392354102</v>
      </c>
      <c r="L1228">
        <v>3.5523335639866098</v>
      </c>
      <c r="M1228">
        <v>2.8572842925461899</v>
      </c>
      <c r="N1228">
        <v>2.8555366034054801</v>
      </c>
      <c r="Q1228">
        <f t="shared" si="95"/>
        <v>4.01</v>
      </c>
      <c r="R1228">
        <f t="shared" si="97"/>
        <v>2.8476740132889908</v>
      </c>
      <c r="S1228">
        <f t="shared" si="98"/>
        <v>1.162325986711009</v>
      </c>
      <c r="T1228">
        <f t="shared" si="99"/>
        <v>1.3510016993837206</v>
      </c>
    </row>
    <row r="1229" spans="1:20" hidden="1" x14ac:dyDescent="0.25">
      <c r="A1229" t="str">
        <f t="shared" si="96"/>
        <v>RIP</v>
      </c>
      <c r="B1229" t="s">
        <v>1235</v>
      </c>
      <c r="C1229">
        <v>0.888223608</v>
      </c>
      <c r="D1229">
        <v>9.6298183999999995E-2</v>
      </c>
      <c r="E1229">
        <v>0.70915454</v>
      </c>
      <c r="F1229">
        <v>0.39565863099999998</v>
      </c>
      <c r="G1229">
        <v>0.82475591699999995</v>
      </c>
      <c r="H1229">
        <v>3.59</v>
      </c>
      <c r="I1229">
        <v>3.65099312671023</v>
      </c>
      <c r="J1229">
        <v>3.31330039807048</v>
      </c>
      <c r="K1229">
        <v>3.6507664422635799</v>
      </c>
      <c r="L1229">
        <v>3.73219548834106</v>
      </c>
      <c r="M1229">
        <v>3.4821467623903501</v>
      </c>
      <c r="N1229">
        <v>3.4780507443223998</v>
      </c>
      <c r="Q1229">
        <f t="shared" si="95"/>
        <v>3.59</v>
      </c>
      <c r="R1229">
        <f t="shared" si="97"/>
        <v>3.3828078136490523</v>
      </c>
      <c r="S1229">
        <f t="shared" si="98"/>
        <v>0.2071921863509476</v>
      </c>
      <c r="T1229">
        <f t="shared" si="99"/>
        <v>4.2928602084885796E-2</v>
      </c>
    </row>
    <row r="1230" spans="1:20" hidden="1" x14ac:dyDescent="0.25">
      <c r="A1230" t="str">
        <f t="shared" si="96"/>
        <v>RIP</v>
      </c>
      <c r="B1230" t="s">
        <v>1236</v>
      </c>
      <c r="C1230">
        <v>0.807768818</v>
      </c>
      <c r="D1230">
        <v>9.3919205000000006E-2</v>
      </c>
      <c r="E1230">
        <v>0.70012879100000003</v>
      </c>
      <c r="F1230">
        <v>0.34257695399999999</v>
      </c>
      <c r="G1230">
        <v>0.82179416100000002</v>
      </c>
      <c r="H1230">
        <v>3.32</v>
      </c>
      <c r="I1230">
        <v>3.4516803666831302</v>
      </c>
      <c r="J1230">
        <v>3.0751860716238602</v>
      </c>
      <c r="K1230">
        <v>3.5460653674040801</v>
      </c>
      <c r="L1230">
        <v>3.6406847339464101</v>
      </c>
      <c r="M1230">
        <v>3.2634332191534901</v>
      </c>
      <c r="N1230">
        <v>3.2579992920995999</v>
      </c>
      <c r="Q1230">
        <f t="shared" si="95"/>
        <v>3.32</v>
      </c>
      <c r="R1230">
        <f t="shared" si="97"/>
        <v>3.1376333118835178</v>
      </c>
      <c r="S1230">
        <f t="shared" si="98"/>
        <v>0.18236668811648205</v>
      </c>
      <c r="T1230">
        <f t="shared" si="99"/>
        <v>3.3257608934574232E-2</v>
      </c>
    </row>
    <row r="1231" spans="1:20" hidden="1" x14ac:dyDescent="0.25">
      <c r="A1231" t="str">
        <f t="shared" si="96"/>
        <v>RIP</v>
      </c>
      <c r="B1231" t="s">
        <v>1237</v>
      </c>
      <c r="C1231">
        <v>0.92762915800000001</v>
      </c>
      <c r="D1231">
        <v>9.6772785E-2</v>
      </c>
      <c r="E1231">
        <v>0.70683658299999996</v>
      </c>
      <c r="F1231">
        <v>0.347743462</v>
      </c>
      <c r="G1231">
        <v>0.818872347</v>
      </c>
      <c r="H1231">
        <v>3.72</v>
      </c>
      <c r="I1231">
        <v>3.3773993729534002</v>
      </c>
      <c r="J1231">
        <v>3.1168353076714599</v>
      </c>
      <c r="K1231">
        <v>3.26160455429953</v>
      </c>
      <c r="L1231">
        <v>3.3092793876567601</v>
      </c>
      <c r="M1231">
        <v>3.24711734031243</v>
      </c>
      <c r="N1231">
        <v>3.2445026758701601</v>
      </c>
      <c r="Q1231">
        <f t="shared" si="95"/>
        <v>3.72</v>
      </c>
      <c r="R1231">
        <f t="shared" si="97"/>
        <v>3.1463985435679791</v>
      </c>
      <c r="S1231">
        <f t="shared" si="98"/>
        <v>0.5736014564320211</v>
      </c>
      <c r="T1231">
        <f t="shared" si="99"/>
        <v>0.3290186308209358</v>
      </c>
    </row>
    <row r="1232" spans="1:20" hidden="1" x14ac:dyDescent="0.25">
      <c r="A1232" t="str">
        <f t="shared" si="96"/>
        <v>RIP</v>
      </c>
      <c r="B1232" t="s">
        <v>1238</v>
      </c>
      <c r="C1232">
        <v>0.89062286199999996</v>
      </c>
      <c r="D1232">
        <v>0.10088575700000001</v>
      </c>
      <c r="E1232">
        <v>0.70680952200000002</v>
      </c>
      <c r="F1232">
        <v>0.41583137100000001</v>
      </c>
      <c r="G1232">
        <v>0.82124116700000005</v>
      </c>
      <c r="H1232">
        <v>3.93</v>
      </c>
      <c r="I1232">
        <v>4.00558230480123</v>
      </c>
      <c r="J1232">
        <v>3.61808708826565</v>
      </c>
      <c r="K1232">
        <v>3.76592348912357</v>
      </c>
      <c r="L1232">
        <v>3.8167983540883599</v>
      </c>
      <c r="M1232">
        <v>3.81183469653344</v>
      </c>
      <c r="N1232">
        <v>3.8069076187880699</v>
      </c>
      <c r="Q1232">
        <f t="shared" si="95"/>
        <v>3.93</v>
      </c>
      <c r="R1232">
        <f t="shared" si="97"/>
        <v>3.6760869443637407</v>
      </c>
      <c r="S1232">
        <f t="shared" si="98"/>
        <v>0.25391305563625943</v>
      </c>
      <c r="T1232">
        <f t="shared" si="99"/>
        <v>6.4471839822542176E-2</v>
      </c>
    </row>
    <row r="1233" spans="1:20" hidden="1" x14ac:dyDescent="0.25">
      <c r="A1233" t="str">
        <f t="shared" si="96"/>
        <v>RIP</v>
      </c>
      <c r="B1233" t="s">
        <v>1239</v>
      </c>
      <c r="C1233">
        <v>1.303794873</v>
      </c>
      <c r="D1233">
        <v>9.7872806000000007E-2</v>
      </c>
      <c r="E1233">
        <v>0.70239136599999996</v>
      </c>
      <c r="F1233">
        <v>0.45371183599999998</v>
      </c>
      <c r="G1233">
        <v>0.81776618499999998</v>
      </c>
      <c r="H1233">
        <v>3.7</v>
      </c>
      <c r="I1233">
        <v>3.4266800354918199</v>
      </c>
      <c r="J1233">
        <v>3.1765574680344399</v>
      </c>
      <c r="K1233">
        <v>2.9290114294703402</v>
      </c>
      <c r="L1233">
        <v>2.9387455733976</v>
      </c>
      <c r="M1233">
        <v>3.3016187517631299</v>
      </c>
      <c r="N1233">
        <v>3.29924931723962</v>
      </c>
      <c r="Q1233">
        <f t="shared" si="95"/>
        <v>3.7</v>
      </c>
      <c r="R1233">
        <f t="shared" si="97"/>
        <v>3.1855386058473312</v>
      </c>
      <c r="S1233">
        <f t="shared" si="98"/>
        <v>0.514461394152669</v>
      </c>
      <c r="T1233">
        <f t="shared" si="99"/>
        <v>0.26467052607350783</v>
      </c>
    </row>
    <row r="1234" spans="1:20" hidden="1" x14ac:dyDescent="0.25">
      <c r="A1234" t="str">
        <f t="shared" si="96"/>
        <v>RIP</v>
      </c>
      <c r="B1234" t="s">
        <v>1240</v>
      </c>
      <c r="C1234">
        <v>1.257969866</v>
      </c>
      <c r="D1234">
        <v>9.8528395000000005E-2</v>
      </c>
      <c r="E1234">
        <v>0.69397701199999995</v>
      </c>
      <c r="F1234">
        <v>0.48610390799999997</v>
      </c>
      <c r="G1234">
        <v>0.81289880800000003</v>
      </c>
      <c r="H1234">
        <v>4.78</v>
      </c>
      <c r="I1234">
        <v>3.6637900132695602</v>
      </c>
      <c r="J1234">
        <v>3.36032089160026</v>
      </c>
      <c r="K1234">
        <v>3.33686252731877</v>
      </c>
      <c r="L1234">
        <v>3.3368771173739802</v>
      </c>
      <c r="M1234">
        <v>3.5120554524349101</v>
      </c>
      <c r="N1234">
        <v>3.50877615758345</v>
      </c>
      <c r="Q1234">
        <f t="shared" si="95"/>
        <v>4.78</v>
      </c>
      <c r="R1234">
        <f t="shared" si="97"/>
        <v>3.395323855304599</v>
      </c>
      <c r="S1234">
        <f t="shared" si="98"/>
        <v>1.3846761446954012</v>
      </c>
      <c r="T1234">
        <f t="shared" si="99"/>
        <v>1.9173280256885197</v>
      </c>
    </row>
    <row r="1235" spans="1:20" hidden="1" x14ac:dyDescent="0.25">
      <c r="A1235" t="str">
        <f t="shared" si="96"/>
        <v>RIP</v>
      </c>
      <c r="B1235" t="s">
        <v>1241</v>
      </c>
      <c r="C1235">
        <v>0.92512487799999998</v>
      </c>
      <c r="D1235">
        <v>9.8955426999999999E-2</v>
      </c>
      <c r="E1235">
        <v>0.68706218699999999</v>
      </c>
      <c r="F1235">
        <v>0.41803765900000001</v>
      </c>
      <c r="G1235">
        <v>0.80738575700000004</v>
      </c>
      <c r="H1235">
        <v>4.21</v>
      </c>
      <c r="I1235">
        <v>3.8160055312093601</v>
      </c>
      <c r="J1235">
        <v>3.4534231787821699</v>
      </c>
      <c r="K1235">
        <v>3.8464035074599501</v>
      </c>
      <c r="L1235">
        <v>3.9209991568289499</v>
      </c>
      <c r="M1235">
        <v>3.6347143549957601</v>
      </c>
      <c r="N1235">
        <v>3.6301903465024199</v>
      </c>
      <c r="Q1235">
        <f t="shared" si="95"/>
        <v>4.21</v>
      </c>
      <c r="R1235">
        <f t="shared" si="97"/>
        <v>3.5152519588936348</v>
      </c>
      <c r="S1235">
        <f t="shared" si="98"/>
        <v>0.69474804110636512</v>
      </c>
      <c r="T1235">
        <f t="shared" si="99"/>
        <v>0.48267484062113158</v>
      </c>
    </row>
    <row r="1236" spans="1:20" hidden="1" x14ac:dyDescent="0.25">
      <c r="A1236" t="str">
        <f t="shared" si="96"/>
        <v>RIP</v>
      </c>
      <c r="B1236" t="s">
        <v>1242</v>
      </c>
      <c r="C1236">
        <v>0.92219842200000002</v>
      </c>
      <c r="D1236">
        <v>0.10206922</v>
      </c>
      <c r="E1236">
        <v>0.69595080799999998</v>
      </c>
      <c r="F1236">
        <v>0.44943198499999998</v>
      </c>
      <c r="G1236">
        <v>0.81540612700000004</v>
      </c>
      <c r="H1236">
        <v>2.95</v>
      </c>
      <c r="I1236">
        <v>4.2255215339926604</v>
      </c>
      <c r="J1236">
        <v>3.7589228505400798</v>
      </c>
      <c r="K1236">
        <v>3.9813176115890698</v>
      </c>
      <c r="L1236">
        <v>4.0586349461733198</v>
      </c>
      <c r="M1236">
        <v>3.9922221922663699</v>
      </c>
      <c r="N1236">
        <v>3.98539953449766</v>
      </c>
      <c r="Q1236">
        <f t="shared" si="95"/>
        <v>2.95</v>
      </c>
      <c r="R1236">
        <f t="shared" si="97"/>
        <v>3.8224202682757564</v>
      </c>
      <c r="S1236">
        <f t="shared" si="98"/>
        <v>-0.87242026827575625</v>
      </c>
      <c r="T1236">
        <f t="shared" si="99"/>
        <v>0.76111712449834246</v>
      </c>
    </row>
    <row r="1237" spans="1:20" hidden="1" x14ac:dyDescent="0.25">
      <c r="A1237" t="str">
        <f t="shared" si="96"/>
        <v>RIP</v>
      </c>
      <c r="B1237" t="s">
        <v>1243</v>
      </c>
      <c r="C1237">
        <v>0.869570544</v>
      </c>
      <c r="D1237">
        <v>9.8528602000000007E-2</v>
      </c>
      <c r="E1237">
        <v>0.70858840000000001</v>
      </c>
      <c r="F1237">
        <v>0.36145488999999997</v>
      </c>
      <c r="G1237">
        <v>0.82055906899999997</v>
      </c>
      <c r="H1237">
        <v>4.05</v>
      </c>
      <c r="I1237">
        <v>3.6181065324313901</v>
      </c>
      <c r="J1237">
        <v>3.31576446496415</v>
      </c>
      <c r="K1237">
        <v>3.4484474659350601</v>
      </c>
      <c r="L1237">
        <v>3.5335142142817002</v>
      </c>
      <c r="M1237">
        <v>3.4669354986977701</v>
      </c>
      <c r="N1237">
        <v>3.4636381264056202</v>
      </c>
      <c r="Q1237">
        <f t="shared" si="95"/>
        <v>4.05</v>
      </c>
      <c r="R1237">
        <f t="shared" si="97"/>
        <v>3.3581294011221683</v>
      </c>
      <c r="S1237">
        <f t="shared" si="98"/>
        <v>0.69187059887783153</v>
      </c>
      <c r="T1237">
        <f t="shared" si="99"/>
        <v>0.47868492559156928</v>
      </c>
    </row>
    <row r="1238" spans="1:20" hidden="1" x14ac:dyDescent="0.25">
      <c r="A1238" t="str">
        <f t="shared" si="96"/>
        <v>RIP</v>
      </c>
      <c r="B1238" t="s">
        <v>1244</v>
      </c>
      <c r="C1238">
        <v>0.77300473000000003</v>
      </c>
      <c r="D1238">
        <v>9.9402442999999993E-2</v>
      </c>
      <c r="E1238">
        <v>0.71462204600000001</v>
      </c>
      <c r="F1238">
        <v>0.38613358800000003</v>
      </c>
      <c r="G1238">
        <v>0.82224154599999999</v>
      </c>
      <c r="H1238">
        <v>4.3</v>
      </c>
      <c r="I1238">
        <v>3.8430448168928999</v>
      </c>
      <c r="J1238">
        <v>3.55899591572387</v>
      </c>
      <c r="K1238">
        <v>3.7290355906522499</v>
      </c>
      <c r="L1238">
        <v>3.8545829565727798</v>
      </c>
      <c r="M1238">
        <v>3.7010203663083798</v>
      </c>
      <c r="N1238">
        <v>3.6982943105255401</v>
      </c>
      <c r="Q1238">
        <f t="shared" si="95"/>
        <v>4.3</v>
      </c>
      <c r="R1238">
        <f t="shared" si="97"/>
        <v>3.6329484572204516</v>
      </c>
      <c r="S1238">
        <f t="shared" si="98"/>
        <v>0.66705154277954826</v>
      </c>
      <c r="T1238">
        <f t="shared" si="99"/>
        <v>0.44495776072457549</v>
      </c>
    </row>
    <row r="1239" spans="1:20" hidden="1" x14ac:dyDescent="0.25">
      <c r="A1239" t="str">
        <f t="shared" si="96"/>
        <v>RIP</v>
      </c>
      <c r="B1239" t="s">
        <v>1245</v>
      </c>
      <c r="C1239">
        <v>1.0915110109999999</v>
      </c>
      <c r="D1239">
        <v>9.7753217000000003E-2</v>
      </c>
      <c r="E1239">
        <v>0.70885713500000003</v>
      </c>
      <c r="F1239">
        <v>0.43690442800000001</v>
      </c>
      <c r="G1239">
        <v>0.81879572599999995</v>
      </c>
      <c r="H1239">
        <v>4.54</v>
      </c>
      <c r="I1239">
        <v>3.5537627900879798</v>
      </c>
      <c r="J1239">
        <v>3.3320265025597799</v>
      </c>
      <c r="K1239">
        <v>3.5545492216953898</v>
      </c>
      <c r="L1239">
        <v>3.6286087747415898</v>
      </c>
      <c r="M1239">
        <v>3.4428946463238801</v>
      </c>
      <c r="N1239">
        <v>3.4411090945193701</v>
      </c>
      <c r="Q1239">
        <f t="shared" si="95"/>
        <v>4.54</v>
      </c>
      <c r="R1239">
        <f t="shared" si="97"/>
        <v>3.3770008144672206</v>
      </c>
      <c r="S1239">
        <f t="shared" si="98"/>
        <v>1.1629991855327795</v>
      </c>
      <c r="T1239">
        <f t="shared" si="99"/>
        <v>1.3525671055499084</v>
      </c>
    </row>
    <row r="1240" spans="1:20" hidden="1" x14ac:dyDescent="0.25">
      <c r="A1240" t="str">
        <f t="shared" si="96"/>
        <v>RIP</v>
      </c>
      <c r="B1240" t="s">
        <v>1246</v>
      </c>
      <c r="C1240">
        <v>0.98618225299999995</v>
      </c>
      <c r="D1240">
        <v>9.7792922000000004E-2</v>
      </c>
      <c r="E1240">
        <v>0.70720358900000002</v>
      </c>
      <c r="F1240">
        <v>0.371141683</v>
      </c>
      <c r="G1240">
        <v>0.81870391300000001</v>
      </c>
      <c r="H1240">
        <v>3.57</v>
      </c>
      <c r="I1240">
        <v>3.45012975840151</v>
      </c>
      <c r="J1240">
        <v>3.1950344490432099</v>
      </c>
      <c r="K1240">
        <v>3.38179482184534</v>
      </c>
      <c r="L1240">
        <v>3.460355889153</v>
      </c>
      <c r="M1240">
        <v>3.3225821037223602</v>
      </c>
      <c r="N1240">
        <v>3.3201330442863202</v>
      </c>
      <c r="Q1240">
        <f t="shared" si="95"/>
        <v>3.57</v>
      </c>
      <c r="R1240">
        <f t="shared" si="97"/>
        <v>3.2218934436359641</v>
      </c>
      <c r="S1240">
        <f t="shared" si="98"/>
        <v>0.34810655636403576</v>
      </c>
      <c r="T1240">
        <f t="shared" si="99"/>
        <v>0.1211781745836276</v>
      </c>
    </row>
    <row r="1241" spans="1:20" hidden="1" x14ac:dyDescent="0.25">
      <c r="A1241" t="str">
        <f t="shared" si="96"/>
        <v>RIP</v>
      </c>
      <c r="B1241" t="s">
        <v>1247</v>
      </c>
      <c r="C1241">
        <v>0.65554592599999995</v>
      </c>
      <c r="D1241">
        <v>9.8066062999999995E-2</v>
      </c>
      <c r="E1241">
        <v>0.69935041200000003</v>
      </c>
      <c r="F1241">
        <v>0.33335535700000002</v>
      </c>
      <c r="G1241">
        <v>0.80559698800000001</v>
      </c>
      <c r="H1241">
        <v>3.38</v>
      </c>
      <c r="I1241">
        <v>3.6036302985892599</v>
      </c>
      <c r="J1241">
        <v>3.3873672916529101</v>
      </c>
      <c r="K1241">
        <v>3.7413471855548601</v>
      </c>
      <c r="L1241">
        <v>3.8200006891051799</v>
      </c>
      <c r="M1241">
        <v>3.4954987951210899</v>
      </c>
      <c r="N1241">
        <v>3.4938258978733701</v>
      </c>
      <c r="Q1241">
        <f t="shared" si="95"/>
        <v>3.38</v>
      </c>
      <c r="R1241">
        <f t="shared" si="97"/>
        <v>3.4599992705642171</v>
      </c>
      <c r="S1241">
        <f t="shared" si="98"/>
        <v>-7.9999270564217184E-2</v>
      </c>
      <c r="T1241">
        <f t="shared" si="99"/>
        <v>6.399883290806826E-3</v>
      </c>
    </row>
    <row r="1242" spans="1:20" hidden="1" x14ac:dyDescent="0.25">
      <c r="A1242" t="str">
        <f t="shared" si="96"/>
        <v>RIP</v>
      </c>
      <c r="B1242" t="s">
        <v>1248</v>
      </c>
      <c r="C1242">
        <v>0.95641932500000004</v>
      </c>
      <c r="D1242">
        <v>9.3557988999999994E-2</v>
      </c>
      <c r="E1242">
        <v>0.702352439</v>
      </c>
      <c r="F1242">
        <v>0.44995656299999998</v>
      </c>
      <c r="G1242">
        <v>0.814136788</v>
      </c>
      <c r="H1242">
        <v>3.71</v>
      </c>
      <c r="I1242">
        <v>3.5324971659301201</v>
      </c>
      <c r="J1242">
        <v>3.3086979223357198</v>
      </c>
      <c r="K1242">
        <v>3.7838828435570502</v>
      </c>
      <c r="L1242">
        <v>3.8545006188384798</v>
      </c>
      <c r="M1242">
        <v>3.4205975441329199</v>
      </c>
      <c r="N1242">
        <v>3.4187667416145602</v>
      </c>
      <c r="Q1242">
        <f t="shared" si="95"/>
        <v>3.71</v>
      </c>
      <c r="R1242">
        <f t="shared" si="97"/>
        <v>3.4065625567238236</v>
      </c>
      <c r="S1242">
        <f t="shared" si="98"/>
        <v>0.30343744327617639</v>
      </c>
      <c r="T1242">
        <f t="shared" si="99"/>
        <v>9.2074281981982767E-2</v>
      </c>
    </row>
    <row r="1243" spans="1:20" hidden="1" x14ac:dyDescent="0.25">
      <c r="A1243" t="str">
        <f t="shared" si="96"/>
        <v>RIP</v>
      </c>
      <c r="B1243" t="s">
        <v>1249</v>
      </c>
      <c r="C1243">
        <v>0.87656317100000003</v>
      </c>
      <c r="D1243">
        <v>9.5936609000000006E-2</v>
      </c>
      <c r="E1243">
        <v>0.70785890200000001</v>
      </c>
      <c r="F1243">
        <v>0.34694301999999999</v>
      </c>
      <c r="G1243">
        <v>0.81998422100000001</v>
      </c>
      <c r="H1243">
        <v>3.25</v>
      </c>
      <c r="I1243">
        <v>3.3943791603931901</v>
      </c>
      <c r="J1243">
        <v>3.1267888963541401</v>
      </c>
      <c r="K1243">
        <v>3.3462149171160398</v>
      </c>
      <c r="L1243">
        <v>3.4010963592122399</v>
      </c>
      <c r="M1243">
        <v>3.26058402837366</v>
      </c>
      <c r="N1243">
        <v>3.2578377904268501</v>
      </c>
      <c r="Q1243">
        <f t="shared" si="95"/>
        <v>3.25</v>
      </c>
      <c r="R1243">
        <f t="shared" si="97"/>
        <v>3.1702804534856042</v>
      </c>
      <c r="S1243">
        <f t="shared" si="98"/>
        <v>7.9719546514395834E-2</v>
      </c>
      <c r="T1243">
        <f t="shared" si="99"/>
        <v>6.3552060964609212E-3</v>
      </c>
    </row>
    <row r="1244" spans="1:20" hidden="1" x14ac:dyDescent="0.25">
      <c r="A1244" t="str">
        <f t="shared" si="96"/>
        <v>RIP</v>
      </c>
      <c r="B1244" t="s">
        <v>1250</v>
      </c>
      <c r="C1244">
        <v>1.044091761</v>
      </c>
      <c r="D1244">
        <v>9.9344496000000004E-2</v>
      </c>
      <c r="E1244">
        <v>0.71351700200000001</v>
      </c>
      <c r="F1244">
        <v>0.43754579399999999</v>
      </c>
      <c r="G1244">
        <v>0.82467799500000005</v>
      </c>
      <c r="H1244">
        <v>3.61</v>
      </c>
      <c r="I1244">
        <v>3.7669888133324401</v>
      </c>
      <c r="J1244">
        <v>3.47175191465745</v>
      </c>
      <c r="K1244">
        <v>3.4912798043442699</v>
      </c>
      <c r="L1244">
        <v>3.54178807107311</v>
      </c>
      <c r="M1244">
        <v>3.6193703639949399</v>
      </c>
      <c r="N1244">
        <v>3.6163587522783298</v>
      </c>
      <c r="Q1244">
        <f t="shared" si="95"/>
        <v>3.61</v>
      </c>
      <c r="R1244">
        <f t="shared" si="97"/>
        <v>3.5195450748777528</v>
      </c>
      <c r="S1244">
        <f t="shared" si="98"/>
        <v>9.0454925122247065E-2</v>
      </c>
      <c r="T1244">
        <f t="shared" si="99"/>
        <v>8.1820934788713225E-3</v>
      </c>
    </row>
    <row r="1245" spans="1:20" hidden="1" x14ac:dyDescent="0.25">
      <c r="A1245" t="str">
        <f t="shared" si="96"/>
        <v>RIP</v>
      </c>
      <c r="B1245" t="s">
        <v>1251</v>
      </c>
      <c r="C1245">
        <v>0.94543780600000005</v>
      </c>
      <c r="D1245">
        <v>0.10154938400000001</v>
      </c>
      <c r="E1245">
        <v>0.71939266000000002</v>
      </c>
      <c r="F1245">
        <v>0.407566765</v>
      </c>
      <c r="G1245">
        <v>0.82955945600000003</v>
      </c>
      <c r="H1245">
        <v>4.1900000000000004</v>
      </c>
      <c r="I1245">
        <v>3.9635164258470699</v>
      </c>
      <c r="J1245">
        <v>3.5927489495459599</v>
      </c>
      <c r="K1245">
        <v>3.6143742980454201</v>
      </c>
      <c r="L1245">
        <v>3.6569959126111899</v>
      </c>
      <c r="M1245">
        <v>3.7781326876965098</v>
      </c>
      <c r="N1245">
        <v>3.7735817833287002</v>
      </c>
      <c r="Q1245">
        <f t="shared" si="95"/>
        <v>4.1900000000000004</v>
      </c>
      <c r="R1245">
        <f t="shared" si="97"/>
        <v>3.6304438087209965</v>
      </c>
      <c r="S1245">
        <f t="shared" si="98"/>
        <v>0.55955619127900391</v>
      </c>
      <c r="T1245">
        <f t="shared" si="99"/>
        <v>0.31310313119866523</v>
      </c>
    </row>
    <row r="1246" spans="1:20" hidden="1" x14ac:dyDescent="0.25">
      <c r="A1246" t="str">
        <f t="shared" si="96"/>
        <v>RIP</v>
      </c>
      <c r="B1246" t="s">
        <v>1252</v>
      </c>
      <c r="C1246">
        <v>0.71570676099999997</v>
      </c>
      <c r="D1246">
        <v>0.101202168</v>
      </c>
      <c r="E1246">
        <v>0.70996199400000004</v>
      </c>
      <c r="F1246">
        <v>0.34218582800000003</v>
      </c>
      <c r="G1246">
        <v>0.81700078300000001</v>
      </c>
      <c r="H1246">
        <v>3.56</v>
      </c>
      <c r="I1246">
        <v>3.8233146031150498</v>
      </c>
      <c r="J1246">
        <v>3.54592894212109</v>
      </c>
      <c r="K1246">
        <v>3.7132258982902</v>
      </c>
      <c r="L1246">
        <v>3.7335443673715498</v>
      </c>
      <c r="M1246">
        <v>3.6846217726180699</v>
      </c>
      <c r="N1246">
        <v>3.6820105792922302</v>
      </c>
      <c r="Q1246">
        <f t="shared" si="95"/>
        <v>3.56</v>
      </c>
      <c r="R1246">
        <f t="shared" si="97"/>
        <v>3.5943242380662945</v>
      </c>
      <c r="S1246">
        <f t="shared" si="98"/>
        <v>-3.4324238066294477E-2</v>
      </c>
      <c r="T1246">
        <f t="shared" si="99"/>
        <v>1.1781533188316587E-3</v>
      </c>
    </row>
    <row r="1247" spans="1:20" hidden="1" x14ac:dyDescent="0.25">
      <c r="A1247" t="str">
        <f t="shared" si="96"/>
        <v>RIP</v>
      </c>
      <c r="B1247" t="s">
        <v>1253</v>
      </c>
      <c r="C1247">
        <v>1.2890702489999999</v>
      </c>
      <c r="D1247">
        <v>0.10396836800000001</v>
      </c>
      <c r="E1247">
        <v>0.69610925199999996</v>
      </c>
      <c r="F1247">
        <v>0.47211325700000001</v>
      </c>
      <c r="G1247">
        <v>0.79322007999999999</v>
      </c>
      <c r="H1247">
        <v>4.05</v>
      </c>
      <c r="I1247">
        <v>3.57742627539771</v>
      </c>
      <c r="J1247">
        <v>3.5918267418782199</v>
      </c>
      <c r="K1247">
        <v>3.3547768889633098</v>
      </c>
      <c r="L1247">
        <v>3.4101696483979702</v>
      </c>
      <c r="M1247">
        <v>3.5846265086379598</v>
      </c>
      <c r="N1247">
        <v>3.5846192772833301</v>
      </c>
      <c r="Q1247">
        <f t="shared" si="95"/>
        <v>4.05</v>
      </c>
      <c r="R1247">
        <f t="shared" si="97"/>
        <v>3.5764374402429588</v>
      </c>
      <c r="S1247">
        <f t="shared" si="98"/>
        <v>0.47356255975704098</v>
      </c>
      <c r="T1247">
        <f t="shared" si="99"/>
        <v>0.22426149800364101</v>
      </c>
    </row>
    <row r="1248" spans="1:20" hidden="1" x14ac:dyDescent="0.25">
      <c r="A1248" t="str">
        <f t="shared" si="96"/>
        <v>RIP</v>
      </c>
      <c r="B1248" t="s">
        <v>1254</v>
      </c>
      <c r="C1248">
        <v>1.305573173</v>
      </c>
      <c r="D1248">
        <v>0.1030021</v>
      </c>
      <c r="E1248">
        <v>0.69846694399999998</v>
      </c>
      <c r="F1248">
        <v>0.50535268499999997</v>
      </c>
      <c r="G1248">
        <v>0.79908500599999999</v>
      </c>
      <c r="H1248">
        <v>4.04</v>
      </c>
      <c r="I1248">
        <v>3.69403014001499</v>
      </c>
      <c r="J1248">
        <v>3.6412902493696402</v>
      </c>
      <c r="K1248">
        <v>3.44681808967638</v>
      </c>
      <c r="L1248">
        <v>3.5016219055395101</v>
      </c>
      <c r="M1248">
        <v>3.66766019469231</v>
      </c>
      <c r="N1248">
        <v>3.6675653954243499</v>
      </c>
      <c r="Q1248">
        <f t="shared" si="95"/>
        <v>4.04</v>
      </c>
      <c r="R1248">
        <f t="shared" si="97"/>
        <v>3.6505437561941667</v>
      </c>
      <c r="S1248">
        <f t="shared" si="98"/>
        <v>0.38945624380583332</v>
      </c>
      <c r="T1248">
        <f t="shared" si="99"/>
        <v>0.15167616583934868</v>
      </c>
    </row>
    <row r="1249" spans="1:20" hidden="1" x14ac:dyDescent="0.25">
      <c r="A1249" t="str">
        <f t="shared" si="96"/>
        <v>RIP</v>
      </c>
      <c r="B1249" t="s">
        <v>1255</v>
      </c>
      <c r="C1249">
        <v>1.567406844</v>
      </c>
      <c r="D1249">
        <v>0.105007872</v>
      </c>
      <c r="E1249">
        <v>0.69666987000000002</v>
      </c>
      <c r="F1249">
        <v>0.52425062</v>
      </c>
      <c r="G1249">
        <v>0.80065254600000002</v>
      </c>
      <c r="H1249">
        <v>3.8</v>
      </c>
      <c r="I1249">
        <v>3.6163344590583799</v>
      </c>
      <c r="J1249">
        <v>3.5737978231932899</v>
      </c>
      <c r="K1249">
        <v>3.1628791092178501</v>
      </c>
      <c r="L1249">
        <v>3.1850916078262501</v>
      </c>
      <c r="M1249">
        <v>3.59506614112584</v>
      </c>
      <c r="N1249">
        <v>3.5950032291670801</v>
      </c>
      <c r="Q1249">
        <f t="shared" si="95"/>
        <v>3.8</v>
      </c>
      <c r="R1249">
        <f t="shared" si="97"/>
        <v>3.5218877789895515</v>
      </c>
      <c r="S1249">
        <f t="shared" si="98"/>
        <v>0.2781122210104483</v>
      </c>
      <c r="T1249">
        <f t="shared" si="99"/>
        <v>7.7346407475364448E-2</v>
      </c>
    </row>
    <row r="1250" spans="1:20" hidden="1" x14ac:dyDescent="0.25">
      <c r="A1250" t="str">
        <f t="shared" si="96"/>
        <v>RIP</v>
      </c>
      <c r="B1250" t="s">
        <v>1256</v>
      </c>
      <c r="C1250">
        <v>1.2722875</v>
      </c>
      <c r="D1250">
        <v>0.10834516499999999</v>
      </c>
      <c r="E1250">
        <v>0.68208224200000001</v>
      </c>
      <c r="F1250">
        <v>0.44404448499999999</v>
      </c>
      <c r="G1250">
        <v>0.78520247700000001</v>
      </c>
      <c r="H1250">
        <v>4.45</v>
      </c>
      <c r="I1250">
        <v>3.8045844718170998</v>
      </c>
      <c r="J1250">
        <v>3.7888837968342801</v>
      </c>
      <c r="K1250">
        <v>3.2390683278413901</v>
      </c>
      <c r="L1250">
        <v>3.2890346693931098</v>
      </c>
      <c r="M1250">
        <v>3.79673413432569</v>
      </c>
      <c r="N1250">
        <v>3.7967260184210199</v>
      </c>
      <c r="Q1250">
        <f t="shared" si="95"/>
        <v>4.45</v>
      </c>
      <c r="R1250">
        <f t="shared" si="97"/>
        <v>3.7138188085890871</v>
      </c>
      <c r="S1250">
        <f t="shared" si="98"/>
        <v>0.73618119141091309</v>
      </c>
      <c r="T1250">
        <f t="shared" si="99"/>
        <v>0.54196274658719146</v>
      </c>
    </row>
    <row r="1251" spans="1:20" hidden="1" x14ac:dyDescent="0.25">
      <c r="A1251" t="str">
        <f t="shared" si="96"/>
        <v>RIP</v>
      </c>
      <c r="B1251" t="s">
        <v>1257</v>
      </c>
      <c r="C1251">
        <v>1.182726723</v>
      </c>
      <c r="D1251">
        <v>0.100275648</v>
      </c>
      <c r="E1251">
        <v>0.69923216899999996</v>
      </c>
      <c r="F1251">
        <v>0.480069729</v>
      </c>
      <c r="G1251">
        <v>0.79865463400000003</v>
      </c>
      <c r="H1251">
        <v>3.72</v>
      </c>
      <c r="I1251">
        <v>3.5787737588696902</v>
      </c>
      <c r="J1251">
        <v>3.5149169519154202</v>
      </c>
      <c r="K1251">
        <v>3.5691943613209198</v>
      </c>
      <c r="L1251">
        <v>3.63959905818301</v>
      </c>
      <c r="M1251">
        <v>3.5468453553925499</v>
      </c>
      <c r="N1251">
        <v>3.5467016440801902</v>
      </c>
      <c r="Q1251">
        <f t="shared" si="95"/>
        <v>3.72</v>
      </c>
      <c r="R1251">
        <f t="shared" si="97"/>
        <v>3.5531285790656257</v>
      </c>
      <c r="S1251">
        <f t="shared" si="98"/>
        <v>0.16687142093437446</v>
      </c>
      <c r="T1251">
        <f t="shared" si="99"/>
        <v>2.7846071124657187E-2</v>
      </c>
    </row>
    <row r="1252" spans="1:20" hidden="1" x14ac:dyDescent="0.25">
      <c r="A1252" t="str">
        <f t="shared" si="96"/>
        <v>RIP</v>
      </c>
      <c r="B1252" t="s">
        <v>1258</v>
      </c>
      <c r="C1252">
        <v>1.1617649560000001</v>
      </c>
      <c r="D1252">
        <v>0.102317135</v>
      </c>
      <c r="E1252">
        <v>0.70552577999999999</v>
      </c>
      <c r="F1252">
        <v>0.42345509399999998</v>
      </c>
      <c r="G1252">
        <v>0.804327193</v>
      </c>
      <c r="H1252">
        <v>4.03</v>
      </c>
      <c r="I1252">
        <v>3.4979418673381</v>
      </c>
      <c r="J1252">
        <v>3.4554876120906002</v>
      </c>
      <c r="K1252">
        <v>3.3848936983690701</v>
      </c>
      <c r="L1252">
        <v>3.4320875834998801</v>
      </c>
      <c r="M1252">
        <v>3.4767147397143501</v>
      </c>
      <c r="N1252">
        <v>3.4766499378568199</v>
      </c>
      <c r="Q1252">
        <f t="shared" si="95"/>
        <v>4.03</v>
      </c>
      <c r="R1252">
        <f t="shared" si="97"/>
        <v>3.450642672033466</v>
      </c>
      <c r="S1252">
        <f t="shared" si="98"/>
        <v>0.57935732796653427</v>
      </c>
      <c r="T1252">
        <f t="shared" si="99"/>
        <v>0.33565491346852233</v>
      </c>
    </row>
    <row r="1253" spans="1:20" hidden="1" x14ac:dyDescent="0.25">
      <c r="A1253" t="str">
        <f t="shared" si="96"/>
        <v>RIP</v>
      </c>
      <c r="B1253" t="s">
        <v>1259</v>
      </c>
      <c r="C1253">
        <v>0.86330278900000001</v>
      </c>
      <c r="D1253">
        <v>0.101000716</v>
      </c>
      <c r="E1253">
        <v>0.68421188899999996</v>
      </c>
      <c r="F1253">
        <v>0.40079202000000003</v>
      </c>
      <c r="G1253">
        <v>0.78380169499999996</v>
      </c>
      <c r="H1253">
        <v>3.89</v>
      </c>
      <c r="I1253">
        <v>3.6521846937367899</v>
      </c>
      <c r="J1253">
        <v>3.5572974349906601</v>
      </c>
      <c r="K1253">
        <v>3.87241781947291</v>
      </c>
      <c r="L1253">
        <v>3.9324881065699402</v>
      </c>
      <c r="M1253">
        <v>3.6047410643637301</v>
      </c>
      <c r="N1253">
        <v>3.6044288372975299</v>
      </c>
      <c r="Q1253">
        <f t="shared" si="95"/>
        <v>3.89</v>
      </c>
      <c r="R1253">
        <f t="shared" si="97"/>
        <v>3.6098991864173717</v>
      </c>
      <c r="S1253">
        <f t="shared" si="98"/>
        <v>0.28010081358262839</v>
      </c>
      <c r="T1253">
        <f t="shared" si="99"/>
        <v>7.8456465769650346E-2</v>
      </c>
    </row>
    <row r="1254" spans="1:20" hidden="1" x14ac:dyDescent="0.25">
      <c r="A1254" t="str">
        <f t="shared" si="96"/>
        <v>RIP</v>
      </c>
      <c r="B1254" t="s">
        <v>1260</v>
      </c>
      <c r="C1254">
        <v>1.06760174</v>
      </c>
      <c r="D1254">
        <v>0.103296712</v>
      </c>
      <c r="E1254">
        <v>0.70887809099999999</v>
      </c>
      <c r="F1254">
        <v>0.45656814600000001</v>
      </c>
      <c r="G1254">
        <v>0.81240484000000002</v>
      </c>
      <c r="H1254">
        <v>4.7</v>
      </c>
      <c r="I1254">
        <v>3.9068064997533498</v>
      </c>
      <c r="J1254">
        <v>3.7367665680157902</v>
      </c>
      <c r="K1254">
        <v>3.8707318632162799</v>
      </c>
      <c r="L1254">
        <v>3.9483204266141101</v>
      </c>
      <c r="M1254">
        <v>3.8217865338845698</v>
      </c>
      <c r="N1254">
        <v>3.8208407341820898</v>
      </c>
      <c r="Q1254">
        <f t="shared" si="95"/>
        <v>4.7</v>
      </c>
      <c r="R1254">
        <f t="shared" si="97"/>
        <v>3.7653177691570243</v>
      </c>
      <c r="S1254">
        <f t="shared" si="98"/>
        <v>0.93468223084297586</v>
      </c>
      <c r="T1254">
        <f t="shared" si="99"/>
        <v>0.87363087265360206</v>
      </c>
    </row>
    <row r="1255" spans="1:20" hidden="1" x14ac:dyDescent="0.25">
      <c r="A1255" t="str">
        <f t="shared" si="96"/>
        <v>RIP</v>
      </c>
      <c r="B1255" t="s">
        <v>1261</v>
      </c>
      <c r="C1255">
        <v>0.90173676599999997</v>
      </c>
      <c r="D1255">
        <v>0.100853518</v>
      </c>
      <c r="E1255">
        <v>0.69795760399999995</v>
      </c>
      <c r="F1255">
        <v>0.36639034500000001</v>
      </c>
      <c r="G1255">
        <v>0.803168934</v>
      </c>
      <c r="H1255">
        <v>3.45</v>
      </c>
      <c r="I1255">
        <v>3.5678250633872199</v>
      </c>
      <c r="J1255">
        <v>3.4081914933441499</v>
      </c>
      <c r="K1255">
        <v>3.5591910601933301</v>
      </c>
      <c r="L1255">
        <v>3.5937947043816201</v>
      </c>
      <c r="M1255">
        <v>3.4880082783656801</v>
      </c>
      <c r="N1255">
        <v>3.4870949271243501</v>
      </c>
      <c r="Q1255">
        <f t="shared" si="95"/>
        <v>3.45</v>
      </c>
      <c r="R1255">
        <f t="shared" si="97"/>
        <v>3.4331663736562703</v>
      </c>
      <c r="S1255">
        <f t="shared" si="98"/>
        <v>1.6833626343729868E-2</v>
      </c>
      <c r="T1255">
        <f t="shared" si="99"/>
        <v>2.8337097588031619E-4</v>
      </c>
    </row>
    <row r="1256" spans="1:20" hidden="1" x14ac:dyDescent="0.25">
      <c r="A1256" t="str">
        <f t="shared" si="96"/>
        <v>RIP</v>
      </c>
      <c r="B1256" t="s">
        <v>1262</v>
      </c>
      <c r="C1256">
        <v>0.73232219499999995</v>
      </c>
      <c r="D1256">
        <v>0.103689695</v>
      </c>
      <c r="E1256">
        <v>0.70003396900000003</v>
      </c>
      <c r="F1256">
        <v>0.321768463</v>
      </c>
      <c r="G1256">
        <v>0.80154539800000002</v>
      </c>
      <c r="H1256">
        <v>4.45</v>
      </c>
      <c r="I1256">
        <v>3.72379080836436</v>
      </c>
      <c r="J1256">
        <v>3.5857815785490801</v>
      </c>
      <c r="K1256">
        <v>3.5648953287440901</v>
      </c>
      <c r="L1256">
        <v>3.6345758597619202</v>
      </c>
      <c r="M1256">
        <v>3.6547861934567201</v>
      </c>
      <c r="N1256">
        <v>3.6541347105714799</v>
      </c>
      <c r="Q1256">
        <f t="shared" si="95"/>
        <v>4.45</v>
      </c>
      <c r="R1256">
        <f t="shared" si="97"/>
        <v>3.5996690445233916</v>
      </c>
      <c r="S1256">
        <f t="shared" si="98"/>
        <v>0.85033095547660853</v>
      </c>
      <c r="T1256">
        <f t="shared" si="99"/>
        <v>0.72306273384176201</v>
      </c>
    </row>
    <row r="1257" spans="1:20" hidden="1" x14ac:dyDescent="0.25">
      <c r="A1257" t="str">
        <f t="shared" si="96"/>
        <v>RIP</v>
      </c>
      <c r="B1257" t="s">
        <v>1263</v>
      </c>
      <c r="C1257">
        <v>0.92769858800000005</v>
      </c>
      <c r="D1257">
        <v>9.9341069000000004E-2</v>
      </c>
      <c r="E1257">
        <v>0.70746629100000002</v>
      </c>
      <c r="F1257">
        <v>0.423766751</v>
      </c>
      <c r="G1257">
        <v>0.80560034400000002</v>
      </c>
      <c r="H1257">
        <v>3.62</v>
      </c>
      <c r="I1257">
        <v>3.62903958317243</v>
      </c>
      <c r="J1257">
        <v>3.5269941348184299</v>
      </c>
      <c r="K1257">
        <v>3.6524623085249202</v>
      </c>
      <c r="L1257">
        <v>3.7020735899558801</v>
      </c>
      <c r="M1257">
        <v>3.5780168589954302</v>
      </c>
      <c r="N1257">
        <v>3.5776530470230199</v>
      </c>
      <c r="Q1257">
        <f t="shared" si="95"/>
        <v>3.62</v>
      </c>
      <c r="R1257">
        <f t="shared" si="97"/>
        <v>3.5908947247798255</v>
      </c>
      <c r="S1257">
        <f t="shared" si="98"/>
        <v>2.9105275220174587E-2</v>
      </c>
      <c r="T1257">
        <f t="shared" si="99"/>
        <v>8.4711704564210889E-4</v>
      </c>
    </row>
    <row r="1258" spans="1:20" hidden="1" x14ac:dyDescent="0.25">
      <c r="A1258" t="str">
        <f t="shared" si="96"/>
        <v>RIP</v>
      </c>
      <c r="B1258" t="s">
        <v>1264</v>
      </c>
      <c r="C1258">
        <v>0.96142323500000004</v>
      </c>
      <c r="D1258">
        <v>9.9675519000000004E-2</v>
      </c>
      <c r="E1258">
        <v>0.694541187</v>
      </c>
      <c r="F1258">
        <v>0.39352894999999999</v>
      </c>
      <c r="G1258">
        <v>0.79424472700000004</v>
      </c>
      <c r="H1258">
        <v>3.73</v>
      </c>
      <c r="I1258">
        <v>3.4574859538195399</v>
      </c>
      <c r="J1258">
        <v>3.3778393311389401</v>
      </c>
      <c r="K1258">
        <v>3.37531252715638</v>
      </c>
      <c r="L1258">
        <v>3.41526575873934</v>
      </c>
      <c r="M1258">
        <v>3.41766264247924</v>
      </c>
      <c r="N1258">
        <v>3.41743061987688</v>
      </c>
      <c r="Q1258">
        <f t="shared" si="95"/>
        <v>3.73</v>
      </c>
      <c r="R1258">
        <f t="shared" si="97"/>
        <v>3.4134153813719639</v>
      </c>
      <c r="S1258">
        <f t="shared" si="98"/>
        <v>0.31658461862803611</v>
      </c>
      <c r="T1258">
        <f t="shared" si="99"/>
        <v>0.10022582075185907</v>
      </c>
    </row>
    <row r="1259" spans="1:20" hidden="1" x14ac:dyDescent="0.25">
      <c r="A1259" t="str">
        <f t="shared" si="96"/>
        <v>RIP</v>
      </c>
      <c r="B1259" t="s">
        <v>1265</v>
      </c>
      <c r="C1259">
        <v>1.221060917</v>
      </c>
      <c r="D1259">
        <v>9.9299469000000001E-2</v>
      </c>
      <c r="E1259">
        <v>0.70897631000000005</v>
      </c>
      <c r="F1259">
        <v>0.43708712</v>
      </c>
      <c r="G1259">
        <v>0.80943342699999998</v>
      </c>
      <c r="H1259">
        <v>3.8</v>
      </c>
      <c r="I1259">
        <v>3.3463151324175202</v>
      </c>
      <c r="J1259">
        <v>3.2829349643905901</v>
      </c>
      <c r="K1259">
        <v>3.11841817316306</v>
      </c>
      <c r="L1259">
        <v>3.1479509196633</v>
      </c>
      <c r="M1259">
        <v>3.3146250484040598</v>
      </c>
      <c r="N1259">
        <v>3.3144735554960798</v>
      </c>
      <c r="Q1259">
        <f t="shared" si="95"/>
        <v>3.8</v>
      </c>
      <c r="R1259">
        <f t="shared" si="97"/>
        <v>3.2925948575620478</v>
      </c>
      <c r="S1259">
        <f t="shared" si="98"/>
        <v>0.50740514243795198</v>
      </c>
      <c r="T1259">
        <f t="shared" si="99"/>
        <v>0.25745997857247832</v>
      </c>
    </row>
    <row r="1260" spans="1:20" hidden="1" x14ac:dyDescent="0.25">
      <c r="A1260" t="str">
        <f t="shared" si="96"/>
        <v>RIP</v>
      </c>
      <c r="B1260" t="s">
        <v>1266</v>
      </c>
      <c r="C1260">
        <v>1.120208112</v>
      </c>
      <c r="D1260">
        <v>9.7483491000000005E-2</v>
      </c>
      <c r="E1260">
        <v>0.71055310400000005</v>
      </c>
      <c r="F1260">
        <v>0.44389356800000002</v>
      </c>
      <c r="G1260">
        <v>0.81162157599999996</v>
      </c>
      <c r="H1260">
        <v>3.87</v>
      </c>
      <c r="I1260">
        <v>3.4164958942605201</v>
      </c>
      <c r="J1260">
        <v>3.31841097789161</v>
      </c>
      <c r="K1260">
        <v>3.38809228020583</v>
      </c>
      <c r="L1260">
        <v>3.4324502833797998</v>
      </c>
      <c r="M1260">
        <v>3.36745343607606</v>
      </c>
      <c r="N1260">
        <v>3.36709629821241</v>
      </c>
      <c r="Q1260">
        <f t="shared" si="95"/>
        <v>3.87</v>
      </c>
      <c r="R1260">
        <f t="shared" si="97"/>
        <v>3.3628753645230534</v>
      </c>
      <c r="S1260">
        <f t="shared" si="98"/>
        <v>0.50712463547694675</v>
      </c>
      <c r="T1260">
        <f t="shared" si="99"/>
        <v>0.25717539590762611</v>
      </c>
    </row>
    <row r="1261" spans="1:20" hidden="1" x14ac:dyDescent="0.25">
      <c r="A1261" t="str">
        <f t="shared" si="96"/>
        <v>RIP</v>
      </c>
      <c r="B1261" t="s">
        <v>1267</v>
      </c>
      <c r="C1261">
        <v>0.91493091199999999</v>
      </c>
      <c r="D1261">
        <v>9.5990009000000001E-2</v>
      </c>
      <c r="E1261">
        <v>0.69427378299999998</v>
      </c>
      <c r="F1261">
        <v>0.39576855799999999</v>
      </c>
      <c r="G1261">
        <v>0.79252401100000003</v>
      </c>
      <c r="H1261">
        <v>3.38</v>
      </c>
      <c r="I1261">
        <v>3.3399762512635598</v>
      </c>
      <c r="J1261">
        <v>3.24776829798855</v>
      </c>
      <c r="K1261">
        <v>3.35756501816513</v>
      </c>
      <c r="L1261">
        <v>3.3827424922386302</v>
      </c>
      <c r="M1261">
        <v>3.2938722746260498</v>
      </c>
      <c r="N1261">
        <v>3.2935496026154598</v>
      </c>
      <c r="Q1261">
        <f t="shared" si="95"/>
        <v>3.38</v>
      </c>
      <c r="R1261">
        <f t="shared" si="97"/>
        <v>3.3120687397687441</v>
      </c>
      <c r="S1261">
        <f t="shared" si="98"/>
        <v>6.7931260231255841E-2</v>
      </c>
      <c r="T1261">
        <f t="shared" si="99"/>
        <v>4.6146561166066011E-3</v>
      </c>
    </row>
    <row r="1262" spans="1:20" hidden="1" x14ac:dyDescent="0.25">
      <c r="A1262" t="str">
        <f t="shared" si="96"/>
        <v>RIP</v>
      </c>
      <c r="B1262" t="s">
        <v>1268</v>
      </c>
      <c r="C1262">
        <v>1.035227573</v>
      </c>
      <c r="D1262">
        <v>9.5612483999999998E-2</v>
      </c>
      <c r="E1262">
        <v>0.69921967299999999</v>
      </c>
      <c r="F1262">
        <v>0.416297629</v>
      </c>
      <c r="G1262">
        <v>0.79990622700000003</v>
      </c>
      <c r="H1262">
        <v>3.27</v>
      </c>
      <c r="I1262">
        <v>3.28715947254434</v>
      </c>
      <c r="J1262">
        <v>3.19343360023545</v>
      </c>
      <c r="K1262">
        <v>3.5322050130187201</v>
      </c>
      <c r="L1262">
        <v>3.5840090864499601</v>
      </c>
      <c r="M1262">
        <v>3.2402965363898999</v>
      </c>
      <c r="N1262">
        <v>3.23995763999398</v>
      </c>
      <c r="Q1262">
        <f t="shared" si="95"/>
        <v>3.27</v>
      </c>
      <c r="R1262">
        <f t="shared" si="97"/>
        <v>3.2463640234573159</v>
      </c>
      <c r="S1262">
        <f t="shared" si="98"/>
        <v>2.3635976542684123E-2</v>
      </c>
      <c r="T1262">
        <f t="shared" si="99"/>
        <v>5.5865938712631406E-4</v>
      </c>
    </row>
    <row r="1263" spans="1:20" hidden="1" x14ac:dyDescent="0.25">
      <c r="A1263" t="str">
        <f t="shared" si="96"/>
        <v>RIP</v>
      </c>
      <c r="B1263" t="s">
        <v>1269</v>
      </c>
      <c r="C1263">
        <v>0.860638291</v>
      </c>
      <c r="D1263">
        <v>9.8727201000000001E-2</v>
      </c>
      <c r="E1263">
        <v>0.71063002399999997</v>
      </c>
      <c r="F1263">
        <v>0.36751927600000001</v>
      </c>
      <c r="G1263">
        <v>0.81172503600000001</v>
      </c>
      <c r="H1263">
        <v>2.85</v>
      </c>
      <c r="I1263">
        <v>3.5017833477135798</v>
      </c>
      <c r="J1263">
        <v>3.3607000211792299</v>
      </c>
      <c r="K1263">
        <v>3.55416867030987</v>
      </c>
      <c r="L1263">
        <v>3.5985844864834302</v>
      </c>
      <c r="M1263">
        <v>3.4312416844464</v>
      </c>
      <c r="N1263">
        <v>3.4305164874732901</v>
      </c>
      <c r="Q1263">
        <f t="shared" si="95"/>
        <v>2.85</v>
      </c>
      <c r="R1263">
        <f t="shared" si="97"/>
        <v>3.4078091042109104</v>
      </c>
      <c r="S1263">
        <f t="shared" si="98"/>
        <v>-0.55780910421091034</v>
      </c>
      <c r="T1263">
        <f t="shared" si="99"/>
        <v>0.31115099674057822</v>
      </c>
    </row>
    <row r="1264" spans="1:20" hidden="1" x14ac:dyDescent="0.25">
      <c r="A1264" t="str">
        <f t="shared" si="96"/>
        <v>RIP</v>
      </c>
      <c r="B1264" t="s">
        <v>1270</v>
      </c>
      <c r="C1264">
        <v>1.1411306809999999</v>
      </c>
      <c r="D1264">
        <v>9.6894561000000004E-2</v>
      </c>
      <c r="E1264">
        <v>0.71351782900000005</v>
      </c>
      <c r="F1264">
        <v>0.42099290099999997</v>
      </c>
      <c r="G1264">
        <v>0.81623637800000004</v>
      </c>
      <c r="H1264">
        <v>4.1399999999999997</v>
      </c>
      <c r="I1264">
        <v>3.3014244269492199</v>
      </c>
      <c r="J1264">
        <v>3.1894131604660299</v>
      </c>
      <c r="K1264">
        <v>3.2215090180972901</v>
      </c>
      <c r="L1264">
        <v>3.2763462999570399</v>
      </c>
      <c r="M1264">
        <v>3.24541879370762</v>
      </c>
      <c r="N1264">
        <v>3.2449355179411299</v>
      </c>
      <c r="Q1264">
        <f t="shared" si="95"/>
        <v>4.1399999999999997</v>
      </c>
      <c r="R1264">
        <f t="shared" si="97"/>
        <v>3.2181243487012341</v>
      </c>
      <c r="S1264">
        <f t="shared" si="98"/>
        <v>0.92187565129876559</v>
      </c>
      <c r="T1264">
        <f t="shared" si="99"/>
        <v>0.8498547164575232</v>
      </c>
    </row>
    <row r="1265" spans="1:20" hidden="1" x14ac:dyDescent="0.25">
      <c r="A1265" t="str">
        <f t="shared" si="96"/>
        <v>RIP</v>
      </c>
      <c r="B1265" t="s">
        <v>1271</v>
      </c>
      <c r="C1265">
        <v>0.96795157899999995</v>
      </c>
      <c r="D1265">
        <v>0.100111168</v>
      </c>
      <c r="E1265">
        <v>0.70497780799999998</v>
      </c>
      <c r="F1265">
        <v>0.35958543599999998</v>
      </c>
      <c r="G1265">
        <v>0.81225687899999999</v>
      </c>
      <c r="H1265">
        <v>4.3899999999999997</v>
      </c>
      <c r="I1265">
        <v>3.4838267064810502</v>
      </c>
      <c r="J1265">
        <v>3.2881382530014802</v>
      </c>
      <c r="K1265">
        <v>3.30248550991407</v>
      </c>
      <c r="L1265">
        <v>3.3200412883211401</v>
      </c>
      <c r="M1265">
        <v>3.3859824797412599</v>
      </c>
      <c r="N1265">
        <v>3.38456848954316</v>
      </c>
      <c r="Q1265">
        <f t="shared" si="95"/>
        <v>4.3899999999999997</v>
      </c>
      <c r="R1265">
        <f t="shared" si="97"/>
        <v>3.2996128154352693</v>
      </c>
      <c r="S1265">
        <f t="shared" si="98"/>
        <v>1.0903871845647304</v>
      </c>
      <c r="T1265">
        <f t="shared" si="99"/>
        <v>1.1889442122629994</v>
      </c>
    </row>
    <row r="1266" spans="1:20" hidden="1" x14ac:dyDescent="0.25">
      <c r="A1266" t="str">
        <f t="shared" si="96"/>
        <v>RIP</v>
      </c>
      <c r="B1266" t="s">
        <v>1272</v>
      </c>
      <c r="C1266">
        <v>0.68505044100000001</v>
      </c>
      <c r="D1266">
        <v>9.7548863E-2</v>
      </c>
      <c r="E1266">
        <v>0.69990987000000005</v>
      </c>
      <c r="F1266">
        <v>0.32443943800000002</v>
      </c>
      <c r="G1266">
        <v>0.80275416300000002</v>
      </c>
      <c r="H1266">
        <v>3.94</v>
      </c>
      <c r="I1266">
        <v>3.4655377736053299</v>
      </c>
      <c r="J1266">
        <v>3.3002050267861498</v>
      </c>
      <c r="K1266">
        <v>3.5817129813306301</v>
      </c>
      <c r="L1266">
        <v>3.65111408874886</v>
      </c>
      <c r="M1266">
        <v>3.3828714001957398</v>
      </c>
      <c r="N1266">
        <v>3.3818612007250701</v>
      </c>
      <c r="Q1266">
        <f t="shared" si="95"/>
        <v>3.94</v>
      </c>
      <c r="R1266">
        <f t="shared" si="97"/>
        <v>3.3635145116274217</v>
      </c>
      <c r="S1266">
        <f t="shared" si="98"/>
        <v>0.57648548837257829</v>
      </c>
      <c r="T1266">
        <f t="shared" si="99"/>
        <v>0.33233551830417007</v>
      </c>
    </row>
    <row r="1267" spans="1:20" hidden="1" x14ac:dyDescent="0.25">
      <c r="A1267" t="str">
        <f t="shared" si="96"/>
        <v>RIP</v>
      </c>
      <c r="B1267" t="s">
        <v>1273</v>
      </c>
      <c r="C1267">
        <v>1.03561152</v>
      </c>
      <c r="D1267">
        <v>9.7572965999999997E-2</v>
      </c>
      <c r="E1267">
        <v>0.70974970699999995</v>
      </c>
      <c r="F1267">
        <v>0.37026267000000002</v>
      </c>
      <c r="G1267">
        <v>0.81229490999999998</v>
      </c>
      <c r="H1267">
        <v>3.76</v>
      </c>
      <c r="I1267">
        <v>3.2505716077971401</v>
      </c>
      <c r="J1267">
        <v>3.1356838368134099</v>
      </c>
      <c r="K1267">
        <v>3.08663108229204</v>
      </c>
      <c r="L1267">
        <v>3.1303897692343901</v>
      </c>
      <c r="M1267">
        <v>3.1931277223052801</v>
      </c>
      <c r="N1267">
        <v>3.1926109770803701</v>
      </c>
      <c r="Q1267">
        <f t="shared" si="95"/>
        <v>3.76</v>
      </c>
      <c r="R1267">
        <f t="shared" si="97"/>
        <v>3.1525953078768039</v>
      </c>
      <c r="S1267">
        <f t="shared" si="98"/>
        <v>0.60740469212319592</v>
      </c>
      <c r="T1267">
        <f t="shared" si="99"/>
        <v>0.36894046001327441</v>
      </c>
    </row>
    <row r="1268" spans="1:20" hidden="1" x14ac:dyDescent="0.25">
      <c r="A1268" t="str">
        <f t="shared" si="96"/>
        <v>RIP</v>
      </c>
      <c r="B1268" t="s">
        <v>1274</v>
      </c>
      <c r="C1268">
        <v>1.077402325</v>
      </c>
      <c r="D1268">
        <v>9.6806456999999999E-2</v>
      </c>
      <c r="E1268">
        <v>0.70265622299999997</v>
      </c>
      <c r="F1268">
        <v>0.41682075899999999</v>
      </c>
      <c r="G1268">
        <v>0.80593050600000005</v>
      </c>
      <c r="H1268">
        <v>3.6</v>
      </c>
      <c r="I1268">
        <v>3.3272970082381401</v>
      </c>
      <c r="J1268">
        <v>3.2154081865455799</v>
      </c>
      <c r="K1268">
        <v>3.1073600493193601</v>
      </c>
      <c r="L1268">
        <v>3.1560141790490599</v>
      </c>
      <c r="M1268">
        <v>3.2713525973918598</v>
      </c>
      <c r="N1268">
        <v>3.2708742010902099</v>
      </c>
      <c r="Q1268">
        <f t="shared" si="95"/>
        <v>3.6</v>
      </c>
      <c r="R1268">
        <f t="shared" si="97"/>
        <v>3.254967439169401</v>
      </c>
      <c r="S1268">
        <f t="shared" si="98"/>
        <v>0.34503256083059908</v>
      </c>
      <c r="T1268">
        <f t="shared" si="99"/>
        <v>0.11904746803332106</v>
      </c>
    </row>
    <row r="1269" spans="1:20" hidden="1" x14ac:dyDescent="0.25">
      <c r="A1269" t="str">
        <f t="shared" si="96"/>
        <v>RIP</v>
      </c>
      <c r="B1269" t="s">
        <v>1275</v>
      </c>
      <c r="C1269">
        <v>1.239532436</v>
      </c>
      <c r="D1269">
        <v>9.5769215000000005E-2</v>
      </c>
      <c r="E1269">
        <v>0.71932898999999995</v>
      </c>
      <c r="F1269">
        <v>0.42498040100000001</v>
      </c>
      <c r="G1269">
        <v>0.82165732499999999</v>
      </c>
      <c r="H1269">
        <v>4.0599999999999996</v>
      </c>
      <c r="I1269">
        <v>3.15722359164499</v>
      </c>
      <c r="J1269">
        <v>3.0615105502603299</v>
      </c>
      <c r="K1269">
        <v>2.9590525140795898</v>
      </c>
      <c r="L1269">
        <v>2.9972907161070101</v>
      </c>
      <c r="M1269">
        <v>3.10936707095266</v>
      </c>
      <c r="N1269">
        <v>3.1089987673448798</v>
      </c>
      <c r="Q1269">
        <f t="shared" si="95"/>
        <v>4.0599999999999996</v>
      </c>
      <c r="R1269">
        <f t="shared" si="97"/>
        <v>3.076569560008787</v>
      </c>
      <c r="S1269">
        <f t="shared" si="98"/>
        <v>0.9834304399912126</v>
      </c>
      <c r="T1269">
        <f t="shared" si="99"/>
        <v>0.96713543030131</v>
      </c>
    </row>
    <row r="1270" spans="1:20" hidden="1" x14ac:dyDescent="0.25">
      <c r="A1270" t="str">
        <f t="shared" si="96"/>
        <v>RIP</v>
      </c>
      <c r="B1270" t="s">
        <v>1276</v>
      </c>
      <c r="C1270">
        <v>0.61519924100000001</v>
      </c>
      <c r="D1270">
        <v>0.101196947</v>
      </c>
      <c r="E1270">
        <v>0.69033363599999997</v>
      </c>
      <c r="F1270">
        <v>0.31903199999999998</v>
      </c>
      <c r="G1270">
        <v>0.79829236299999995</v>
      </c>
      <c r="H1270">
        <v>3.3</v>
      </c>
      <c r="I1270">
        <v>3.75808127775881</v>
      </c>
      <c r="J1270">
        <v>3.52685585161707</v>
      </c>
      <c r="K1270">
        <v>3.6165051763093099</v>
      </c>
      <c r="L1270">
        <v>3.6551379947945102</v>
      </c>
      <c r="M1270">
        <v>3.64246856468794</v>
      </c>
      <c r="N1270">
        <v>3.6406333165146201</v>
      </c>
      <c r="Q1270">
        <f t="shared" si="95"/>
        <v>3.3</v>
      </c>
      <c r="R1270">
        <f t="shared" si="97"/>
        <v>3.5814381664629265</v>
      </c>
      <c r="S1270">
        <f t="shared" si="98"/>
        <v>-0.28143816646292663</v>
      </c>
      <c r="T1270">
        <f t="shared" si="99"/>
        <v>7.9207441542014007E-2</v>
      </c>
    </row>
    <row r="1271" spans="1:20" hidden="1" x14ac:dyDescent="0.25">
      <c r="A1271" t="str">
        <f t="shared" si="96"/>
        <v>RIP</v>
      </c>
      <c r="B1271" t="s">
        <v>1277</v>
      </c>
      <c r="C1271">
        <v>0.91180762100000001</v>
      </c>
      <c r="D1271">
        <v>9.8595861000000007E-2</v>
      </c>
      <c r="E1271">
        <v>0.70057696199999997</v>
      </c>
      <c r="F1271">
        <v>0.37881348199999998</v>
      </c>
      <c r="G1271">
        <v>0.80440628700000005</v>
      </c>
      <c r="H1271">
        <v>4.28</v>
      </c>
      <c r="I1271">
        <v>3.4711438435787501</v>
      </c>
      <c r="J1271">
        <v>3.3271246674553199</v>
      </c>
      <c r="K1271">
        <v>3.4333673989928899</v>
      </c>
      <c r="L1271">
        <v>3.44201725279994</v>
      </c>
      <c r="M1271">
        <v>3.3991342555170401</v>
      </c>
      <c r="N1271">
        <v>3.3983714197033499</v>
      </c>
      <c r="Q1271">
        <f t="shared" si="95"/>
        <v>4.28</v>
      </c>
      <c r="R1271">
        <f t="shared" si="97"/>
        <v>3.3703267367042802</v>
      </c>
      <c r="S1271">
        <f t="shared" si="98"/>
        <v>0.90967326329572007</v>
      </c>
      <c r="T1271">
        <f t="shared" si="99"/>
        <v>0.82750544595508446</v>
      </c>
    </row>
    <row r="1272" spans="1:20" hidden="1" x14ac:dyDescent="0.25">
      <c r="A1272" t="str">
        <f t="shared" si="96"/>
        <v>RIP</v>
      </c>
      <c r="B1272" t="s">
        <v>1278</v>
      </c>
      <c r="C1272">
        <v>0.88225042099999995</v>
      </c>
      <c r="D1272">
        <v>0.100929299</v>
      </c>
      <c r="E1272">
        <v>0.68061052600000005</v>
      </c>
      <c r="F1272">
        <v>0.379490261</v>
      </c>
      <c r="G1272">
        <v>0.76248879300000005</v>
      </c>
      <c r="H1272">
        <v>3.13</v>
      </c>
      <c r="I1272">
        <v>3.3927377570413402</v>
      </c>
      <c r="J1272">
        <v>3.4498503425204001</v>
      </c>
      <c r="K1272">
        <v>3.3545400851471001</v>
      </c>
      <c r="L1272">
        <v>3.1863287225591099</v>
      </c>
      <c r="M1272">
        <v>3.4212940497808702</v>
      </c>
      <c r="N1272">
        <v>3.42117487322863</v>
      </c>
      <c r="Q1272">
        <f t="shared" si="95"/>
        <v>3.13</v>
      </c>
      <c r="R1272">
        <f t="shared" si="97"/>
        <v>3.4855683604226328</v>
      </c>
      <c r="S1272">
        <f t="shared" si="98"/>
        <v>-0.35556836042263296</v>
      </c>
      <c r="T1272">
        <f t="shared" si="99"/>
        <v>0.12642885893363942</v>
      </c>
    </row>
    <row r="1273" spans="1:20" hidden="1" x14ac:dyDescent="0.25">
      <c r="A1273" t="str">
        <f t="shared" si="96"/>
        <v>RIP</v>
      </c>
      <c r="B1273" t="s">
        <v>1279</v>
      </c>
      <c r="C1273">
        <v>0.78037512099999995</v>
      </c>
      <c r="D1273">
        <v>9.4955881000000006E-2</v>
      </c>
      <c r="E1273">
        <v>0.67325064899999998</v>
      </c>
      <c r="F1273">
        <v>0.34287957099999999</v>
      </c>
      <c r="G1273">
        <v>0.75738208900000004</v>
      </c>
      <c r="H1273">
        <v>4.33</v>
      </c>
      <c r="I1273">
        <v>3.1365351141722302</v>
      </c>
      <c r="J1273">
        <v>3.1060026863686998</v>
      </c>
      <c r="K1273">
        <v>3.3206690861237802</v>
      </c>
      <c r="L1273">
        <v>3.03918495688997</v>
      </c>
      <c r="M1273">
        <v>3.1212689002704699</v>
      </c>
      <c r="N1273">
        <v>3.1212315663065899</v>
      </c>
      <c r="Q1273">
        <f t="shared" si="95"/>
        <v>4.33</v>
      </c>
      <c r="R1273">
        <f t="shared" si="97"/>
        <v>3.1694328224876891</v>
      </c>
      <c r="S1273">
        <f t="shared" si="98"/>
        <v>1.160567177512311</v>
      </c>
      <c r="T1273">
        <f t="shared" si="99"/>
        <v>1.3469161735188919</v>
      </c>
    </row>
    <row r="1274" spans="1:20" hidden="1" x14ac:dyDescent="0.25">
      <c r="A1274" t="str">
        <f t="shared" si="96"/>
        <v>RIP</v>
      </c>
      <c r="B1274" t="s">
        <v>1280</v>
      </c>
      <c r="C1274">
        <v>0.92711831099999997</v>
      </c>
      <c r="D1274">
        <v>0.104016305</v>
      </c>
      <c r="E1274">
        <v>0.66527994099999999</v>
      </c>
      <c r="F1274">
        <v>0.36790278199999998</v>
      </c>
      <c r="G1274">
        <v>0.74956324799999996</v>
      </c>
      <c r="H1274">
        <v>3.54</v>
      </c>
      <c r="I1274">
        <v>3.4002876952538998</v>
      </c>
      <c r="J1274">
        <v>3.5188210825412898</v>
      </c>
      <c r="K1274">
        <v>3.2790738701340101</v>
      </c>
      <c r="L1274">
        <v>3.11765541576538</v>
      </c>
      <c r="M1274">
        <v>3.4595543888975899</v>
      </c>
      <c r="N1274">
        <v>3.4590466936375899</v>
      </c>
      <c r="Q1274">
        <f t="shared" si="95"/>
        <v>3.54</v>
      </c>
      <c r="R1274">
        <f t="shared" si="97"/>
        <v>3.5146513259301742</v>
      </c>
      <c r="S1274">
        <f t="shared" si="98"/>
        <v>2.5348674069825883E-2</v>
      </c>
      <c r="T1274">
        <f t="shared" si="99"/>
        <v>6.4255527709826312E-4</v>
      </c>
    </row>
    <row r="1275" spans="1:20" hidden="1" x14ac:dyDescent="0.25">
      <c r="A1275" t="str">
        <f t="shared" si="96"/>
        <v>RIP</v>
      </c>
      <c r="B1275" t="s">
        <v>1281</v>
      </c>
      <c r="C1275">
        <v>0.89197757799999999</v>
      </c>
      <c r="D1275">
        <v>9.6183375000000002E-2</v>
      </c>
      <c r="E1275">
        <v>0.66422077599999996</v>
      </c>
      <c r="F1275">
        <v>0.35835434799999999</v>
      </c>
      <c r="G1275">
        <v>0.74226453299999995</v>
      </c>
      <c r="H1275">
        <v>3.56</v>
      </c>
      <c r="I1275">
        <v>3.0756816009924801</v>
      </c>
      <c r="J1275">
        <v>3.09256799873486</v>
      </c>
      <c r="K1275">
        <v>3.3407137079193099</v>
      </c>
      <c r="L1275">
        <v>3.14149662126471</v>
      </c>
      <c r="M1275">
        <v>3.0841247998636701</v>
      </c>
      <c r="N1275">
        <v>3.0841132426561302</v>
      </c>
      <c r="Q1275">
        <f t="shared" si="95"/>
        <v>3.56</v>
      </c>
      <c r="R1275">
        <f t="shared" si="97"/>
        <v>3.1363967401713495</v>
      </c>
      <c r="S1275">
        <f t="shared" si="98"/>
        <v>0.42360325982865055</v>
      </c>
      <c r="T1275">
        <f t="shared" si="99"/>
        <v>0.17943972173745923</v>
      </c>
    </row>
    <row r="1276" spans="1:20" hidden="1" x14ac:dyDescent="0.25">
      <c r="A1276" t="str">
        <f t="shared" si="96"/>
        <v>RIP</v>
      </c>
      <c r="B1276" t="s">
        <v>1282</v>
      </c>
      <c r="C1276">
        <v>0.79798352800000005</v>
      </c>
      <c r="D1276">
        <v>9.8408752000000002E-2</v>
      </c>
      <c r="E1276">
        <v>0.65131815000000004</v>
      </c>
      <c r="F1276">
        <v>0.350416546</v>
      </c>
      <c r="G1276">
        <v>0.72705780399999997</v>
      </c>
      <c r="H1276">
        <v>3.21</v>
      </c>
      <c r="I1276">
        <v>3.2236330350193598</v>
      </c>
      <c r="J1276">
        <v>3.24348503127101</v>
      </c>
      <c r="K1276">
        <v>3.48866966653102</v>
      </c>
      <c r="L1276">
        <v>3.2306563017102601</v>
      </c>
      <c r="M1276">
        <v>3.2335590331451902</v>
      </c>
      <c r="N1276">
        <v>3.2335437982801598</v>
      </c>
      <c r="Q1276">
        <f t="shared" si="95"/>
        <v>3.21</v>
      </c>
      <c r="R1276">
        <f t="shared" si="97"/>
        <v>3.2917820660713621</v>
      </c>
      <c r="S1276">
        <f t="shared" si="98"/>
        <v>-8.1782066071362181E-2</v>
      </c>
      <c r="T1276">
        <f t="shared" si="99"/>
        <v>6.6883063309006495E-3</v>
      </c>
    </row>
    <row r="1277" spans="1:20" hidden="1" x14ac:dyDescent="0.25">
      <c r="A1277" t="str">
        <f t="shared" si="96"/>
        <v>RIP</v>
      </c>
      <c r="B1277" t="s">
        <v>1283</v>
      </c>
      <c r="C1277">
        <v>1.175113678</v>
      </c>
      <c r="D1277">
        <v>0.10225231799999999</v>
      </c>
      <c r="E1277">
        <v>0.67021293400000004</v>
      </c>
      <c r="F1277">
        <v>0.41895214600000003</v>
      </c>
      <c r="G1277">
        <v>0.75375123200000005</v>
      </c>
      <c r="H1277">
        <v>3.81</v>
      </c>
      <c r="I1277">
        <v>3.2399349159120701</v>
      </c>
      <c r="J1277">
        <v>3.3594904245217299</v>
      </c>
      <c r="K1277">
        <v>3.0916519328974399</v>
      </c>
      <c r="L1277">
        <v>3.08789653565707</v>
      </c>
      <c r="M1277">
        <v>3.2997126702169002</v>
      </c>
      <c r="N1277">
        <v>3.2991711574394298</v>
      </c>
      <c r="Q1277">
        <f t="shared" si="95"/>
        <v>3.81</v>
      </c>
      <c r="R1277">
        <f t="shared" si="97"/>
        <v>3.3474375100984575</v>
      </c>
      <c r="S1277">
        <f t="shared" si="98"/>
        <v>0.46256248990154258</v>
      </c>
      <c r="T1277">
        <f t="shared" si="99"/>
        <v>0.21396405706391469</v>
      </c>
    </row>
    <row r="1278" spans="1:20" hidden="1" x14ac:dyDescent="0.25">
      <c r="A1278" t="str">
        <f t="shared" si="96"/>
        <v>RIP</v>
      </c>
      <c r="B1278" t="s">
        <v>1284</v>
      </c>
      <c r="C1278">
        <v>1.3066844129999999</v>
      </c>
      <c r="D1278">
        <v>0.10359684</v>
      </c>
      <c r="E1278">
        <v>0.682752845</v>
      </c>
      <c r="F1278">
        <v>0.42439131800000002</v>
      </c>
      <c r="G1278">
        <v>0.76829672500000001</v>
      </c>
      <c r="H1278">
        <v>3.82</v>
      </c>
      <c r="I1278">
        <v>3.17393482575185</v>
      </c>
      <c r="J1278">
        <v>3.3516066957827499</v>
      </c>
      <c r="K1278">
        <v>2.8511522097777999</v>
      </c>
      <c r="L1278">
        <v>2.8761716333179601</v>
      </c>
      <c r="M1278">
        <v>3.2627707607673</v>
      </c>
      <c r="N1278">
        <v>3.2615611620768301</v>
      </c>
      <c r="Q1278">
        <f t="shared" si="95"/>
        <v>3.82</v>
      </c>
      <c r="R1278">
        <f t="shared" si="97"/>
        <v>3.3053984676552917</v>
      </c>
      <c r="S1278">
        <f t="shared" si="98"/>
        <v>0.51460153234470818</v>
      </c>
      <c r="T1278">
        <f t="shared" si="99"/>
        <v>0.26481473709152176</v>
      </c>
    </row>
    <row r="1279" spans="1:20" hidden="1" x14ac:dyDescent="0.25">
      <c r="A1279" t="str">
        <f t="shared" si="96"/>
        <v>RIP</v>
      </c>
      <c r="B1279" t="s">
        <v>1285</v>
      </c>
      <c r="C1279">
        <v>0.94719737400000004</v>
      </c>
      <c r="D1279">
        <v>0.109986999</v>
      </c>
      <c r="E1279">
        <v>0.67774243199999995</v>
      </c>
      <c r="F1279">
        <v>0.368427903</v>
      </c>
      <c r="G1279">
        <v>0.76921990900000003</v>
      </c>
      <c r="H1279">
        <v>3.29</v>
      </c>
      <c r="I1279">
        <v>3.7899539369073199</v>
      </c>
      <c r="J1279">
        <v>3.96266431955382</v>
      </c>
      <c r="K1279">
        <v>3.3473638251712798</v>
      </c>
      <c r="L1279">
        <v>3.20716922866111</v>
      </c>
      <c r="M1279">
        <v>3.8763091282305702</v>
      </c>
      <c r="N1279">
        <v>3.8753471120062501</v>
      </c>
      <c r="Q1279">
        <f t="shared" si="95"/>
        <v>3.29</v>
      </c>
      <c r="R1279">
        <f t="shared" si="97"/>
        <v>3.8875831439433126</v>
      </c>
      <c r="S1279">
        <f t="shared" si="98"/>
        <v>-0.59758314394331258</v>
      </c>
      <c r="T1279">
        <f t="shared" si="99"/>
        <v>0.35710561392517381</v>
      </c>
    </row>
    <row r="1280" spans="1:20" hidden="1" x14ac:dyDescent="0.25">
      <c r="A1280" t="str">
        <f t="shared" si="96"/>
        <v>RIP</v>
      </c>
      <c r="B1280" t="s">
        <v>1286</v>
      </c>
      <c r="C1280">
        <v>0.98149604999999995</v>
      </c>
      <c r="D1280">
        <v>0.10809236899999999</v>
      </c>
      <c r="E1280">
        <v>0.680417983</v>
      </c>
      <c r="F1280">
        <v>0.42568270600000002</v>
      </c>
      <c r="G1280">
        <v>0.77008596699999998</v>
      </c>
      <c r="H1280">
        <v>4.13</v>
      </c>
      <c r="I1280">
        <v>3.8825164630911599</v>
      </c>
      <c r="J1280">
        <v>3.9894404742927199</v>
      </c>
      <c r="K1280">
        <v>3.5833860174465899</v>
      </c>
      <c r="L1280">
        <v>3.5817873152237198</v>
      </c>
      <c r="M1280">
        <v>3.9359784686919399</v>
      </c>
      <c r="N1280">
        <v>3.9356153673807701</v>
      </c>
      <c r="Q1280">
        <f t="shared" si="95"/>
        <v>4.13</v>
      </c>
      <c r="R1280">
        <f t="shared" si="97"/>
        <v>3.9683634073084111</v>
      </c>
      <c r="S1280">
        <f t="shared" si="98"/>
        <v>0.16163659269158881</v>
      </c>
      <c r="T1280">
        <f t="shared" si="99"/>
        <v>2.612638809694658E-2</v>
      </c>
    </row>
    <row r="1281" spans="1:20" hidden="1" x14ac:dyDescent="0.25">
      <c r="A1281" t="str">
        <f t="shared" si="96"/>
        <v>RIP</v>
      </c>
      <c r="B1281" t="s">
        <v>1287</v>
      </c>
      <c r="C1281">
        <v>1.285808289</v>
      </c>
      <c r="D1281">
        <v>0.104410003</v>
      </c>
      <c r="E1281">
        <v>0.67788370899999995</v>
      </c>
      <c r="F1281">
        <v>0.47071738299999999</v>
      </c>
      <c r="G1281">
        <v>0.76603418400000001</v>
      </c>
      <c r="H1281">
        <v>3.86</v>
      </c>
      <c r="I1281">
        <v>3.4719095922291099</v>
      </c>
      <c r="J1281">
        <v>3.5855747299429099</v>
      </c>
      <c r="K1281">
        <v>3.2253575083533401</v>
      </c>
      <c r="L1281">
        <v>3.36803582875456</v>
      </c>
      <c r="M1281">
        <v>3.5287421610860101</v>
      </c>
      <c r="N1281">
        <v>3.5282844696173701</v>
      </c>
      <c r="Q1281">
        <f t="shared" ref="Q1281:Q1344" si="100">H1281</f>
        <v>3.86</v>
      </c>
      <c r="R1281">
        <f t="shared" si="97"/>
        <v>3.5652168603877139</v>
      </c>
      <c r="S1281">
        <f t="shared" si="98"/>
        <v>0.29478313961228597</v>
      </c>
      <c r="T1281">
        <f t="shared" si="99"/>
        <v>8.6897099399676478E-2</v>
      </c>
    </row>
    <row r="1282" spans="1:20" hidden="1" x14ac:dyDescent="0.25">
      <c r="A1282" t="str">
        <f t="shared" si="96"/>
        <v>RIP</v>
      </c>
      <c r="B1282" t="s">
        <v>1288</v>
      </c>
      <c r="C1282">
        <v>0.84922050199999999</v>
      </c>
      <c r="D1282">
        <v>0.101996619</v>
      </c>
      <c r="E1282">
        <v>0.63523737700000005</v>
      </c>
      <c r="F1282">
        <v>0.39052155799999999</v>
      </c>
      <c r="G1282">
        <v>0.720487235</v>
      </c>
      <c r="H1282">
        <v>3.78</v>
      </c>
      <c r="I1282">
        <v>3.5209411731596001</v>
      </c>
      <c r="J1282">
        <v>3.5045140304746898</v>
      </c>
      <c r="K1282">
        <v>3.5859219649980001</v>
      </c>
      <c r="L1282">
        <v>3.4346415817920901</v>
      </c>
      <c r="M1282">
        <v>3.5127276018171401</v>
      </c>
      <c r="N1282">
        <v>3.5127179991872102</v>
      </c>
      <c r="Q1282">
        <f t="shared" si="100"/>
        <v>3.78</v>
      </c>
      <c r="R1282">
        <f t="shared" si="97"/>
        <v>3.5444507528932547</v>
      </c>
      <c r="S1282">
        <f t="shared" si="98"/>
        <v>0.23554924710674507</v>
      </c>
      <c r="T1282">
        <f t="shared" si="99"/>
        <v>5.5483447812554453E-2</v>
      </c>
    </row>
    <row r="1283" spans="1:20" hidden="1" x14ac:dyDescent="0.25">
      <c r="A1283" t="str">
        <f t="shared" ref="A1283:A1346" si="101">LEFT(B1283,3)</f>
        <v>RIP</v>
      </c>
      <c r="B1283" t="s">
        <v>1289</v>
      </c>
      <c r="C1283">
        <v>1.155731896</v>
      </c>
      <c r="D1283">
        <v>0.103145101</v>
      </c>
      <c r="E1283">
        <v>0.65235667799999997</v>
      </c>
      <c r="F1283">
        <v>0.416529604</v>
      </c>
      <c r="G1283">
        <v>0.74158586900000001</v>
      </c>
      <c r="H1283">
        <v>4.34</v>
      </c>
      <c r="I1283">
        <v>3.3101747975013902</v>
      </c>
      <c r="J1283">
        <v>3.3916862730277701</v>
      </c>
      <c r="K1283">
        <v>2.9854686211234802</v>
      </c>
      <c r="L1283">
        <v>2.9301957969650201</v>
      </c>
      <c r="M1283">
        <v>3.3509305352645802</v>
      </c>
      <c r="N1283">
        <v>3.3506826799934202</v>
      </c>
      <c r="Q1283">
        <f t="shared" si="100"/>
        <v>4.34</v>
      </c>
      <c r="R1283">
        <f t="shared" ref="R1283:R1346" si="102">$X$2*F1283+$X$3*D1283*E1283+($X$4/(D1283-$X$5))-$X$6*C1283</f>
        <v>3.3746839305911647</v>
      </c>
      <c r="S1283">
        <f t="shared" ref="S1283:S1346" si="103">Q1283-R1283</f>
        <v>0.96531606940883519</v>
      </c>
      <c r="T1283">
        <f t="shared" ref="T1283:T1346" si="104">S1283^2</f>
        <v>0.93183511385892315</v>
      </c>
    </row>
    <row r="1284" spans="1:20" hidden="1" x14ac:dyDescent="0.25">
      <c r="A1284" t="str">
        <f t="shared" si="101"/>
        <v>RIP</v>
      </c>
      <c r="B1284" t="s">
        <v>1290</v>
      </c>
      <c r="C1284">
        <v>0.92404478999999995</v>
      </c>
      <c r="D1284">
        <v>0.102931086</v>
      </c>
      <c r="E1284">
        <v>0.63403187699999997</v>
      </c>
      <c r="F1284">
        <v>0.41475778000000002</v>
      </c>
      <c r="G1284">
        <v>0.726454716</v>
      </c>
      <c r="H1284">
        <v>4.2300000000000004</v>
      </c>
      <c r="I1284">
        <v>3.6142571423641501</v>
      </c>
      <c r="J1284">
        <v>3.5714076932744798</v>
      </c>
      <c r="K1284">
        <v>3.59989734687441</v>
      </c>
      <c r="L1284">
        <v>3.56558268247925</v>
      </c>
      <c r="M1284">
        <v>3.5928324178193098</v>
      </c>
      <c r="N1284">
        <v>3.5927685374529199</v>
      </c>
      <c r="Q1284">
        <f t="shared" si="100"/>
        <v>4.2300000000000004</v>
      </c>
      <c r="R1284">
        <f t="shared" si="102"/>
        <v>3.603411175520022</v>
      </c>
      <c r="S1284">
        <f t="shared" si="103"/>
        <v>0.62658882447997843</v>
      </c>
      <c r="T1284">
        <f t="shared" si="104"/>
        <v>0.39261355496320122</v>
      </c>
    </row>
    <row r="1285" spans="1:20" hidden="1" x14ac:dyDescent="0.25">
      <c r="A1285" t="str">
        <f t="shared" si="101"/>
        <v>RIP</v>
      </c>
      <c r="B1285" t="s">
        <v>1291</v>
      </c>
      <c r="C1285">
        <v>0.85129514299999998</v>
      </c>
      <c r="D1285">
        <v>0.102241041</v>
      </c>
      <c r="E1285">
        <v>0.63936208999999999</v>
      </c>
      <c r="F1285">
        <v>0.35055165199999999</v>
      </c>
      <c r="G1285">
        <v>0.72820222599999995</v>
      </c>
      <c r="H1285">
        <v>3.49</v>
      </c>
      <c r="I1285">
        <v>3.3343010113229701</v>
      </c>
      <c r="J1285">
        <v>3.3770527689230199</v>
      </c>
      <c r="K1285">
        <v>3.3668286625929702</v>
      </c>
      <c r="L1285">
        <v>3.18067004296128</v>
      </c>
      <c r="M1285">
        <v>3.3556768901230001</v>
      </c>
      <c r="N1285">
        <v>3.3556088065671599</v>
      </c>
      <c r="Q1285">
        <f t="shared" si="100"/>
        <v>3.49</v>
      </c>
      <c r="R1285">
        <f t="shared" si="102"/>
        <v>3.3905491871262896</v>
      </c>
      <c r="S1285">
        <f t="shared" si="103"/>
        <v>9.9450812873710603E-2</v>
      </c>
      <c r="T1285">
        <f t="shared" si="104"/>
        <v>9.8904641812418027E-3</v>
      </c>
    </row>
    <row r="1286" spans="1:20" hidden="1" x14ac:dyDescent="0.25">
      <c r="A1286" t="str">
        <f t="shared" si="101"/>
        <v>RIP</v>
      </c>
      <c r="B1286" t="s">
        <v>1292</v>
      </c>
      <c r="C1286">
        <v>0.82721000300000003</v>
      </c>
      <c r="D1286">
        <v>0.10338887500000001</v>
      </c>
      <c r="E1286">
        <v>0.65687411200000001</v>
      </c>
      <c r="F1286">
        <v>0.38082445599999998</v>
      </c>
      <c r="G1286">
        <v>0.74764314300000001</v>
      </c>
      <c r="H1286">
        <v>3.5</v>
      </c>
      <c r="I1286">
        <v>3.6035414208465602</v>
      </c>
      <c r="J1286">
        <v>3.6120126778130399</v>
      </c>
      <c r="K1286">
        <v>3.6251989912397899</v>
      </c>
      <c r="L1286">
        <v>3.4705376562792201</v>
      </c>
      <c r="M1286">
        <v>3.6077770493297998</v>
      </c>
      <c r="N1286">
        <v>3.6077745629573599</v>
      </c>
      <c r="Q1286">
        <f t="shared" si="100"/>
        <v>3.5</v>
      </c>
      <c r="R1286">
        <f t="shared" si="102"/>
        <v>3.641712176282466</v>
      </c>
      <c r="S1286">
        <f t="shared" si="103"/>
        <v>-0.14171217628246602</v>
      </c>
      <c r="T1286">
        <f t="shared" si="104"/>
        <v>2.0082340906712723E-2</v>
      </c>
    </row>
    <row r="1287" spans="1:20" hidden="1" x14ac:dyDescent="0.25">
      <c r="A1287" t="str">
        <f t="shared" si="101"/>
        <v>RIP</v>
      </c>
      <c r="B1287" t="s">
        <v>1293</v>
      </c>
      <c r="C1287">
        <v>1.326367748</v>
      </c>
      <c r="D1287">
        <v>0.105446895</v>
      </c>
      <c r="E1287">
        <v>0.67575277700000003</v>
      </c>
      <c r="F1287">
        <v>0.43862077599999999</v>
      </c>
      <c r="G1287">
        <v>0.76421841400000001</v>
      </c>
      <c r="H1287">
        <v>3.33</v>
      </c>
      <c r="I1287">
        <v>3.3157041250197601</v>
      </c>
      <c r="J1287">
        <v>3.49194618519032</v>
      </c>
      <c r="K1287">
        <v>2.9068485801782802</v>
      </c>
      <c r="L1287">
        <v>2.98143996439638</v>
      </c>
      <c r="M1287">
        <v>3.4038251551050398</v>
      </c>
      <c r="N1287">
        <v>3.4026842889963498</v>
      </c>
      <c r="Q1287">
        <f t="shared" si="100"/>
        <v>3.33</v>
      </c>
      <c r="R1287">
        <f t="shared" si="102"/>
        <v>3.4336720279212996</v>
      </c>
      <c r="S1287">
        <f t="shared" si="103"/>
        <v>-0.10367202792129948</v>
      </c>
      <c r="T1287">
        <f t="shared" si="104"/>
        <v>1.0747889373314699E-2</v>
      </c>
    </row>
    <row r="1288" spans="1:20" hidden="1" x14ac:dyDescent="0.25">
      <c r="A1288" t="str">
        <f t="shared" si="101"/>
        <v>RIP</v>
      </c>
      <c r="B1288" t="s">
        <v>1294</v>
      </c>
      <c r="C1288">
        <v>1.3233955449999999</v>
      </c>
      <c r="D1288">
        <v>0.10489364700000001</v>
      </c>
      <c r="E1288">
        <v>0.68126768599999998</v>
      </c>
      <c r="F1288">
        <v>0.45950261100000001</v>
      </c>
      <c r="G1288">
        <v>0.77357476400000003</v>
      </c>
      <c r="H1288">
        <v>3.66</v>
      </c>
      <c r="I1288">
        <v>3.4355301030819101</v>
      </c>
      <c r="J1288">
        <v>3.5445487528706798</v>
      </c>
      <c r="K1288">
        <v>2.8766081445785798</v>
      </c>
      <c r="L1288">
        <v>2.92055087430046</v>
      </c>
      <c r="M1288">
        <v>3.4900394279762899</v>
      </c>
      <c r="N1288">
        <v>3.4896137239426199</v>
      </c>
      <c r="Q1288">
        <f t="shared" si="100"/>
        <v>3.66</v>
      </c>
      <c r="R1288">
        <f t="shared" si="102"/>
        <v>3.5051971257784329</v>
      </c>
      <c r="S1288">
        <f t="shared" si="103"/>
        <v>0.15480287422156724</v>
      </c>
      <c r="T1288">
        <f t="shared" si="104"/>
        <v>2.3963929867258368E-2</v>
      </c>
    </row>
    <row r="1289" spans="1:20" hidden="1" x14ac:dyDescent="0.25">
      <c r="A1289" t="str">
        <f t="shared" si="101"/>
        <v>RIP</v>
      </c>
      <c r="B1289" t="s">
        <v>1295</v>
      </c>
      <c r="C1289">
        <v>1.3162481070000001</v>
      </c>
      <c r="D1289">
        <v>0.108624477</v>
      </c>
      <c r="E1289">
        <v>0.67426042200000003</v>
      </c>
      <c r="F1289">
        <v>0.49591999799999997</v>
      </c>
      <c r="G1289">
        <v>0.76440295700000005</v>
      </c>
      <c r="H1289">
        <v>4.54</v>
      </c>
      <c r="I1289">
        <v>3.78617701622131</v>
      </c>
      <c r="J1289">
        <v>3.9428627581912998</v>
      </c>
      <c r="K1289">
        <v>3.1768307380355401</v>
      </c>
      <c r="L1289">
        <v>3.25340400441516</v>
      </c>
      <c r="M1289">
        <v>3.8645198872063098</v>
      </c>
      <c r="N1289">
        <v>3.8637257088435901</v>
      </c>
      <c r="Q1289">
        <f t="shared" si="100"/>
        <v>4.54</v>
      </c>
      <c r="R1289">
        <f t="shared" si="102"/>
        <v>3.8861366423939954</v>
      </c>
      <c r="S1289">
        <f t="shared" si="103"/>
        <v>0.65386335760600467</v>
      </c>
      <c r="T1289">
        <f t="shared" si="104"/>
        <v>0.42753729041979793</v>
      </c>
    </row>
    <row r="1290" spans="1:20" hidden="1" x14ac:dyDescent="0.25">
      <c r="A1290" t="str">
        <f t="shared" si="101"/>
        <v>RIP</v>
      </c>
      <c r="B1290" t="s">
        <v>1296</v>
      </c>
      <c r="C1290">
        <v>1.0301606889999999</v>
      </c>
      <c r="D1290">
        <v>0.10737909700000001</v>
      </c>
      <c r="E1290">
        <v>0.67628590300000002</v>
      </c>
      <c r="F1290">
        <v>0.41405093100000001</v>
      </c>
      <c r="G1290">
        <v>0.76591018600000005</v>
      </c>
      <c r="H1290">
        <v>4.1399999999999997</v>
      </c>
      <c r="I1290">
        <v>3.7120721513393402</v>
      </c>
      <c r="J1290">
        <v>3.8362194842944701</v>
      </c>
      <c r="K1290">
        <v>3.3786885237741999</v>
      </c>
      <c r="L1290">
        <v>3.3670342743423798</v>
      </c>
      <c r="M1290">
        <v>3.7741458178169101</v>
      </c>
      <c r="N1290">
        <v>3.7736353181083699</v>
      </c>
      <c r="Q1290">
        <f t="shared" si="100"/>
        <v>4.1399999999999997</v>
      </c>
      <c r="R1290">
        <f t="shared" si="102"/>
        <v>3.8059024507238606</v>
      </c>
      <c r="S1290">
        <f t="shared" si="103"/>
        <v>0.33409754927613911</v>
      </c>
      <c r="T1290">
        <f t="shared" si="104"/>
        <v>0.1116211724323222</v>
      </c>
    </row>
    <row r="1291" spans="1:20" hidden="1" x14ac:dyDescent="0.25">
      <c r="A1291" t="str">
        <f t="shared" si="101"/>
        <v>RIP</v>
      </c>
      <c r="B1291" t="s">
        <v>1297</v>
      </c>
      <c r="C1291">
        <v>1.089866271</v>
      </c>
      <c r="D1291">
        <v>0.10371132399999999</v>
      </c>
      <c r="E1291">
        <v>0.67213769599999995</v>
      </c>
      <c r="F1291">
        <v>0.43154378399999999</v>
      </c>
      <c r="G1291">
        <v>0.75920739100000001</v>
      </c>
      <c r="H1291">
        <v>3.07</v>
      </c>
      <c r="I1291">
        <v>3.5032120340397501</v>
      </c>
      <c r="J1291">
        <v>3.58288074304222</v>
      </c>
      <c r="K1291">
        <v>3.41786038251422</v>
      </c>
      <c r="L1291">
        <v>3.4518419771459601</v>
      </c>
      <c r="M1291">
        <v>3.54304638854099</v>
      </c>
      <c r="N1291">
        <v>3.54282245329268</v>
      </c>
      <c r="Q1291">
        <f t="shared" si="100"/>
        <v>3.07</v>
      </c>
      <c r="R1291">
        <f t="shared" si="102"/>
        <v>3.5858759215088902</v>
      </c>
      <c r="S1291">
        <f t="shared" si="103"/>
        <v>-0.51587592150889039</v>
      </c>
      <c r="T1291">
        <f t="shared" si="104"/>
        <v>0.26612796639264685</v>
      </c>
    </row>
    <row r="1292" spans="1:20" hidden="1" x14ac:dyDescent="0.25">
      <c r="A1292" t="str">
        <f t="shared" si="101"/>
        <v>RIP</v>
      </c>
      <c r="B1292" t="s">
        <v>1298</v>
      </c>
      <c r="C1292">
        <v>1.143931874</v>
      </c>
      <c r="D1292">
        <v>0.101355162</v>
      </c>
      <c r="E1292">
        <v>0.65381215800000003</v>
      </c>
      <c r="F1292">
        <v>0.37093742699999999</v>
      </c>
      <c r="G1292">
        <v>0.73468040099999998</v>
      </c>
      <c r="H1292">
        <v>3.22</v>
      </c>
      <c r="I1292">
        <v>2.9773418298624099</v>
      </c>
      <c r="J1292">
        <v>3.1339158919315602</v>
      </c>
      <c r="K1292">
        <v>2.80264399325864</v>
      </c>
      <c r="L1292">
        <v>2.6875632485312599</v>
      </c>
      <c r="M1292">
        <v>3.0556288608969799</v>
      </c>
      <c r="N1292">
        <v>3.05462581608916</v>
      </c>
      <c r="Q1292">
        <f t="shared" si="100"/>
        <v>3.22</v>
      </c>
      <c r="R1292">
        <f t="shared" si="102"/>
        <v>3.1041883538530239</v>
      </c>
      <c r="S1292">
        <f t="shared" si="103"/>
        <v>0.11581164614697625</v>
      </c>
      <c r="T1292">
        <f t="shared" si="104"/>
        <v>1.341233738327244E-2</v>
      </c>
    </row>
    <row r="1293" spans="1:20" hidden="1" x14ac:dyDescent="0.25">
      <c r="A1293" t="str">
        <f t="shared" si="101"/>
        <v>RIP</v>
      </c>
      <c r="B1293" t="s">
        <v>1299</v>
      </c>
      <c r="C1293">
        <v>0.85986604700000002</v>
      </c>
      <c r="D1293">
        <v>0.105373063</v>
      </c>
      <c r="E1293">
        <v>0.67524053799999995</v>
      </c>
      <c r="F1293">
        <v>0.35717840000000001</v>
      </c>
      <c r="G1293">
        <v>0.763869833</v>
      </c>
      <c r="H1293">
        <v>4.3499999999999996</v>
      </c>
      <c r="I1293">
        <v>3.5549812220567301</v>
      </c>
      <c r="J1293">
        <v>3.65341258383833</v>
      </c>
      <c r="K1293">
        <v>3.2154150147845799</v>
      </c>
      <c r="L1293">
        <v>3.0314037900094801</v>
      </c>
      <c r="M1293">
        <v>3.60419690294753</v>
      </c>
      <c r="N1293">
        <v>3.60386086467985</v>
      </c>
      <c r="Q1293">
        <f t="shared" si="100"/>
        <v>4.3499999999999996</v>
      </c>
      <c r="R1293">
        <f t="shared" si="102"/>
        <v>3.645572031395159</v>
      </c>
      <c r="S1293">
        <f t="shared" si="103"/>
        <v>0.70442796860484069</v>
      </c>
      <c r="T1293">
        <f t="shared" si="104"/>
        <v>0.49621876295274242</v>
      </c>
    </row>
    <row r="1294" spans="1:20" hidden="1" x14ac:dyDescent="0.25">
      <c r="A1294" t="str">
        <f t="shared" si="101"/>
        <v>RIP</v>
      </c>
      <c r="B1294" t="s">
        <v>1300</v>
      </c>
      <c r="C1294">
        <v>1.1652585639999999</v>
      </c>
      <c r="D1294">
        <v>0.10778289000000001</v>
      </c>
      <c r="E1294">
        <v>0.65999096300000004</v>
      </c>
      <c r="F1294">
        <v>0.426179364</v>
      </c>
      <c r="G1294">
        <v>0.75424570999999996</v>
      </c>
      <c r="H1294">
        <v>4.12</v>
      </c>
      <c r="I1294">
        <v>3.6242866926059998</v>
      </c>
      <c r="J1294">
        <v>3.7457859167068102</v>
      </c>
      <c r="K1294">
        <v>3.07884496771783</v>
      </c>
      <c r="L1294">
        <v>3.06821755506405</v>
      </c>
      <c r="M1294">
        <v>3.6850363046564101</v>
      </c>
      <c r="N1294">
        <v>3.6845355272098401</v>
      </c>
      <c r="Q1294">
        <f t="shared" si="100"/>
        <v>4.12</v>
      </c>
      <c r="R1294">
        <f t="shared" si="102"/>
        <v>3.6882632162473046</v>
      </c>
      <c r="S1294">
        <f t="shared" si="103"/>
        <v>0.43173678375269553</v>
      </c>
      <c r="T1294">
        <f t="shared" si="104"/>
        <v>0.18639665044512177</v>
      </c>
    </row>
    <row r="1295" spans="1:20" hidden="1" x14ac:dyDescent="0.25">
      <c r="A1295" t="str">
        <f t="shared" si="101"/>
        <v>RIP</v>
      </c>
      <c r="B1295" t="s">
        <v>1301</v>
      </c>
      <c r="C1295">
        <v>0.87888882999999995</v>
      </c>
      <c r="D1295">
        <v>0.104435295</v>
      </c>
      <c r="E1295">
        <v>0.666840408</v>
      </c>
      <c r="F1295">
        <v>0.37780067000000001</v>
      </c>
      <c r="G1295">
        <v>0.75727740499999996</v>
      </c>
      <c r="H1295">
        <v>3.96</v>
      </c>
      <c r="I1295">
        <v>3.58065908776268</v>
      </c>
      <c r="J1295">
        <v>3.6329980352704898</v>
      </c>
      <c r="K1295">
        <v>3.3796315653482698</v>
      </c>
      <c r="L1295">
        <v>3.2286304194683102</v>
      </c>
      <c r="M1295">
        <v>3.60682856151658</v>
      </c>
      <c r="N1295">
        <v>3.6067336234902698</v>
      </c>
      <c r="Q1295">
        <f t="shared" si="100"/>
        <v>3.96</v>
      </c>
      <c r="R1295">
        <f t="shared" si="102"/>
        <v>3.6417481407861514</v>
      </c>
      <c r="S1295">
        <f t="shared" si="103"/>
        <v>0.31825185921384858</v>
      </c>
      <c r="T1295">
        <f t="shared" si="104"/>
        <v>0.10128424589307129</v>
      </c>
    </row>
    <row r="1296" spans="1:20" hidden="1" x14ac:dyDescent="0.25">
      <c r="A1296" t="str">
        <f t="shared" si="101"/>
        <v>RIP</v>
      </c>
      <c r="B1296" t="s">
        <v>1302</v>
      </c>
      <c r="C1296">
        <v>0.71911585899999997</v>
      </c>
      <c r="D1296">
        <v>0.100567399</v>
      </c>
      <c r="E1296">
        <v>0.684730163</v>
      </c>
      <c r="F1296">
        <v>0.31793637400000002</v>
      </c>
      <c r="G1296">
        <v>0.76960687699999997</v>
      </c>
      <c r="H1296">
        <v>3.51</v>
      </c>
      <c r="I1296">
        <v>3.3316113286804998</v>
      </c>
      <c r="J1296">
        <v>3.3739944725858599</v>
      </c>
      <c r="K1296">
        <v>3.2193780244168901</v>
      </c>
      <c r="L1296">
        <v>2.9480971446450299</v>
      </c>
      <c r="M1296">
        <v>3.3528029006331801</v>
      </c>
      <c r="N1296">
        <v>3.3527359287263399</v>
      </c>
      <c r="Q1296">
        <f t="shared" si="100"/>
        <v>3.51</v>
      </c>
      <c r="R1296">
        <f t="shared" si="102"/>
        <v>3.4092701214168901</v>
      </c>
      <c r="S1296">
        <f t="shared" si="103"/>
        <v>0.10072987858310967</v>
      </c>
      <c r="T1296">
        <f t="shared" si="104"/>
        <v>1.0146508439368016E-2</v>
      </c>
    </row>
    <row r="1297" spans="1:20" hidden="1" x14ac:dyDescent="0.25">
      <c r="A1297" t="str">
        <f t="shared" si="101"/>
        <v>RIP</v>
      </c>
      <c r="B1297" t="s">
        <v>1303</v>
      </c>
      <c r="C1297">
        <v>1.0392201379999999</v>
      </c>
      <c r="D1297">
        <v>0.10694678000000001</v>
      </c>
      <c r="E1297">
        <v>0.64228086900000003</v>
      </c>
      <c r="F1297">
        <v>0.41382666600000001</v>
      </c>
      <c r="G1297">
        <v>0.72852391999999999</v>
      </c>
      <c r="H1297">
        <v>3.9</v>
      </c>
      <c r="I1297">
        <v>3.6024852351019101</v>
      </c>
      <c r="J1297">
        <v>3.73176324927518</v>
      </c>
      <c r="K1297">
        <v>3.3570497767196601</v>
      </c>
      <c r="L1297">
        <v>3.3223819778419799</v>
      </c>
      <c r="M1297">
        <v>3.6671242421885499</v>
      </c>
      <c r="N1297">
        <v>3.6665545143103699</v>
      </c>
      <c r="Q1297">
        <f t="shared" si="100"/>
        <v>3.9</v>
      </c>
      <c r="R1297">
        <f t="shared" si="102"/>
        <v>3.7022031826192752</v>
      </c>
      <c r="S1297">
        <f t="shared" si="103"/>
        <v>0.19779681738072474</v>
      </c>
      <c r="T1297">
        <f t="shared" si="104"/>
        <v>3.9123580965943774E-2</v>
      </c>
    </row>
    <row r="1298" spans="1:20" hidden="1" x14ac:dyDescent="0.25">
      <c r="A1298" t="str">
        <f t="shared" si="101"/>
        <v>RIP</v>
      </c>
      <c r="B1298" t="s">
        <v>1304</v>
      </c>
      <c r="C1298">
        <v>1.163431439</v>
      </c>
      <c r="D1298">
        <v>0.103836632</v>
      </c>
      <c r="E1298">
        <v>0.65238850100000001</v>
      </c>
      <c r="F1298">
        <v>0.40397872699999998</v>
      </c>
      <c r="G1298">
        <v>0.73716603300000005</v>
      </c>
      <c r="H1298">
        <v>3.97</v>
      </c>
      <c r="I1298">
        <v>3.2390195284277001</v>
      </c>
      <c r="J1298">
        <v>3.3805876252813798</v>
      </c>
      <c r="K1298">
        <v>3.0098159095069299</v>
      </c>
      <c r="L1298">
        <v>2.9713921199581601</v>
      </c>
      <c r="M1298">
        <v>3.3098035768545402</v>
      </c>
      <c r="N1298">
        <v>3.3090465901596802</v>
      </c>
      <c r="Q1298">
        <f t="shared" si="100"/>
        <v>3.97</v>
      </c>
      <c r="R1298">
        <f t="shared" si="102"/>
        <v>3.3487555774600706</v>
      </c>
      <c r="S1298">
        <f t="shared" si="103"/>
        <v>0.62124442253992962</v>
      </c>
      <c r="T1298">
        <f t="shared" si="104"/>
        <v>0.38594463253697059</v>
      </c>
    </row>
    <row r="1299" spans="1:20" hidden="1" x14ac:dyDescent="0.25">
      <c r="A1299" t="str">
        <f t="shared" si="101"/>
        <v>RIP</v>
      </c>
      <c r="B1299" t="s">
        <v>1305</v>
      </c>
      <c r="C1299">
        <v>0.90516468900000002</v>
      </c>
      <c r="D1299">
        <v>0.108397332</v>
      </c>
      <c r="E1299">
        <v>0.66033695000000003</v>
      </c>
      <c r="F1299">
        <v>0.39627572</v>
      </c>
      <c r="G1299">
        <v>0.74011757600000005</v>
      </c>
      <c r="H1299">
        <v>3.59</v>
      </c>
      <c r="I1299">
        <v>3.7407657504150098</v>
      </c>
      <c r="J1299">
        <v>3.9440260966731402</v>
      </c>
      <c r="K1299">
        <v>3.48918613973356</v>
      </c>
      <c r="L1299">
        <v>3.3724756236909901</v>
      </c>
      <c r="M1299">
        <v>3.8423959235440801</v>
      </c>
      <c r="N1299">
        <v>3.8410516452109702</v>
      </c>
      <c r="Q1299">
        <f t="shared" si="100"/>
        <v>3.59</v>
      </c>
      <c r="R1299">
        <f t="shared" si="102"/>
        <v>3.9161359844598733</v>
      </c>
      <c r="S1299">
        <f t="shared" si="103"/>
        <v>-0.32613598445987346</v>
      </c>
      <c r="T1299">
        <f t="shared" si="104"/>
        <v>0.10636468035961083</v>
      </c>
    </row>
    <row r="1300" spans="1:20" hidden="1" x14ac:dyDescent="0.25">
      <c r="A1300" t="str">
        <f t="shared" si="101"/>
        <v>RIP</v>
      </c>
      <c r="B1300" t="s">
        <v>1306</v>
      </c>
      <c r="C1300">
        <v>0.95422758200000002</v>
      </c>
      <c r="D1300">
        <v>0.10431064399999999</v>
      </c>
      <c r="E1300">
        <v>0.65231201599999999</v>
      </c>
      <c r="F1300">
        <v>0.37172770999999999</v>
      </c>
      <c r="G1300">
        <v>0.73952299200000005</v>
      </c>
      <c r="H1300">
        <v>3.3</v>
      </c>
      <c r="I1300">
        <v>3.3968388938040399</v>
      </c>
      <c r="J1300">
        <v>3.5012008825187499</v>
      </c>
      <c r="K1300">
        <v>3.3212699523696099</v>
      </c>
      <c r="L1300">
        <v>3.1815468893891201</v>
      </c>
      <c r="M1300">
        <v>3.44901988816139</v>
      </c>
      <c r="N1300">
        <v>3.44862513659585</v>
      </c>
      <c r="Q1300">
        <f t="shared" si="100"/>
        <v>3.3</v>
      </c>
      <c r="R1300">
        <f t="shared" si="102"/>
        <v>3.4903301317158086</v>
      </c>
      <c r="S1300">
        <f t="shared" si="103"/>
        <v>-0.19033013171580881</v>
      </c>
      <c r="T1300">
        <f t="shared" si="104"/>
        <v>3.6225559038957134E-2</v>
      </c>
    </row>
    <row r="1301" spans="1:20" hidden="1" x14ac:dyDescent="0.25">
      <c r="A1301" t="str">
        <f t="shared" si="101"/>
        <v>RIP</v>
      </c>
      <c r="B1301" t="s">
        <v>1307</v>
      </c>
      <c r="C1301">
        <v>0.80797543999999999</v>
      </c>
      <c r="D1301">
        <v>0.10010395599999999</v>
      </c>
      <c r="E1301">
        <v>0.64543073100000004</v>
      </c>
      <c r="F1301">
        <v>0.352912163</v>
      </c>
      <c r="G1301">
        <v>0.71749871099999996</v>
      </c>
      <c r="H1301">
        <v>3.74</v>
      </c>
      <c r="I1301">
        <v>3.2675929831544099</v>
      </c>
      <c r="J1301">
        <v>3.3204359875542102</v>
      </c>
      <c r="K1301">
        <v>3.4747568256541501</v>
      </c>
      <c r="L1301">
        <v>3.27574229221042</v>
      </c>
      <c r="M1301">
        <v>3.2940144853543099</v>
      </c>
      <c r="N1301">
        <v>3.2939085193650302</v>
      </c>
      <c r="Q1301">
        <f t="shared" si="100"/>
        <v>3.74</v>
      </c>
      <c r="R1301">
        <f t="shared" si="102"/>
        <v>3.3586813577966983</v>
      </c>
      <c r="S1301">
        <f t="shared" si="103"/>
        <v>0.38131864220330192</v>
      </c>
      <c r="T1301">
        <f t="shared" si="104"/>
        <v>0.1454039068917698</v>
      </c>
    </row>
    <row r="1302" spans="1:20" hidden="1" x14ac:dyDescent="0.25">
      <c r="A1302" t="str">
        <f t="shared" si="101"/>
        <v>RIP</v>
      </c>
      <c r="B1302" t="s">
        <v>1308</v>
      </c>
      <c r="C1302">
        <v>0.723331371</v>
      </c>
      <c r="D1302">
        <v>0.102763015</v>
      </c>
      <c r="E1302">
        <v>0.66985559800000005</v>
      </c>
      <c r="F1302">
        <v>0.336489651</v>
      </c>
      <c r="G1302">
        <v>0.75691388999999998</v>
      </c>
      <c r="H1302">
        <v>3.6</v>
      </c>
      <c r="I1302">
        <v>3.4944892477034601</v>
      </c>
      <c r="J1302">
        <v>3.5381220910928901</v>
      </c>
      <c r="K1302">
        <v>3.3476430083321498</v>
      </c>
      <c r="L1302">
        <v>3.1553536988322901</v>
      </c>
      <c r="M1302">
        <v>3.5163056693981698</v>
      </c>
      <c r="N1302">
        <v>3.5162379902939098</v>
      </c>
      <c r="Q1302">
        <f t="shared" si="100"/>
        <v>3.6</v>
      </c>
      <c r="R1302">
        <f t="shared" si="102"/>
        <v>3.5683501981176899</v>
      </c>
      <c r="S1302">
        <f t="shared" si="103"/>
        <v>3.1649801882310147E-2</v>
      </c>
      <c r="T1302">
        <f t="shared" si="104"/>
        <v>1.001709959189483E-3</v>
      </c>
    </row>
    <row r="1303" spans="1:20" hidden="1" x14ac:dyDescent="0.25">
      <c r="A1303" t="str">
        <f t="shared" si="101"/>
        <v>RIP</v>
      </c>
      <c r="B1303" t="s">
        <v>1309</v>
      </c>
      <c r="C1303">
        <v>1.0144780369999999</v>
      </c>
      <c r="D1303">
        <v>0.106290516</v>
      </c>
      <c r="E1303">
        <v>0.68042122000000005</v>
      </c>
      <c r="F1303">
        <v>0.36732293700000002</v>
      </c>
      <c r="G1303">
        <v>0.76164299800000002</v>
      </c>
      <c r="H1303">
        <v>3.06</v>
      </c>
      <c r="I1303">
        <v>3.3829558798530899</v>
      </c>
      <c r="J1303">
        <v>3.6089084624420198</v>
      </c>
      <c r="K1303">
        <v>3.1380823189039799</v>
      </c>
      <c r="L1303">
        <v>2.9794895825663201</v>
      </c>
      <c r="M1303">
        <v>3.4959321711475502</v>
      </c>
      <c r="N1303">
        <v>3.4941061951334298</v>
      </c>
      <c r="Q1303">
        <f t="shared" si="100"/>
        <v>3.06</v>
      </c>
      <c r="R1303">
        <f t="shared" si="102"/>
        <v>3.5654462333497285</v>
      </c>
      <c r="S1303">
        <f t="shared" si="103"/>
        <v>-0.50544623334972849</v>
      </c>
      <c r="T1303">
        <f t="shared" si="104"/>
        <v>0.25547589480742816</v>
      </c>
    </row>
    <row r="1304" spans="1:20" hidden="1" x14ac:dyDescent="0.25">
      <c r="A1304" t="str">
        <f t="shared" si="101"/>
        <v>RIP</v>
      </c>
      <c r="B1304" t="s">
        <v>1310</v>
      </c>
      <c r="C1304">
        <v>0.97680236300000001</v>
      </c>
      <c r="D1304">
        <v>0.105259466</v>
      </c>
      <c r="E1304">
        <v>0.65352427999999996</v>
      </c>
      <c r="F1304">
        <v>0.35755669000000001</v>
      </c>
      <c r="G1304">
        <v>0.74203537600000002</v>
      </c>
      <c r="H1304">
        <v>3.85</v>
      </c>
      <c r="I1304">
        <v>3.3476070496661001</v>
      </c>
      <c r="J1304">
        <v>3.49079862510753</v>
      </c>
      <c r="K1304">
        <v>3.10405302173633</v>
      </c>
      <c r="L1304">
        <v>2.8993777165061099</v>
      </c>
      <c r="M1304">
        <v>3.41920283738681</v>
      </c>
      <c r="N1304">
        <v>3.4184531715930602</v>
      </c>
      <c r="Q1304">
        <f t="shared" si="100"/>
        <v>3.85</v>
      </c>
      <c r="R1304">
        <f t="shared" si="102"/>
        <v>3.4579631579622774</v>
      </c>
      <c r="S1304">
        <f t="shared" si="103"/>
        <v>0.39203684203772271</v>
      </c>
      <c r="T1304">
        <f t="shared" si="104"/>
        <v>0.15369288551491034</v>
      </c>
    </row>
    <row r="1305" spans="1:20" hidden="1" x14ac:dyDescent="0.25">
      <c r="A1305" t="str">
        <f t="shared" si="101"/>
        <v>RIP</v>
      </c>
      <c r="B1305" t="s">
        <v>1311</v>
      </c>
      <c r="C1305">
        <v>1.0005890559999999</v>
      </c>
      <c r="D1305">
        <v>0.101323711</v>
      </c>
      <c r="E1305">
        <v>0.66329550800000003</v>
      </c>
      <c r="F1305">
        <v>0.32845582400000001</v>
      </c>
      <c r="G1305">
        <v>0.74298796499999997</v>
      </c>
      <c r="H1305">
        <v>3.74</v>
      </c>
      <c r="I1305">
        <v>2.9613251663520002</v>
      </c>
      <c r="J1305">
        <v>3.1360361932705501</v>
      </c>
      <c r="K1305">
        <v>2.7885269746348902</v>
      </c>
      <c r="L1305">
        <v>2.5131648747120598</v>
      </c>
      <c r="M1305">
        <v>3.04868067981127</v>
      </c>
      <c r="N1305">
        <v>3.0474289001915702</v>
      </c>
      <c r="Q1305">
        <f t="shared" si="100"/>
        <v>3.74</v>
      </c>
      <c r="R1305">
        <f t="shared" si="102"/>
        <v>3.1116347393937547</v>
      </c>
      <c r="S1305">
        <f t="shared" si="103"/>
        <v>0.62836526060624553</v>
      </c>
      <c r="T1305">
        <f t="shared" si="104"/>
        <v>0.39484290073675488</v>
      </c>
    </row>
    <row r="1306" spans="1:20" hidden="1" x14ac:dyDescent="0.25">
      <c r="A1306" t="str">
        <f t="shared" si="101"/>
        <v>RIP</v>
      </c>
      <c r="B1306" t="s">
        <v>1312</v>
      </c>
      <c r="C1306">
        <v>1.1969099379999999</v>
      </c>
      <c r="D1306">
        <v>0.102402667</v>
      </c>
      <c r="E1306">
        <v>0.65428516000000003</v>
      </c>
      <c r="F1306">
        <v>0.42205428099999998</v>
      </c>
      <c r="G1306">
        <v>0.74495737699999998</v>
      </c>
      <c r="H1306">
        <v>4.09</v>
      </c>
      <c r="I1306">
        <v>3.26022006038884</v>
      </c>
      <c r="J1306">
        <v>3.3298280437049201</v>
      </c>
      <c r="K1306">
        <v>2.9831802552174298</v>
      </c>
      <c r="L1306">
        <v>2.9598794544614702</v>
      </c>
      <c r="M1306">
        <v>3.2950240520468799</v>
      </c>
      <c r="N1306">
        <v>3.2948402367538399</v>
      </c>
      <c r="Q1306">
        <f t="shared" si="100"/>
        <v>4.09</v>
      </c>
      <c r="R1306">
        <f t="shared" si="102"/>
        <v>3.3130266662984424</v>
      </c>
      <c r="S1306">
        <f t="shared" si="103"/>
        <v>0.77697333370155741</v>
      </c>
      <c r="T1306">
        <f t="shared" si="104"/>
        <v>0.60368756128331169</v>
      </c>
    </row>
    <row r="1307" spans="1:20" hidden="1" x14ac:dyDescent="0.25">
      <c r="A1307" t="str">
        <f t="shared" si="101"/>
        <v>RIP</v>
      </c>
      <c r="B1307" t="s">
        <v>1313</v>
      </c>
      <c r="C1307">
        <v>1.2058965800000001</v>
      </c>
      <c r="D1307">
        <v>0.107306545</v>
      </c>
      <c r="E1307">
        <v>0.64572547999999996</v>
      </c>
      <c r="F1307">
        <v>0.41200642599999998</v>
      </c>
      <c r="G1307">
        <v>0.73888231999999998</v>
      </c>
      <c r="H1307">
        <v>3.23</v>
      </c>
      <c r="I1307">
        <v>3.43568695121288</v>
      </c>
      <c r="J1307">
        <v>3.5910362909905098</v>
      </c>
      <c r="K1307">
        <v>2.9931079456174801</v>
      </c>
      <c r="L1307">
        <v>2.9784725249199999</v>
      </c>
      <c r="M1307">
        <v>3.5133616211016898</v>
      </c>
      <c r="N1307">
        <v>3.51250288630315</v>
      </c>
      <c r="Q1307">
        <f t="shared" si="100"/>
        <v>3.23</v>
      </c>
      <c r="R1307">
        <f t="shared" si="102"/>
        <v>3.5208672447499749</v>
      </c>
      <c r="S1307">
        <f t="shared" si="103"/>
        <v>-0.29086724474997494</v>
      </c>
      <c r="T1307">
        <f t="shared" si="104"/>
        <v>8.4603754068441825E-2</v>
      </c>
    </row>
    <row r="1308" spans="1:20" hidden="1" x14ac:dyDescent="0.25">
      <c r="A1308" t="str">
        <f t="shared" si="101"/>
        <v>RIP</v>
      </c>
      <c r="B1308" t="s">
        <v>1314</v>
      </c>
      <c r="C1308">
        <v>1.264245702</v>
      </c>
      <c r="D1308">
        <v>0.110058343</v>
      </c>
      <c r="E1308">
        <v>0.65565351199999999</v>
      </c>
      <c r="F1308">
        <v>0.42277187900000002</v>
      </c>
      <c r="G1308">
        <v>0.74757343099999995</v>
      </c>
      <c r="H1308">
        <v>3.88</v>
      </c>
      <c r="I1308">
        <v>3.5673694207444</v>
      </c>
      <c r="J1308">
        <v>3.8094098258852802</v>
      </c>
      <c r="K1308">
        <v>3.0062850439648399</v>
      </c>
      <c r="L1308">
        <v>3.0459360214253799</v>
      </c>
      <c r="M1308">
        <v>3.6883896233148401</v>
      </c>
      <c r="N1308">
        <v>3.6864036843441901</v>
      </c>
      <c r="Q1308">
        <f t="shared" si="100"/>
        <v>3.88</v>
      </c>
      <c r="R1308">
        <f t="shared" si="102"/>
        <v>3.6974276058785227</v>
      </c>
      <c r="S1308">
        <f t="shared" si="103"/>
        <v>0.18257239412147719</v>
      </c>
      <c r="T1308">
        <f t="shared" si="104"/>
        <v>3.3332679095248001E-2</v>
      </c>
    </row>
    <row r="1309" spans="1:20" hidden="1" x14ac:dyDescent="0.25">
      <c r="A1309" t="str">
        <f t="shared" si="101"/>
        <v>RIP</v>
      </c>
      <c r="B1309" t="s">
        <v>1315</v>
      </c>
      <c r="C1309">
        <v>1.178919877</v>
      </c>
      <c r="D1309">
        <v>0.10372279399999999</v>
      </c>
      <c r="E1309">
        <v>0.65733666000000002</v>
      </c>
      <c r="F1309">
        <v>0.42313507299999997</v>
      </c>
      <c r="G1309">
        <v>0.743286263</v>
      </c>
      <c r="H1309">
        <v>4.0999999999999996</v>
      </c>
      <c r="I1309">
        <v>3.3213651149148098</v>
      </c>
      <c r="J1309">
        <v>3.4371935384028198</v>
      </c>
      <c r="K1309">
        <v>3.0439125307644299</v>
      </c>
      <c r="L1309">
        <v>3.03346171937502</v>
      </c>
      <c r="M1309">
        <v>3.3792793266588101</v>
      </c>
      <c r="N1309">
        <v>3.3787830222820898</v>
      </c>
      <c r="Q1309">
        <f t="shared" si="100"/>
        <v>4.0999999999999996</v>
      </c>
      <c r="R1309">
        <f t="shared" si="102"/>
        <v>3.4150245395286536</v>
      </c>
      <c r="S1309">
        <f t="shared" si="103"/>
        <v>0.68497546047134605</v>
      </c>
      <c r="T1309">
        <f t="shared" si="104"/>
        <v>0.46919138144793254</v>
      </c>
    </row>
    <row r="1310" spans="1:20" hidden="1" x14ac:dyDescent="0.25">
      <c r="A1310" t="str">
        <f t="shared" si="101"/>
        <v>RIP</v>
      </c>
      <c r="B1310" t="s">
        <v>1316</v>
      </c>
      <c r="C1310">
        <v>0.93537500399999995</v>
      </c>
      <c r="D1310">
        <v>0.104371108</v>
      </c>
      <c r="E1310">
        <v>0.67324168600000001</v>
      </c>
      <c r="F1310">
        <v>0.37822134299999999</v>
      </c>
      <c r="G1310">
        <v>0.75974993199999996</v>
      </c>
      <c r="H1310">
        <v>4.3899999999999997</v>
      </c>
      <c r="I1310">
        <v>3.48352815050215</v>
      </c>
      <c r="J1310">
        <v>3.5854381353914899</v>
      </c>
      <c r="K1310">
        <v>3.22459780090258</v>
      </c>
      <c r="L1310">
        <v>3.1503386076563098</v>
      </c>
      <c r="M1310">
        <v>3.53448314294682</v>
      </c>
      <c r="N1310">
        <v>3.5341158266984101</v>
      </c>
      <c r="Q1310">
        <f t="shared" si="100"/>
        <v>4.3899999999999997</v>
      </c>
      <c r="R1310">
        <f t="shared" si="102"/>
        <v>3.5833023244406563</v>
      </c>
      <c r="S1310">
        <f t="shared" si="103"/>
        <v>0.80669767555934335</v>
      </c>
      <c r="T1310">
        <f t="shared" si="104"/>
        <v>0.65076113975284755</v>
      </c>
    </row>
    <row r="1311" spans="1:20" hidden="1" x14ac:dyDescent="0.25">
      <c r="A1311" t="str">
        <f t="shared" si="101"/>
        <v>RIP</v>
      </c>
      <c r="B1311" t="s">
        <v>1317</v>
      </c>
      <c r="C1311">
        <v>0.73324592700000002</v>
      </c>
      <c r="D1311">
        <v>0.101235624</v>
      </c>
      <c r="E1311">
        <v>0.66139918900000005</v>
      </c>
      <c r="F1311">
        <v>0.37116612799999998</v>
      </c>
      <c r="G1311">
        <v>0.75045812999999995</v>
      </c>
      <c r="H1311">
        <v>4.0999999999999996</v>
      </c>
      <c r="I1311">
        <v>3.5837199879280499</v>
      </c>
      <c r="J1311">
        <v>3.5519648479036201</v>
      </c>
      <c r="K1311">
        <v>3.6500812017790301</v>
      </c>
      <c r="L1311">
        <v>3.6127221602660402</v>
      </c>
      <c r="M1311">
        <v>3.5678424179158399</v>
      </c>
      <c r="N1311">
        <v>3.5678070886540398</v>
      </c>
      <c r="Q1311">
        <f t="shared" si="100"/>
        <v>4.0999999999999996</v>
      </c>
      <c r="R1311">
        <f t="shared" si="102"/>
        <v>3.6113941252781063</v>
      </c>
      <c r="S1311">
        <f t="shared" si="103"/>
        <v>0.48860587472189332</v>
      </c>
      <c r="T1311">
        <f t="shared" si="104"/>
        <v>0.2387357008127465</v>
      </c>
    </row>
    <row r="1312" spans="1:20" hidden="1" x14ac:dyDescent="0.25">
      <c r="A1312" t="str">
        <f t="shared" si="101"/>
        <v>RIP</v>
      </c>
      <c r="B1312" t="s">
        <v>1318</v>
      </c>
      <c r="C1312">
        <v>0.61860731899999999</v>
      </c>
      <c r="D1312">
        <v>0.113454682</v>
      </c>
      <c r="E1312">
        <v>0.64923554000000006</v>
      </c>
      <c r="F1312">
        <v>0.30915161099999999</v>
      </c>
      <c r="G1312">
        <v>0.73927734199999995</v>
      </c>
      <c r="H1312">
        <v>4.18</v>
      </c>
      <c r="I1312">
        <v>4.0518054666122101</v>
      </c>
      <c r="J1312">
        <v>4.3475882023698302</v>
      </c>
      <c r="K1312">
        <v>3.35824817938127</v>
      </c>
      <c r="L1312">
        <v>3.2374809184117099</v>
      </c>
      <c r="M1312">
        <v>4.1996968344910197</v>
      </c>
      <c r="N1312">
        <v>4.1970920462792902</v>
      </c>
      <c r="Q1312">
        <f t="shared" si="100"/>
        <v>4.18</v>
      </c>
      <c r="R1312">
        <f t="shared" si="102"/>
        <v>4.2406354863061759</v>
      </c>
      <c r="S1312">
        <f t="shared" si="103"/>
        <v>-6.0635486306176212E-2</v>
      </c>
      <c r="T1312">
        <f t="shared" si="104"/>
        <v>3.676662199586483E-3</v>
      </c>
    </row>
    <row r="1313" spans="1:20" hidden="1" x14ac:dyDescent="0.25">
      <c r="A1313" t="str">
        <f t="shared" si="101"/>
        <v>RIP</v>
      </c>
      <c r="B1313" t="s">
        <v>1319</v>
      </c>
      <c r="C1313">
        <v>1.097009685</v>
      </c>
      <c r="D1313">
        <v>0.102840958</v>
      </c>
      <c r="E1313">
        <v>0.66328059500000003</v>
      </c>
      <c r="F1313">
        <v>0.37643253500000001</v>
      </c>
      <c r="G1313">
        <v>0.74923612399999995</v>
      </c>
      <c r="H1313">
        <v>3.18</v>
      </c>
      <c r="I1313">
        <v>3.1684806943192498</v>
      </c>
      <c r="J1313">
        <v>3.30416761141475</v>
      </c>
      <c r="K1313">
        <v>3.0227092287752</v>
      </c>
      <c r="L1313">
        <v>2.9282986515822498</v>
      </c>
      <c r="M1313">
        <v>3.2363241528670001</v>
      </c>
      <c r="N1313">
        <v>3.23561296937112</v>
      </c>
      <c r="Q1313">
        <f t="shared" si="100"/>
        <v>3.18</v>
      </c>
      <c r="R1313">
        <f t="shared" si="102"/>
        <v>3.2780507803543468</v>
      </c>
      <c r="S1313">
        <f t="shared" si="103"/>
        <v>-9.8050780354346667E-2</v>
      </c>
      <c r="T1313">
        <f t="shared" si="104"/>
        <v>9.6139555280963344E-3</v>
      </c>
    </row>
    <row r="1314" spans="1:20" hidden="1" x14ac:dyDescent="0.25">
      <c r="A1314" t="str">
        <f t="shared" si="101"/>
        <v>RIP</v>
      </c>
      <c r="B1314" t="s">
        <v>1320</v>
      </c>
      <c r="C1314">
        <v>0.69743849000000002</v>
      </c>
      <c r="D1314">
        <v>0.10249523200000001</v>
      </c>
      <c r="E1314">
        <v>0.64798524300000004</v>
      </c>
      <c r="F1314">
        <v>0.30693317799999997</v>
      </c>
      <c r="G1314">
        <v>0.74372339600000004</v>
      </c>
      <c r="H1314">
        <v>2.93</v>
      </c>
      <c r="I1314">
        <v>3.3919324657033201</v>
      </c>
      <c r="J1314">
        <v>3.4008294512722701</v>
      </c>
      <c r="K1314">
        <v>3.0893240555809398</v>
      </c>
      <c r="L1314">
        <v>2.9673271786209101</v>
      </c>
      <c r="M1314">
        <v>3.3963809584878</v>
      </c>
      <c r="N1314">
        <v>3.3963780452256001</v>
      </c>
      <c r="Q1314">
        <f t="shared" si="100"/>
        <v>2.93</v>
      </c>
      <c r="R1314">
        <f t="shared" si="102"/>
        <v>3.4191389551824138</v>
      </c>
      <c r="S1314">
        <f t="shared" si="103"/>
        <v>-0.48913895518241368</v>
      </c>
      <c r="T1314">
        <f t="shared" si="104"/>
        <v>0.2392569174769433</v>
      </c>
    </row>
    <row r="1315" spans="1:20" hidden="1" x14ac:dyDescent="0.25">
      <c r="A1315" t="str">
        <f t="shared" si="101"/>
        <v>RIP</v>
      </c>
      <c r="B1315" t="s">
        <v>1321</v>
      </c>
      <c r="C1315">
        <v>1.0278827859999999</v>
      </c>
      <c r="D1315">
        <v>0.105159594</v>
      </c>
      <c r="E1315">
        <v>0.61896949499999998</v>
      </c>
      <c r="F1315">
        <v>0.33123203099999998</v>
      </c>
      <c r="G1315">
        <v>0.70885568399999999</v>
      </c>
      <c r="H1315">
        <v>4.25</v>
      </c>
      <c r="I1315">
        <v>3.0824970436268302</v>
      </c>
      <c r="J1315">
        <v>3.27372570005243</v>
      </c>
      <c r="K1315">
        <v>2.7800923694327002</v>
      </c>
      <c r="L1315">
        <v>2.4797655011473601</v>
      </c>
      <c r="M1315">
        <v>3.1781113718396301</v>
      </c>
      <c r="N1315">
        <v>3.1766727549523899</v>
      </c>
      <c r="Q1315">
        <f t="shared" si="100"/>
        <v>4.25</v>
      </c>
      <c r="R1315">
        <f t="shared" si="102"/>
        <v>3.2126862782390351</v>
      </c>
      <c r="S1315">
        <f t="shared" si="103"/>
        <v>1.0373137217609649</v>
      </c>
      <c r="T1315">
        <f t="shared" si="104"/>
        <v>1.0760197573535846</v>
      </c>
    </row>
    <row r="1316" spans="1:20" hidden="1" x14ac:dyDescent="0.25">
      <c r="A1316" t="str">
        <f t="shared" si="101"/>
        <v>RIP</v>
      </c>
      <c r="B1316" t="s">
        <v>1322</v>
      </c>
      <c r="C1316">
        <v>0.920549638</v>
      </c>
      <c r="D1316">
        <v>9.9830079000000002E-2</v>
      </c>
      <c r="E1316">
        <v>0.63808743700000004</v>
      </c>
      <c r="F1316">
        <v>0.395402957</v>
      </c>
      <c r="G1316">
        <v>0.72598529499999997</v>
      </c>
      <c r="H1316">
        <v>3.75</v>
      </c>
      <c r="I1316">
        <v>3.3748785122472702</v>
      </c>
      <c r="J1316">
        <v>3.3367077314418099</v>
      </c>
      <c r="K1316">
        <v>3.39633648584477</v>
      </c>
      <c r="L1316">
        <v>3.2544698068701199</v>
      </c>
      <c r="M1316">
        <v>3.35579312184454</v>
      </c>
      <c r="N1316">
        <v>3.3557388492688598</v>
      </c>
      <c r="Q1316">
        <f t="shared" si="100"/>
        <v>3.75</v>
      </c>
      <c r="R1316">
        <f t="shared" si="102"/>
        <v>3.3781134099041941</v>
      </c>
      <c r="S1316">
        <f t="shared" si="103"/>
        <v>0.37188659009580594</v>
      </c>
      <c r="T1316">
        <f t="shared" si="104"/>
        <v>0.138299635893086</v>
      </c>
    </row>
    <row r="1317" spans="1:20" hidden="1" x14ac:dyDescent="0.25">
      <c r="A1317" t="str">
        <f t="shared" si="101"/>
        <v>RIP</v>
      </c>
      <c r="B1317" t="s">
        <v>1323</v>
      </c>
      <c r="C1317">
        <v>1.4016965320000001</v>
      </c>
      <c r="D1317">
        <v>0.105537692</v>
      </c>
      <c r="E1317">
        <v>0.65166595199999999</v>
      </c>
      <c r="F1317">
        <v>0.37465342200000001</v>
      </c>
      <c r="G1317">
        <v>0.738779297</v>
      </c>
      <c r="H1317">
        <v>3.7</v>
      </c>
      <c r="I1317">
        <v>2.84788273846365</v>
      </c>
      <c r="J1317">
        <v>3.1440296649911299</v>
      </c>
      <c r="K1317">
        <v>2.3075956834508302</v>
      </c>
      <c r="L1317">
        <v>2.2106754257136099</v>
      </c>
      <c r="M1317">
        <v>2.99595620172739</v>
      </c>
      <c r="N1317">
        <v>2.9922947401861801</v>
      </c>
      <c r="Q1317">
        <f t="shared" si="100"/>
        <v>3.7</v>
      </c>
      <c r="R1317">
        <f t="shared" si="102"/>
        <v>3.0280805000267819</v>
      </c>
      <c r="S1317">
        <f t="shared" si="103"/>
        <v>0.67191949997321831</v>
      </c>
      <c r="T1317">
        <f t="shared" si="104"/>
        <v>0.45147581444425972</v>
      </c>
    </row>
    <row r="1318" spans="1:20" hidden="1" x14ac:dyDescent="0.25">
      <c r="A1318" t="str">
        <f t="shared" si="101"/>
        <v>RIP</v>
      </c>
      <c r="B1318" t="s">
        <v>1324</v>
      </c>
      <c r="C1318">
        <v>0.63598311900000004</v>
      </c>
      <c r="D1318">
        <v>9.9007381000000005E-2</v>
      </c>
      <c r="E1318">
        <v>0.66628574200000001</v>
      </c>
      <c r="F1318">
        <v>0.31298490899999998</v>
      </c>
      <c r="G1318">
        <v>0.73995926199999995</v>
      </c>
      <c r="H1318">
        <v>3.55</v>
      </c>
      <c r="I1318">
        <v>3.27890038172634</v>
      </c>
      <c r="J1318">
        <v>3.3239778046264701</v>
      </c>
      <c r="K1318">
        <v>3.3085119348737901</v>
      </c>
      <c r="L1318">
        <v>3.0585531804336399</v>
      </c>
      <c r="M1318">
        <v>3.3014390931764099</v>
      </c>
      <c r="N1318">
        <v>3.3013621571163099</v>
      </c>
      <c r="Q1318">
        <f t="shared" si="100"/>
        <v>3.55</v>
      </c>
      <c r="R1318">
        <f t="shared" si="102"/>
        <v>3.3817197952562568</v>
      </c>
      <c r="S1318">
        <f t="shared" si="103"/>
        <v>0.16828020474374306</v>
      </c>
      <c r="T1318">
        <f t="shared" si="104"/>
        <v>2.8318227308596084E-2</v>
      </c>
    </row>
    <row r="1319" spans="1:20" hidden="1" x14ac:dyDescent="0.25">
      <c r="A1319" t="str">
        <f t="shared" si="101"/>
        <v>RIP</v>
      </c>
      <c r="B1319" t="s">
        <v>1325</v>
      </c>
      <c r="C1319">
        <v>0.66942618799999998</v>
      </c>
      <c r="D1319">
        <v>0.102925146</v>
      </c>
      <c r="E1319">
        <v>0.68196797200000003</v>
      </c>
      <c r="F1319">
        <v>0.32101084299999999</v>
      </c>
      <c r="G1319">
        <v>0.76547099200000002</v>
      </c>
      <c r="H1319">
        <v>4.2699999999999996</v>
      </c>
      <c r="I1319">
        <v>3.4981764006525502</v>
      </c>
      <c r="J1319">
        <v>3.56644237199417</v>
      </c>
      <c r="K1319">
        <v>3.4467408152326402</v>
      </c>
      <c r="L1319">
        <v>3.1327889838760501</v>
      </c>
      <c r="M1319">
        <v>3.5323093863233601</v>
      </c>
      <c r="N1319">
        <v>3.5321444675999998</v>
      </c>
      <c r="Q1319">
        <f t="shared" si="100"/>
        <v>4.2699999999999996</v>
      </c>
      <c r="R1319">
        <f t="shared" si="102"/>
        <v>3.5981957114461425</v>
      </c>
      <c r="S1319">
        <f t="shared" si="103"/>
        <v>0.6718042885538571</v>
      </c>
      <c r="T1319">
        <f t="shared" si="104"/>
        <v>0.45132100211935411</v>
      </c>
    </row>
    <row r="1320" spans="1:20" hidden="1" x14ac:dyDescent="0.25">
      <c r="A1320" t="str">
        <f t="shared" si="101"/>
        <v>RIP</v>
      </c>
      <c r="B1320" t="s">
        <v>1326</v>
      </c>
      <c r="C1320">
        <v>0.69575189599999998</v>
      </c>
      <c r="D1320">
        <v>0.10747533300000001</v>
      </c>
      <c r="E1320">
        <v>0.653447475</v>
      </c>
      <c r="F1320">
        <v>0.32102508000000002</v>
      </c>
      <c r="G1320">
        <v>0.74853503700000001</v>
      </c>
      <c r="H1320">
        <v>4.17</v>
      </c>
      <c r="I1320">
        <v>3.72050296811496</v>
      </c>
      <c r="J1320">
        <v>3.7938477643742399</v>
      </c>
      <c r="K1320">
        <v>3.4068122134188301</v>
      </c>
      <c r="L1320">
        <v>3.0809980269953399</v>
      </c>
      <c r="M1320">
        <v>3.7571753662446001</v>
      </c>
      <c r="N1320">
        <v>3.7569963891293101</v>
      </c>
      <c r="Q1320">
        <f t="shared" si="100"/>
        <v>4.17</v>
      </c>
      <c r="R1320">
        <f t="shared" si="102"/>
        <v>3.7754303798967346</v>
      </c>
      <c r="S1320">
        <f t="shared" si="103"/>
        <v>0.39456962010326535</v>
      </c>
      <c r="T1320">
        <f t="shared" si="104"/>
        <v>0.15568518510843515</v>
      </c>
    </row>
    <row r="1321" spans="1:20" hidden="1" x14ac:dyDescent="0.25">
      <c r="A1321" t="str">
        <f t="shared" si="101"/>
        <v>RIP</v>
      </c>
      <c r="B1321" t="s">
        <v>1327</v>
      </c>
      <c r="C1321">
        <v>0.96363035399999997</v>
      </c>
      <c r="D1321">
        <v>0.105589458</v>
      </c>
      <c r="E1321">
        <v>0.66057977999999995</v>
      </c>
      <c r="F1321">
        <v>0.434456012</v>
      </c>
      <c r="G1321">
        <v>0.75290446</v>
      </c>
      <c r="H1321">
        <v>3.58</v>
      </c>
      <c r="I1321">
        <v>3.8038933006512501</v>
      </c>
      <c r="J1321">
        <v>3.8214641546183201</v>
      </c>
      <c r="K1321">
        <v>3.6004897222805701</v>
      </c>
      <c r="L1321">
        <v>3.5855737187349002</v>
      </c>
      <c r="M1321">
        <v>3.8126787276347902</v>
      </c>
      <c r="N1321">
        <v>3.8126686056398298</v>
      </c>
      <c r="Q1321">
        <f t="shared" si="100"/>
        <v>3.58</v>
      </c>
      <c r="R1321">
        <f t="shared" si="102"/>
        <v>3.8359115271610182</v>
      </c>
      <c r="S1321">
        <f t="shared" si="103"/>
        <v>-0.25591152716101817</v>
      </c>
      <c r="T1321">
        <f t="shared" si="104"/>
        <v>6.5490709733884545E-2</v>
      </c>
    </row>
    <row r="1322" spans="1:20" hidden="1" x14ac:dyDescent="0.25">
      <c r="A1322" t="str">
        <f t="shared" si="101"/>
        <v>RIP</v>
      </c>
      <c r="B1322" t="s">
        <v>1328</v>
      </c>
      <c r="C1322">
        <v>1.198635839</v>
      </c>
      <c r="D1322">
        <v>0.107187533</v>
      </c>
      <c r="E1322">
        <v>0.65977557499999995</v>
      </c>
      <c r="F1322">
        <v>0.44709204699999999</v>
      </c>
      <c r="G1322">
        <v>0.74592115299999995</v>
      </c>
      <c r="H1322">
        <v>3.86</v>
      </c>
      <c r="I1322">
        <v>3.5783487624595001</v>
      </c>
      <c r="J1322">
        <v>3.7443718718702299</v>
      </c>
      <c r="K1322">
        <v>3.0951150838614301</v>
      </c>
      <c r="L1322">
        <v>3.1121520451270599</v>
      </c>
      <c r="M1322">
        <v>3.6613603171648701</v>
      </c>
      <c r="N1322">
        <v>3.6604191636880898</v>
      </c>
      <c r="Q1322">
        <f t="shared" si="100"/>
        <v>3.86</v>
      </c>
      <c r="R1322">
        <f t="shared" si="102"/>
        <v>3.6995016984946698</v>
      </c>
      <c r="S1322">
        <f t="shared" si="103"/>
        <v>0.16049830150533007</v>
      </c>
      <c r="T1322">
        <f t="shared" si="104"/>
        <v>2.5759704786095836E-2</v>
      </c>
    </row>
    <row r="1323" spans="1:20" hidden="1" x14ac:dyDescent="0.25">
      <c r="A1323" t="str">
        <f t="shared" si="101"/>
        <v>RIP</v>
      </c>
      <c r="B1323" t="s">
        <v>1329</v>
      </c>
      <c r="C1323">
        <v>1.2724484089999999</v>
      </c>
      <c r="D1323">
        <v>0.10851269199999999</v>
      </c>
      <c r="E1323">
        <v>0.653478899</v>
      </c>
      <c r="F1323">
        <v>0.447128313</v>
      </c>
      <c r="G1323">
        <v>0.74369585299999996</v>
      </c>
      <c r="H1323">
        <v>4.37</v>
      </c>
      <c r="I1323">
        <v>3.5713165163687601</v>
      </c>
      <c r="J1323">
        <v>3.7597309172928601</v>
      </c>
      <c r="K1323">
        <v>3.0655892496961501</v>
      </c>
      <c r="L1323">
        <v>3.1495660012499398</v>
      </c>
      <c r="M1323">
        <v>3.6655237168308101</v>
      </c>
      <c r="N1323">
        <v>3.6643129126795699</v>
      </c>
      <c r="Q1323">
        <f t="shared" si="100"/>
        <v>4.37</v>
      </c>
      <c r="R1323">
        <f t="shared" si="102"/>
        <v>3.6826078751763873</v>
      </c>
      <c r="S1323">
        <f t="shared" si="103"/>
        <v>0.68739212482361278</v>
      </c>
      <c r="T1323">
        <f t="shared" si="104"/>
        <v>0.47250793326952123</v>
      </c>
    </row>
    <row r="1324" spans="1:20" hidden="1" x14ac:dyDescent="0.25">
      <c r="A1324" t="str">
        <f t="shared" si="101"/>
        <v>RIP</v>
      </c>
      <c r="B1324" t="s">
        <v>1330</v>
      </c>
      <c r="C1324">
        <v>1.154137542</v>
      </c>
      <c r="D1324">
        <v>0.108078114</v>
      </c>
      <c r="E1324">
        <v>0.64545024299999998</v>
      </c>
      <c r="F1324">
        <v>0.42620445699999998</v>
      </c>
      <c r="G1324">
        <v>0.73529202000000005</v>
      </c>
      <c r="H1324">
        <v>3.29</v>
      </c>
      <c r="I1324">
        <v>3.5916464246181801</v>
      </c>
      <c r="J1324">
        <v>3.7524513440290299</v>
      </c>
      <c r="K1324">
        <v>3.27262324077607</v>
      </c>
      <c r="L1324">
        <v>3.30651387595073</v>
      </c>
      <c r="M1324">
        <v>3.6720488843236101</v>
      </c>
      <c r="N1324">
        <v>3.6711685405788099</v>
      </c>
      <c r="Q1324">
        <f t="shared" si="100"/>
        <v>3.29</v>
      </c>
      <c r="R1324">
        <f t="shared" si="102"/>
        <v>3.6928163193101167</v>
      </c>
      <c r="S1324">
        <f t="shared" si="103"/>
        <v>-0.40281631931011663</v>
      </c>
      <c r="T1324">
        <f t="shared" si="104"/>
        <v>0.16226098710254985</v>
      </c>
    </row>
    <row r="1325" spans="1:20" hidden="1" x14ac:dyDescent="0.25">
      <c r="A1325" t="str">
        <f t="shared" si="101"/>
        <v>RIP</v>
      </c>
      <c r="B1325" t="s">
        <v>1331</v>
      </c>
      <c r="C1325">
        <v>1.1447602029999999</v>
      </c>
      <c r="D1325">
        <v>0.10784526699999999</v>
      </c>
      <c r="E1325">
        <v>0.63526987999999995</v>
      </c>
      <c r="F1325">
        <v>0.38436298899999999</v>
      </c>
      <c r="G1325">
        <v>0.73002727000000001</v>
      </c>
      <c r="H1325">
        <v>3.22</v>
      </c>
      <c r="I1325">
        <v>3.4009111447702498</v>
      </c>
      <c r="J1325">
        <v>3.57147636523433</v>
      </c>
      <c r="K1325">
        <v>2.99667005177337</v>
      </c>
      <c r="L1325">
        <v>2.8906656293467399</v>
      </c>
      <c r="M1325">
        <v>3.4861937550022901</v>
      </c>
      <c r="N1325">
        <v>3.4851504664517701</v>
      </c>
      <c r="Q1325">
        <f t="shared" si="100"/>
        <v>3.22</v>
      </c>
      <c r="R1325">
        <f t="shared" si="102"/>
        <v>3.490407505069018</v>
      </c>
      <c r="S1325">
        <f t="shared" si="103"/>
        <v>-0.27040750506901778</v>
      </c>
      <c r="T1325">
        <f t="shared" si="104"/>
        <v>7.3120218797650877E-2</v>
      </c>
    </row>
    <row r="1326" spans="1:20" hidden="1" x14ac:dyDescent="0.25">
      <c r="A1326" t="str">
        <f t="shared" si="101"/>
        <v>RIP</v>
      </c>
      <c r="B1326" t="s">
        <v>1332</v>
      </c>
      <c r="C1326">
        <v>1.3614812140000001</v>
      </c>
      <c r="D1326">
        <v>0.101583267</v>
      </c>
      <c r="E1326">
        <v>0.678589585</v>
      </c>
      <c r="F1326">
        <v>0.48799916500000001</v>
      </c>
      <c r="G1326">
        <v>0.768777139</v>
      </c>
      <c r="H1326">
        <v>4.42</v>
      </c>
      <c r="I1326">
        <v>3.33568909031812</v>
      </c>
      <c r="J1326">
        <v>3.4026014857889701</v>
      </c>
      <c r="K1326">
        <v>2.86024545193471</v>
      </c>
      <c r="L1326">
        <v>2.8639555258879699</v>
      </c>
      <c r="M1326">
        <v>3.36914528805355</v>
      </c>
      <c r="N1326">
        <v>3.3689791710318602</v>
      </c>
      <c r="Q1326">
        <f t="shared" si="100"/>
        <v>4.42</v>
      </c>
      <c r="R1326">
        <f t="shared" si="102"/>
        <v>3.3981300171845943</v>
      </c>
      <c r="S1326">
        <f t="shared" si="103"/>
        <v>1.0218699828154056</v>
      </c>
      <c r="T1326">
        <f t="shared" si="104"/>
        <v>1.0442182617791573</v>
      </c>
    </row>
    <row r="1327" spans="1:20" hidden="1" x14ac:dyDescent="0.25">
      <c r="A1327" t="str">
        <f t="shared" si="101"/>
        <v>RIP</v>
      </c>
      <c r="B1327" t="s">
        <v>1333</v>
      </c>
      <c r="C1327">
        <v>1.253440289</v>
      </c>
      <c r="D1327">
        <v>0.100883241</v>
      </c>
      <c r="E1327">
        <v>0.66944964100000004</v>
      </c>
      <c r="F1327">
        <v>0.47770203500000002</v>
      </c>
      <c r="G1327">
        <v>0.75899718400000005</v>
      </c>
      <c r="H1327">
        <v>4.17</v>
      </c>
      <c r="I1327">
        <v>3.3925026473493101</v>
      </c>
      <c r="J1327">
        <v>3.4173713563366999</v>
      </c>
      <c r="K1327">
        <v>3.1395317382213102</v>
      </c>
      <c r="L1327">
        <v>3.1864961406975398</v>
      </c>
      <c r="M1327">
        <v>3.4049370018429999</v>
      </c>
      <c r="N1327">
        <v>3.4049142975041198</v>
      </c>
      <c r="Q1327">
        <f t="shared" si="100"/>
        <v>4.17</v>
      </c>
      <c r="R1327">
        <f t="shared" si="102"/>
        <v>3.4336457131264764</v>
      </c>
      <c r="S1327">
        <f t="shared" si="103"/>
        <v>0.73635428687352356</v>
      </c>
      <c r="T1327">
        <f t="shared" si="104"/>
        <v>0.54221763579701543</v>
      </c>
    </row>
    <row r="1328" spans="1:20" hidden="1" x14ac:dyDescent="0.25">
      <c r="A1328" t="str">
        <f t="shared" si="101"/>
        <v>RIP</v>
      </c>
      <c r="B1328" t="s">
        <v>1334</v>
      </c>
      <c r="C1328">
        <v>1.162583911</v>
      </c>
      <c r="D1328">
        <v>0.10502331299999999</v>
      </c>
      <c r="E1328">
        <v>0.67343298200000001</v>
      </c>
      <c r="F1328">
        <v>0.454296223</v>
      </c>
      <c r="G1328">
        <v>0.76531216899999999</v>
      </c>
      <c r="H1328">
        <v>4.1399999999999997</v>
      </c>
      <c r="I1328">
        <v>3.6152334187531299</v>
      </c>
      <c r="J1328">
        <v>3.6806593201283002</v>
      </c>
      <c r="K1328">
        <v>3.3450503375460601</v>
      </c>
      <c r="L1328">
        <v>3.40838971005804</v>
      </c>
      <c r="M1328">
        <v>3.6479463694407199</v>
      </c>
      <c r="N1328">
        <v>3.6477996898367402</v>
      </c>
      <c r="Q1328">
        <f t="shared" si="100"/>
        <v>4.1399999999999997</v>
      </c>
      <c r="R1328">
        <f t="shared" si="102"/>
        <v>3.670848598693528</v>
      </c>
      <c r="S1328">
        <f t="shared" si="103"/>
        <v>0.4691514013064717</v>
      </c>
      <c r="T1328">
        <f t="shared" si="104"/>
        <v>0.22010303734782605</v>
      </c>
    </row>
    <row r="1329" spans="1:20" hidden="1" x14ac:dyDescent="0.25">
      <c r="A1329" t="str">
        <f t="shared" si="101"/>
        <v>RIP</v>
      </c>
      <c r="B1329" t="s">
        <v>1335</v>
      </c>
      <c r="C1329">
        <v>1.223818893</v>
      </c>
      <c r="D1329">
        <v>0.103705665</v>
      </c>
      <c r="E1329">
        <v>0.67421774199999995</v>
      </c>
      <c r="F1329">
        <v>0.44810337900000002</v>
      </c>
      <c r="G1329">
        <v>0.76362796899999996</v>
      </c>
      <c r="H1329">
        <v>3.78</v>
      </c>
      <c r="I1329">
        <v>3.4203994761016401</v>
      </c>
      <c r="J1329">
        <v>3.5131102886658998</v>
      </c>
      <c r="K1329">
        <v>3.1027708322144298</v>
      </c>
      <c r="L1329">
        <v>3.13786307463756</v>
      </c>
      <c r="M1329">
        <v>3.4667548823837699</v>
      </c>
      <c r="N1329">
        <v>3.4664449499220602</v>
      </c>
      <c r="Q1329">
        <f t="shared" si="100"/>
        <v>3.78</v>
      </c>
      <c r="R1329">
        <f t="shared" si="102"/>
        <v>3.49779572229198</v>
      </c>
      <c r="S1329">
        <f t="shared" si="103"/>
        <v>0.28220427770801981</v>
      </c>
      <c r="T1329">
        <f t="shared" si="104"/>
        <v>7.9639254356705172E-2</v>
      </c>
    </row>
    <row r="1330" spans="1:20" hidden="1" x14ac:dyDescent="0.25">
      <c r="A1330" t="str">
        <f t="shared" si="101"/>
        <v>RIP</v>
      </c>
      <c r="B1330" t="s">
        <v>1336</v>
      </c>
      <c r="C1330">
        <v>1.369110233</v>
      </c>
      <c r="D1330">
        <v>0.102656045</v>
      </c>
      <c r="E1330">
        <v>0.674320527</v>
      </c>
      <c r="F1330">
        <v>0.448521683</v>
      </c>
      <c r="G1330">
        <v>0.759938114</v>
      </c>
      <c r="H1330">
        <v>4.2699999999999996</v>
      </c>
      <c r="I1330">
        <v>3.1533334815862202</v>
      </c>
      <c r="J1330">
        <v>3.3052893370795702</v>
      </c>
      <c r="K1330">
        <v>2.7453992671467899</v>
      </c>
      <c r="L1330">
        <v>2.7897877508920899</v>
      </c>
      <c r="M1330">
        <v>3.2293114093329001</v>
      </c>
      <c r="N1330">
        <v>3.2284174966913599</v>
      </c>
      <c r="Q1330">
        <f t="shared" si="100"/>
        <v>4.2699999999999996</v>
      </c>
      <c r="R1330">
        <f t="shared" si="102"/>
        <v>3.267244108186139</v>
      </c>
      <c r="S1330">
        <f t="shared" si="103"/>
        <v>1.0027558918138606</v>
      </c>
      <c r="T1330">
        <f t="shared" si="104"/>
        <v>1.0055193785674108</v>
      </c>
    </row>
    <row r="1331" spans="1:20" hidden="1" x14ac:dyDescent="0.25">
      <c r="A1331" t="str">
        <f t="shared" si="101"/>
        <v>RIP</v>
      </c>
      <c r="B1331" t="s">
        <v>1337</v>
      </c>
      <c r="C1331">
        <v>0.96753449000000002</v>
      </c>
      <c r="D1331">
        <v>0.102379155</v>
      </c>
      <c r="E1331">
        <v>0.66919888699999996</v>
      </c>
      <c r="F1331">
        <v>0.38153545</v>
      </c>
      <c r="G1331">
        <v>0.74728018100000004</v>
      </c>
      <c r="H1331">
        <v>4</v>
      </c>
      <c r="I1331">
        <v>3.3143470093362302</v>
      </c>
      <c r="J1331">
        <v>3.4353357495261601</v>
      </c>
      <c r="K1331">
        <v>3.07247229226452</v>
      </c>
      <c r="L1331">
        <v>2.8926156464235402</v>
      </c>
      <c r="M1331">
        <v>3.3748413794312002</v>
      </c>
      <c r="N1331">
        <v>3.3742991520474099</v>
      </c>
      <c r="Q1331">
        <f t="shared" si="100"/>
        <v>4</v>
      </c>
      <c r="R1331">
        <f t="shared" si="102"/>
        <v>3.4437446122459301</v>
      </c>
      <c r="S1331">
        <f t="shared" si="103"/>
        <v>0.55625538775406991</v>
      </c>
      <c r="T1331">
        <f t="shared" si="104"/>
        <v>0.30942005640543069</v>
      </c>
    </row>
    <row r="1332" spans="1:20" hidden="1" x14ac:dyDescent="0.25">
      <c r="A1332" t="str">
        <f t="shared" si="101"/>
        <v>RIP</v>
      </c>
      <c r="B1332" t="s">
        <v>1338</v>
      </c>
      <c r="C1332">
        <v>0.85207806799999997</v>
      </c>
      <c r="D1332">
        <v>0.101058789</v>
      </c>
      <c r="E1332">
        <v>0.66747327899999997</v>
      </c>
      <c r="F1332">
        <v>0.37558696800000002</v>
      </c>
      <c r="G1332">
        <v>0.74884632299999998</v>
      </c>
      <c r="H1332">
        <v>3.96</v>
      </c>
      <c r="I1332">
        <v>3.4051785934036798</v>
      </c>
      <c r="J1332">
        <v>3.4500477625044099</v>
      </c>
      <c r="K1332">
        <v>3.3956314980462601</v>
      </c>
      <c r="L1332">
        <v>3.2393668970875602</v>
      </c>
      <c r="M1332">
        <v>3.42761317795404</v>
      </c>
      <c r="N1332">
        <v>3.4275397571873998</v>
      </c>
      <c r="Q1332">
        <f t="shared" si="100"/>
        <v>3.96</v>
      </c>
      <c r="R1332">
        <f t="shared" si="102"/>
        <v>3.4882569285521425</v>
      </c>
      <c r="S1332">
        <f t="shared" si="103"/>
        <v>0.47174307144785743</v>
      </c>
      <c r="T1332">
        <f t="shared" si="104"/>
        <v>0.22254152545905831</v>
      </c>
    </row>
    <row r="1333" spans="1:20" hidden="1" x14ac:dyDescent="0.25">
      <c r="A1333" t="str">
        <f t="shared" si="101"/>
        <v>RIP</v>
      </c>
      <c r="B1333" t="s">
        <v>1339</v>
      </c>
      <c r="C1333">
        <v>0.71192812000000005</v>
      </c>
      <c r="D1333">
        <v>0.109953274</v>
      </c>
      <c r="E1333">
        <v>0.65244334900000001</v>
      </c>
      <c r="F1333">
        <v>0.35865450700000001</v>
      </c>
      <c r="G1333">
        <v>0.75046661000000003</v>
      </c>
      <c r="H1333">
        <v>3.61</v>
      </c>
      <c r="I1333">
        <v>4.06437299435495</v>
      </c>
      <c r="J1333">
        <v>4.1111907891561996</v>
      </c>
      <c r="K1333">
        <v>3.6579872029997098</v>
      </c>
      <c r="L1333">
        <v>3.4717601901870201</v>
      </c>
      <c r="M1333">
        <v>4.0877818917555802</v>
      </c>
      <c r="N1333">
        <v>4.0877148650667001</v>
      </c>
      <c r="Q1333">
        <f t="shared" si="100"/>
        <v>3.61</v>
      </c>
      <c r="R1333">
        <f t="shared" si="102"/>
        <v>4.0793474729467825</v>
      </c>
      <c r="S1333">
        <f t="shared" si="103"/>
        <v>-0.46934747294678258</v>
      </c>
      <c r="T1333">
        <f t="shared" si="104"/>
        <v>0.22028705036153082</v>
      </c>
    </row>
    <row r="1334" spans="1:20" hidden="1" x14ac:dyDescent="0.25">
      <c r="A1334" t="str">
        <f t="shared" si="101"/>
        <v>RIP</v>
      </c>
      <c r="B1334" t="s">
        <v>1340</v>
      </c>
      <c r="C1334">
        <v>0.73111358599999998</v>
      </c>
      <c r="D1334">
        <v>0.113957331</v>
      </c>
      <c r="E1334">
        <v>0.66644355300000002</v>
      </c>
      <c r="F1334">
        <v>0.31540650999999997</v>
      </c>
      <c r="G1334">
        <v>0.76706050699999995</v>
      </c>
      <c r="H1334">
        <v>3.48</v>
      </c>
      <c r="I1334">
        <v>4.2447304489687401</v>
      </c>
      <c r="J1334">
        <v>4.34565162380175</v>
      </c>
      <c r="K1334">
        <v>3.1677949304269499</v>
      </c>
      <c r="L1334">
        <v>3.00574659707965</v>
      </c>
      <c r="M1334">
        <v>4.2951910363852397</v>
      </c>
      <c r="N1334">
        <v>4.2948946166537896</v>
      </c>
      <c r="Q1334">
        <f t="shared" si="100"/>
        <v>3.48</v>
      </c>
      <c r="R1334">
        <f t="shared" si="102"/>
        <v>4.208062540516738</v>
      </c>
      <c r="S1334">
        <f t="shared" si="103"/>
        <v>-0.72806254051673802</v>
      </c>
      <c r="T1334">
        <f t="shared" si="104"/>
        <v>0.53007506290368678</v>
      </c>
    </row>
    <row r="1335" spans="1:20" hidden="1" x14ac:dyDescent="0.25">
      <c r="A1335" t="str">
        <f t="shared" si="101"/>
        <v>RIP</v>
      </c>
      <c r="B1335" t="s">
        <v>1341</v>
      </c>
      <c r="C1335">
        <v>0.86251497899999996</v>
      </c>
      <c r="D1335">
        <v>0.10773184199999999</v>
      </c>
      <c r="E1335">
        <v>0.66902741499999996</v>
      </c>
      <c r="F1335">
        <v>0.41003197499999999</v>
      </c>
      <c r="G1335">
        <v>0.76601777800000004</v>
      </c>
      <c r="H1335">
        <v>3.71</v>
      </c>
      <c r="I1335">
        <v>4.0043868637422602</v>
      </c>
      <c r="J1335">
        <v>4.0021474001303803</v>
      </c>
      <c r="K1335">
        <v>3.6296426948105398</v>
      </c>
      <c r="L1335">
        <v>3.5571622324568901</v>
      </c>
      <c r="M1335">
        <v>4.0032671319363198</v>
      </c>
      <c r="N1335">
        <v>4.0032669753393098</v>
      </c>
      <c r="Q1335">
        <f t="shared" si="100"/>
        <v>3.71</v>
      </c>
      <c r="R1335">
        <f t="shared" si="102"/>
        <v>4.0006106883949997</v>
      </c>
      <c r="S1335">
        <f t="shared" si="103"/>
        <v>-0.29061068839499971</v>
      </c>
      <c r="T1335">
        <f t="shared" si="104"/>
        <v>8.4454572209415615E-2</v>
      </c>
    </row>
    <row r="1336" spans="1:20" hidden="1" x14ac:dyDescent="0.25">
      <c r="A1336" t="str">
        <f t="shared" si="101"/>
        <v>RIP</v>
      </c>
      <c r="B1336" t="s">
        <v>1342</v>
      </c>
      <c r="C1336">
        <v>1.237986131</v>
      </c>
      <c r="D1336">
        <v>0.110396945</v>
      </c>
      <c r="E1336">
        <v>0.67511673900000002</v>
      </c>
      <c r="F1336">
        <v>0.45737650400000002</v>
      </c>
      <c r="G1336">
        <v>0.77709929600000005</v>
      </c>
      <c r="H1336">
        <v>3.72</v>
      </c>
      <c r="I1336">
        <v>4.0080893133434001</v>
      </c>
      <c r="J1336">
        <v>4.02908787233822</v>
      </c>
      <c r="K1336">
        <v>3.1177363578282602</v>
      </c>
      <c r="L1336">
        <v>3.1547549027267099</v>
      </c>
      <c r="M1336">
        <v>4.0185885928408096</v>
      </c>
      <c r="N1336">
        <v>4.0185748771971799</v>
      </c>
      <c r="Q1336">
        <f t="shared" si="100"/>
        <v>3.72</v>
      </c>
      <c r="R1336">
        <f t="shared" si="102"/>
        <v>3.9399056620941302</v>
      </c>
      <c r="S1336">
        <f t="shared" si="103"/>
        <v>-0.21990566209412998</v>
      </c>
      <c r="T1336">
        <f t="shared" si="104"/>
        <v>4.8358500221057678E-2</v>
      </c>
    </row>
    <row r="1337" spans="1:20" hidden="1" x14ac:dyDescent="0.25">
      <c r="A1337" t="str">
        <f t="shared" si="101"/>
        <v>RIP</v>
      </c>
      <c r="B1337" t="s">
        <v>1343</v>
      </c>
      <c r="C1337">
        <v>0.91278124199999999</v>
      </c>
      <c r="D1337">
        <v>0.11176523300000001</v>
      </c>
      <c r="E1337">
        <v>0.67137988599999998</v>
      </c>
      <c r="F1337">
        <v>0.34418907300000001</v>
      </c>
      <c r="G1337">
        <v>0.77135011200000003</v>
      </c>
      <c r="H1337">
        <v>3.35</v>
      </c>
      <c r="I1337">
        <v>3.9684638415433899</v>
      </c>
      <c r="J1337">
        <v>4.0562542010451903</v>
      </c>
      <c r="K1337">
        <v>3.0281116044721501</v>
      </c>
      <c r="L1337">
        <v>2.8392709800488798</v>
      </c>
      <c r="M1337">
        <v>4.0123590212942899</v>
      </c>
      <c r="N1337">
        <v>4.0121189076292696</v>
      </c>
      <c r="Q1337">
        <f t="shared" si="100"/>
        <v>3.35</v>
      </c>
      <c r="R1337">
        <f t="shared" si="102"/>
        <v>3.9435445738130399</v>
      </c>
      <c r="S1337">
        <f t="shared" si="103"/>
        <v>-0.59354457381303982</v>
      </c>
      <c r="T1337">
        <f t="shared" si="104"/>
        <v>0.3522951611029031</v>
      </c>
    </row>
    <row r="1338" spans="1:20" hidden="1" x14ac:dyDescent="0.25">
      <c r="A1338" t="str">
        <f t="shared" si="101"/>
        <v>RIP</v>
      </c>
      <c r="B1338" t="s">
        <v>1344</v>
      </c>
      <c r="C1338">
        <v>1.024065819</v>
      </c>
      <c r="D1338">
        <v>0.11283130299999999</v>
      </c>
      <c r="E1338">
        <v>0.67878346899999997</v>
      </c>
      <c r="F1338">
        <v>0.39587382199999999</v>
      </c>
      <c r="G1338">
        <v>0.78020279800000003</v>
      </c>
      <c r="H1338">
        <v>3.74</v>
      </c>
      <c r="I1338">
        <v>4.2271334144184003</v>
      </c>
      <c r="J1338">
        <v>4.2538194901926101</v>
      </c>
      <c r="K1338">
        <v>3.1053067735214799</v>
      </c>
      <c r="L1338">
        <v>3.0025677788605298</v>
      </c>
      <c r="M1338">
        <v>4.2404764523055096</v>
      </c>
      <c r="N1338">
        <v>4.2404554597233304</v>
      </c>
      <c r="Q1338">
        <f t="shared" si="100"/>
        <v>3.74</v>
      </c>
      <c r="R1338">
        <f t="shared" si="102"/>
        <v>4.1286888903875081</v>
      </c>
      <c r="S1338">
        <f t="shared" si="103"/>
        <v>-0.38868889038750787</v>
      </c>
      <c r="T1338">
        <f t="shared" si="104"/>
        <v>0.15107905351067211</v>
      </c>
    </row>
    <row r="1339" spans="1:20" hidden="1" x14ac:dyDescent="0.25">
      <c r="A1339" t="str">
        <f t="shared" si="101"/>
        <v>RIP</v>
      </c>
      <c r="B1339" s="1" t="s">
        <v>1345</v>
      </c>
      <c r="C1339" s="1">
        <v>0.87342897200000003</v>
      </c>
      <c r="D1339" s="1">
        <v>0.122969364</v>
      </c>
      <c r="E1339" s="1">
        <v>0.66390547099999997</v>
      </c>
      <c r="F1339" s="1">
        <v>0.39252819100000003</v>
      </c>
      <c r="G1339" s="1">
        <v>0.77164812500000002</v>
      </c>
      <c r="H1339" s="1">
        <v>3.8</v>
      </c>
      <c r="I1339" s="1">
        <v>5.9231643287012599</v>
      </c>
      <c r="J1339" s="1">
        <v>5.9119824204363898</v>
      </c>
      <c r="K1339" s="1">
        <v>3.5191945102694699</v>
      </c>
      <c r="L1339" s="1">
        <v>3.38028526144867</v>
      </c>
      <c r="M1339" s="1">
        <v>5.9175733745688204</v>
      </c>
      <c r="N1339" s="1">
        <v>5.9175707333869498</v>
      </c>
      <c r="O1339" s="1"/>
      <c r="P1339" s="1"/>
      <c r="Q1339" s="1">
        <f t="shared" si="100"/>
        <v>3.8</v>
      </c>
      <c r="R1339" s="1">
        <f t="shared" si="102"/>
        <v>5.3856330777087766</v>
      </c>
      <c r="S1339" s="1">
        <f t="shared" si="103"/>
        <v>-1.5856330777087768</v>
      </c>
      <c r="T1339" s="1">
        <f t="shared" si="104"/>
        <v>2.5142322571242079</v>
      </c>
    </row>
    <row r="1340" spans="1:20" hidden="1" x14ac:dyDescent="0.25">
      <c r="A1340" t="str">
        <f t="shared" si="101"/>
        <v>RIP</v>
      </c>
      <c r="B1340" t="s">
        <v>1346</v>
      </c>
      <c r="C1340">
        <v>0.62285890200000005</v>
      </c>
      <c r="D1340">
        <v>0.113447112</v>
      </c>
      <c r="E1340">
        <v>0.66788109900000003</v>
      </c>
      <c r="F1340">
        <v>0.30557798600000002</v>
      </c>
      <c r="G1340">
        <v>0.75898857500000005</v>
      </c>
      <c r="H1340">
        <v>3.93</v>
      </c>
      <c r="I1340">
        <v>4.1184907864125302</v>
      </c>
      <c r="J1340">
        <v>4.3658870859591898</v>
      </c>
      <c r="K1340">
        <v>3.1370246112853701</v>
      </c>
      <c r="L1340">
        <v>3.1451724499314002</v>
      </c>
      <c r="M1340">
        <v>4.24218893618586</v>
      </c>
      <c r="N1340">
        <v>4.2403850931301497</v>
      </c>
      <c r="Q1340">
        <f t="shared" si="100"/>
        <v>3.93</v>
      </c>
      <c r="R1340">
        <f t="shared" si="102"/>
        <v>4.2572001152359897</v>
      </c>
      <c r="S1340">
        <f t="shared" si="103"/>
        <v>-0.32720011523598957</v>
      </c>
      <c r="T1340">
        <f t="shared" si="104"/>
        <v>0.10705991541044485</v>
      </c>
    </row>
    <row r="1341" spans="1:20" hidden="1" x14ac:dyDescent="0.25">
      <c r="A1341" t="str">
        <f t="shared" si="101"/>
        <v>RIP</v>
      </c>
      <c r="B1341" t="s">
        <v>1347</v>
      </c>
      <c r="C1341">
        <v>1.1182494350000001</v>
      </c>
      <c r="D1341">
        <v>9.6047922999999993E-2</v>
      </c>
      <c r="E1341">
        <v>0.63251016100000002</v>
      </c>
      <c r="F1341">
        <v>0.44250996399999998</v>
      </c>
      <c r="G1341">
        <v>0.72531471199999997</v>
      </c>
      <c r="H1341">
        <v>3.09</v>
      </c>
      <c r="I1341">
        <v>3.2282367928058102</v>
      </c>
      <c r="J1341">
        <v>3.1165473571489</v>
      </c>
      <c r="K1341">
        <v>3.27262336886717</v>
      </c>
      <c r="L1341">
        <v>3.2819650782513601</v>
      </c>
      <c r="M1341">
        <v>3.17239207497735</v>
      </c>
      <c r="N1341">
        <v>3.1719005099261501</v>
      </c>
      <c r="Q1341">
        <f t="shared" si="100"/>
        <v>3.09</v>
      </c>
      <c r="R1341">
        <f t="shared" si="102"/>
        <v>3.1624657556840639</v>
      </c>
      <c r="S1341">
        <f t="shared" si="103"/>
        <v>-7.2465755684063993E-2</v>
      </c>
      <c r="T1341">
        <f t="shared" si="104"/>
        <v>5.2512857468624526E-3</v>
      </c>
    </row>
    <row r="1342" spans="1:20" hidden="1" x14ac:dyDescent="0.25">
      <c r="A1342" t="str">
        <f t="shared" si="101"/>
        <v>RIP</v>
      </c>
      <c r="B1342" t="s">
        <v>1348</v>
      </c>
      <c r="C1342">
        <v>1.245628655</v>
      </c>
      <c r="D1342">
        <v>9.8867793999999995E-2</v>
      </c>
      <c r="E1342">
        <v>0.65061861899999995</v>
      </c>
      <c r="F1342">
        <v>0.49150831</v>
      </c>
      <c r="G1342">
        <v>0.74123514499999998</v>
      </c>
      <c r="H1342">
        <v>3.1</v>
      </c>
      <c r="I1342">
        <v>3.3952557399380501</v>
      </c>
      <c r="J1342">
        <v>3.33608509846926</v>
      </c>
      <c r="K1342">
        <v>3.2588653964463798</v>
      </c>
      <c r="L1342">
        <v>3.31315122304001</v>
      </c>
      <c r="M1342">
        <v>3.3656704192036599</v>
      </c>
      <c r="N1342">
        <v>3.3655403844701599</v>
      </c>
      <c r="Q1342">
        <f t="shared" si="100"/>
        <v>3.1</v>
      </c>
      <c r="R1342">
        <f t="shared" si="102"/>
        <v>3.3728873446801093</v>
      </c>
      <c r="S1342">
        <f t="shared" si="103"/>
        <v>-0.27288734468010922</v>
      </c>
      <c r="T1342">
        <f t="shared" si="104"/>
        <v>7.4467502886560732E-2</v>
      </c>
    </row>
    <row r="1343" spans="1:20" hidden="1" x14ac:dyDescent="0.25">
      <c r="A1343" t="str">
        <f t="shared" si="101"/>
        <v>RIP</v>
      </c>
      <c r="B1343" t="s">
        <v>1349</v>
      </c>
      <c r="C1343">
        <v>1.2958037419999999</v>
      </c>
      <c r="D1343">
        <v>0.10041122700000001</v>
      </c>
      <c r="E1343">
        <v>0.65705036000000006</v>
      </c>
      <c r="F1343">
        <v>0.47657885900000002</v>
      </c>
      <c r="G1343">
        <v>0.75204187899999997</v>
      </c>
      <c r="H1343">
        <v>3.24</v>
      </c>
      <c r="I1343">
        <v>3.3348676407239402</v>
      </c>
      <c r="J1343">
        <v>3.3234347282365002</v>
      </c>
      <c r="K1343">
        <v>3.1192635432934299</v>
      </c>
      <c r="L1343">
        <v>3.1647631330804198</v>
      </c>
      <c r="M1343">
        <v>3.32915118448022</v>
      </c>
      <c r="N1343">
        <v>3.3291462766382098</v>
      </c>
      <c r="Q1343">
        <f t="shared" si="100"/>
        <v>3.24</v>
      </c>
      <c r="R1343">
        <f t="shared" si="102"/>
        <v>3.332125994665768</v>
      </c>
      <c r="S1343">
        <f t="shared" si="103"/>
        <v>-9.2125994665767763E-2</v>
      </c>
      <c r="T1343">
        <f t="shared" si="104"/>
        <v>8.4871988931570705E-3</v>
      </c>
    </row>
    <row r="1344" spans="1:20" hidden="1" x14ac:dyDescent="0.25">
      <c r="A1344" t="str">
        <f t="shared" si="101"/>
        <v>RIP</v>
      </c>
      <c r="B1344" t="s">
        <v>1350</v>
      </c>
      <c r="C1344">
        <v>1.2386722450000001</v>
      </c>
      <c r="D1344">
        <v>0.101215186</v>
      </c>
      <c r="E1344">
        <v>0.65653736399999996</v>
      </c>
      <c r="F1344">
        <v>0.51021594299999995</v>
      </c>
      <c r="G1344">
        <v>0.74680584100000003</v>
      </c>
      <c r="H1344">
        <v>3.6</v>
      </c>
      <c r="I1344">
        <v>3.5882325520350902</v>
      </c>
      <c r="J1344">
        <v>3.5475826892784799</v>
      </c>
      <c r="K1344">
        <v>3.3372486466067599</v>
      </c>
      <c r="L1344">
        <v>3.3565723045607299</v>
      </c>
      <c r="M1344">
        <v>3.5679076206567899</v>
      </c>
      <c r="N1344">
        <v>3.5678497287169</v>
      </c>
      <c r="Q1344">
        <f t="shared" si="100"/>
        <v>3.6</v>
      </c>
      <c r="R1344">
        <f t="shared" si="102"/>
        <v>3.5841335174173397</v>
      </c>
      <c r="S1344">
        <f t="shared" si="103"/>
        <v>1.5866482582660435E-2</v>
      </c>
      <c r="T1344">
        <f t="shared" si="104"/>
        <v>2.5174526954586696E-4</v>
      </c>
    </row>
    <row r="1345" spans="1:20" hidden="1" x14ac:dyDescent="0.25">
      <c r="A1345" t="str">
        <f t="shared" si="101"/>
        <v>RIP</v>
      </c>
      <c r="B1345" t="s">
        <v>1351</v>
      </c>
      <c r="C1345">
        <v>1.2541364429999999</v>
      </c>
      <c r="D1345">
        <v>9.7917451000000003E-2</v>
      </c>
      <c r="E1345">
        <v>0.66124335300000003</v>
      </c>
      <c r="F1345">
        <v>0.47189187399999999</v>
      </c>
      <c r="G1345">
        <v>0.74800778099999998</v>
      </c>
      <c r="H1345">
        <v>3.59</v>
      </c>
      <c r="I1345">
        <v>3.2352035008564202</v>
      </c>
      <c r="J1345">
        <v>3.2257559178073101</v>
      </c>
      <c r="K1345">
        <v>3.1672570573228498</v>
      </c>
      <c r="L1345">
        <v>3.2166507667217599</v>
      </c>
      <c r="M1345">
        <v>3.23047970933187</v>
      </c>
      <c r="N1345">
        <v>3.2304762556314399</v>
      </c>
      <c r="Q1345">
        <f t="shared" ref="Q1345:Q1408" si="105">H1345</f>
        <v>3.59</v>
      </c>
      <c r="R1345">
        <f t="shared" si="102"/>
        <v>3.2540160173039485</v>
      </c>
      <c r="S1345">
        <f t="shared" si="103"/>
        <v>0.33598398269605134</v>
      </c>
      <c r="T1345">
        <f t="shared" si="104"/>
        <v>0.11288523662830052</v>
      </c>
    </row>
    <row r="1346" spans="1:20" hidden="1" x14ac:dyDescent="0.25">
      <c r="A1346" t="str">
        <f t="shared" si="101"/>
        <v>RIP</v>
      </c>
      <c r="B1346" t="s">
        <v>1352</v>
      </c>
      <c r="C1346">
        <v>1.147286515</v>
      </c>
      <c r="D1346">
        <v>9.6907521999999996E-2</v>
      </c>
      <c r="E1346">
        <v>0.67677810199999999</v>
      </c>
      <c r="F1346">
        <v>0.48466901600000001</v>
      </c>
      <c r="G1346">
        <v>0.76449499200000004</v>
      </c>
      <c r="H1346">
        <v>2.9</v>
      </c>
      <c r="I1346">
        <v>3.3997084937612598</v>
      </c>
      <c r="J1346">
        <v>3.3563592037653498</v>
      </c>
      <c r="K1346">
        <v>3.4682056789381002</v>
      </c>
      <c r="L1346">
        <v>3.5095318898546499</v>
      </c>
      <c r="M1346">
        <v>3.3780338487632999</v>
      </c>
      <c r="N1346">
        <v>3.3779643120013598</v>
      </c>
      <c r="Q1346">
        <f t="shared" si="105"/>
        <v>2.9</v>
      </c>
      <c r="R1346">
        <f t="shared" si="102"/>
        <v>3.4207574134171019</v>
      </c>
      <c r="S1346">
        <f t="shared" si="103"/>
        <v>-0.52075741341710202</v>
      </c>
      <c r="T1346">
        <f t="shared" si="104"/>
        <v>0.27118828362887049</v>
      </c>
    </row>
    <row r="1347" spans="1:20" hidden="1" x14ac:dyDescent="0.25">
      <c r="A1347" t="str">
        <f t="shared" ref="A1347:A1410" si="106">LEFT(B1347,3)</f>
        <v>RIP</v>
      </c>
      <c r="B1347" t="s">
        <v>1353</v>
      </c>
      <c r="C1347">
        <v>1.1579682229999999</v>
      </c>
      <c r="D1347">
        <v>9.7809823000000004E-2</v>
      </c>
      <c r="E1347">
        <v>0.68291891599999999</v>
      </c>
      <c r="F1347">
        <v>0.50395752199999999</v>
      </c>
      <c r="G1347">
        <v>0.76804594699999995</v>
      </c>
      <c r="H1347">
        <v>3.94</v>
      </c>
      <c r="I1347">
        <v>3.49963030459186</v>
      </c>
      <c r="J1347">
        <v>3.4709232199284599</v>
      </c>
      <c r="K1347">
        <v>3.4678062042998099</v>
      </c>
      <c r="L1347">
        <v>3.5008970843412901</v>
      </c>
      <c r="M1347">
        <v>3.4852767622601601</v>
      </c>
      <c r="N1347">
        <v>3.48524720577654</v>
      </c>
      <c r="Q1347">
        <f t="shared" si="105"/>
        <v>3.94</v>
      </c>
      <c r="R1347">
        <f t="shared" ref="R1347:R1410" si="107">$X$2*F1347+$X$3*D1347*E1347+($X$4/(D1347-$X$5))-$X$6*C1347</f>
        <v>3.5411355486346441</v>
      </c>
      <c r="S1347">
        <f t="shared" ref="S1347:S1410" si="108">Q1347-R1347</f>
        <v>0.39886445136535587</v>
      </c>
      <c r="T1347">
        <f t="shared" ref="T1347:T1410" si="109">S1347^2</f>
        <v>0.15909285056298633</v>
      </c>
    </row>
    <row r="1348" spans="1:20" hidden="1" x14ac:dyDescent="0.25">
      <c r="A1348" t="str">
        <f t="shared" si="106"/>
        <v>RIP</v>
      </c>
      <c r="B1348" t="s">
        <v>1354</v>
      </c>
      <c r="C1348">
        <v>1.069169992</v>
      </c>
      <c r="D1348">
        <v>9.5281636000000003E-2</v>
      </c>
      <c r="E1348">
        <v>0.69208612199999997</v>
      </c>
      <c r="F1348">
        <v>0.50044809300000004</v>
      </c>
      <c r="G1348">
        <v>0.78107542299999999</v>
      </c>
      <c r="H1348">
        <v>3.24</v>
      </c>
      <c r="I1348">
        <v>3.51216493579828</v>
      </c>
      <c r="J1348">
        <v>3.4415624844063499</v>
      </c>
      <c r="K1348">
        <v>3.7021823993596801</v>
      </c>
      <c r="L1348">
        <v>3.7521486735428802</v>
      </c>
      <c r="M1348">
        <v>3.4768637101023199</v>
      </c>
      <c r="N1348">
        <v>3.4766844956209102</v>
      </c>
      <c r="Q1348">
        <f t="shared" si="105"/>
        <v>3.24</v>
      </c>
      <c r="R1348">
        <f t="shared" si="107"/>
        <v>3.5397528283911925</v>
      </c>
      <c r="S1348">
        <f t="shared" si="108"/>
        <v>-0.29975282839119233</v>
      </c>
      <c r="T1348">
        <f t="shared" si="109"/>
        <v>8.9851758128519602E-2</v>
      </c>
    </row>
    <row r="1349" spans="1:20" hidden="1" x14ac:dyDescent="0.25">
      <c r="A1349" t="str">
        <f t="shared" si="106"/>
        <v>RIP</v>
      </c>
      <c r="B1349" t="s">
        <v>1355</v>
      </c>
      <c r="C1349">
        <v>1.226585448</v>
      </c>
      <c r="D1349">
        <v>9.6641507000000001E-2</v>
      </c>
      <c r="E1349">
        <v>0.68189784099999995</v>
      </c>
      <c r="F1349">
        <v>0.50321946200000001</v>
      </c>
      <c r="G1349">
        <v>0.76635223100000005</v>
      </c>
      <c r="H1349">
        <v>3.58</v>
      </c>
      <c r="I1349">
        <v>3.3597749671826902</v>
      </c>
      <c r="J1349">
        <v>3.3409952026277798</v>
      </c>
      <c r="K1349">
        <v>3.378939556168</v>
      </c>
      <c r="L1349">
        <v>3.4028866823459998</v>
      </c>
      <c r="M1349">
        <v>3.3503850849052301</v>
      </c>
      <c r="N1349">
        <v>3.35037192670698</v>
      </c>
      <c r="Q1349">
        <f t="shared" si="105"/>
        <v>3.58</v>
      </c>
      <c r="R1349">
        <f t="shared" si="107"/>
        <v>3.4012453854532385</v>
      </c>
      <c r="S1349">
        <f t="shared" si="108"/>
        <v>0.17875461454676156</v>
      </c>
      <c r="T1349">
        <f t="shared" si="109"/>
        <v>3.1953212221761298E-2</v>
      </c>
    </row>
    <row r="1350" spans="1:20" hidden="1" x14ac:dyDescent="0.25">
      <c r="A1350" t="str">
        <f t="shared" si="106"/>
        <v>RIP</v>
      </c>
      <c r="B1350" t="s">
        <v>1356</v>
      </c>
      <c r="C1350">
        <v>1.287542934</v>
      </c>
      <c r="D1350">
        <v>9.5770428000000005E-2</v>
      </c>
      <c r="E1350">
        <v>0.69286157000000004</v>
      </c>
      <c r="F1350">
        <v>0.51425745499999997</v>
      </c>
      <c r="G1350">
        <v>0.78020347899999998</v>
      </c>
      <c r="H1350">
        <v>3.55</v>
      </c>
      <c r="I1350">
        <v>3.3028401449159599</v>
      </c>
      <c r="J1350">
        <v>3.2977330758327899</v>
      </c>
      <c r="K1350">
        <v>3.2877632520999698</v>
      </c>
      <c r="L1350">
        <v>3.2945166868692999</v>
      </c>
      <c r="M1350">
        <v>3.30028661037437</v>
      </c>
      <c r="N1350">
        <v>3.30028562249962</v>
      </c>
      <c r="Q1350">
        <f t="shared" si="105"/>
        <v>3.55</v>
      </c>
      <c r="R1350">
        <f t="shared" si="107"/>
        <v>3.355874153107909</v>
      </c>
      <c r="S1350">
        <f t="shared" si="108"/>
        <v>0.19412584689209078</v>
      </c>
      <c r="T1350">
        <f t="shared" si="109"/>
        <v>3.7684844431571475E-2</v>
      </c>
    </row>
    <row r="1351" spans="1:20" hidden="1" x14ac:dyDescent="0.25">
      <c r="A1351" t="str">
        <f t="shared" si="106"/>
        <v>RIP</v>
      </c>
      <c r="B1351" t="s">
        <v>1357</v>
      </c>
      <c r="C1351">
        <v>0.93654562600000002</v>
      </c>
      <c r="D1351">
        <v>0.101811211</v>
      </c>
      <c r="E1351">
        <v>0.69895349299999998</v>
      </c>
      <c r="F1351">
        <v>0.46751792599999997</v>
      </c>
      <c r="G1351">
        <v>0.78487600700000004</v>
      </c>
      <c r="H1351">
        <v>3.35</v>
      </c>
      <c r="I1351">
        <v>3.8037114672270098</v>
      </c>
      <c r="J1351">
        <v>3.80118825100902</v>
      </c>
      <c r="K1351">
        <v>3.9010563583061901</v>
      </c>
      <c r="L1351">
        <v>3.9675246347864501</v>
      </c>
      <c r="M1351">
        <v>3.8024498591180098</v>
      </c>
      <c r="N1351">
        <v>3.8024496498246498</v>
      </c>
      <c r="Q1351">
        <f t="shared" si="105"/>
        <v>3.35</v>
      </c>
      <c r="R1351">
        <f t="shared" si="107"/>
        <v>3.8746535724845947</v>
      </c>
      <c r="S1351">
        <f t="shared" si="108"/>
        <v>-0.52465357248459465</v>
      </c>
      <c r="T1351">
        <f t="shared" si="109"/>
        <v>0.27526137112084781</v>
      </c>
    </row>
    <row r="1352" spans="1:20" hidden="1" x14ac:dyDescent="0.25">
      <c r="A1352" t="str">
        <f t="shared" si="106"/>
        <v>RIP</v>
      </c>
      <c r="B1352" t="s">
        <v>1358</v>
      </c>
      <c r="C1352">
        <v>1.123232789</v>
      </c>
      <c r="D1352">
        <v>9.8139120999999996E-2</v>
      </c>
      <c r="E1352">
        <v>0.683654294</v>
      </c>
      <c r="F1352">
        <v>0.48279447599999997</v>
      </c>
      <c r="G1352">
        <v>0.76795385999999999</v>
      </c>
      <c r="H1352">
        <v>3.5</v>
      </c>
      <c r="I1352">
        <v>3.45757172773413</v>
      </c>
      <c r="J1352">
        <v>3.4456445393512301</v>
      </c>
      <c r="K1352">
        <v>3.5286308951190501</v>
      </c>
      <c r="L1352">
        <v>3.56561264612129</v>
      </c>
      <c r="M1352">
        <v>3.4516081335426798</v>
      </c>
      <c r="N1352">
        <v>3.4516029816713099</v>
      </c>
      <c r="Q1352">
        <f t="shared" si="105"/>
        <v>3.5</v>
      </c>
      <c r="R1352">
        <f t="shared" si="107"/>
        <v>3.5087656460576246</v>
      </c>
      <c r="S1352">
        <f t="shared" si="108"/>
        <v>-8.7656460576246431E-3</v>
      </c>
      <c r="T1352">
        <f t="shared" si="109"/>
        <v>7.6836550807550443E-5</v>
      </c>
    </row>
    <row r="1353" spans="1:20" hidden="1" x14ac:dyDescent="0.25">
      <c r="A1353" t="str">
        <f t="shared" si="106"/>
        <v>RIP</v>
      </c>
      <c r="B1353" t="s">
        <v>1359</v>
      </c>
      <c r="C1353">
        <v>0.87988636899999995</v>
      </c>
      <c r="D1353">
        <v>0.104955969</v>
      </c>
      <c r="E1353">
        <v>0.69300438200000003</v>
      </c>
      <c r="F1353">
        <v>0.48038664599999997</v>
      </c>
      <c r="G1353">
        <v>0.77228503800000003</v>
      </c>
      <c r="H1353">
        <v>3.38</v>
      </c>
      <c r="I1353">
        <v>4.04399125854657</v>
      </c>
      <c r="J1353">
        <v>4.0901266297103902</v>
      </c>
      <c r="K1353">
        <v>4.0477841232814997</v>
      </c>
      <c r="L1353">
        <v>4.1161623060250196</v>
      </c>
      <c r="M1353">
        <v>4.0670589441284797</v>
      </c>
      <c r="N1353">
        <v>4.0669935255539</v>
      </c>
      <c r="Q1353">
        <f t="shared" si="105"/>
        <v>3.38</v>
      </c>
      <c r="R1353">
        <f t="shared" si="107"/>
        <v>4.1585510315165513</v>
      </c>
      <c r="S1353">
        <f t="shared" si="108"/>
        <v>-0.77855103151655136</v>
      </c>
      <c r="T1353">
        <f t="shared" si="109"/>
        <v>0.60614170867548611</v>
      </c>
    </row>
    <row r="1354" spans="1:20" hidden="1" x14ac:dyDescent="0.25">
      <c r="A1354" t="str">
        <f t="shared" si="106"/>
        <v>RIP</v>
      </c>
      <c r="B1354" t="s">
        <v>1360</v>
      </c>
      <c r="C1354">
        <v>1.127578585</v>
      </c>
      <c r="D1354">
        <v>0.102060187</v>
      </c>
      <c r="E1354">
        <v>0.702606438</v>
      </c>
      <c r="F1354">
        <v>0.51250365799999997</v>
      </c>
      <c r="G1354">
        <v>0.78960842799999997</v>
      </c>
      <c r="H1354">
        <v>3.43</v>
      </c>
      <c r="I1354">
        <v>3.7731344049070601</v>
      </c>
      <c r="J1354">
        <v>3.7963622071719598</v>
      </c>
      <c r="K1354">
        <v>3.7076004767706401</v>
      </c>
      <c r="L1354">
        <v>3.7410646664815399</v>
      </c>
      <c r="M1354">
        <v>3.7847483060395102</v>
      </c>
      <c r="N1354">
        <v>3.7847304867545599</v>
      </c>
      <c r="Q1354">
        <f t="shared" si="105"/>
        <v>3.43</v>
      </c>
      <c r="R1354">
        <f t="shared" si="107"/>
        <v>3.8551018707718079</v>
      </c>
      <c r="S1354">
        <f t="shared" si="108"/>
        <v>-0.42510187077180772</v>
      </c>
      <c r="T1354">
        <f t="shared" si="109"/>
        <v>0.1807116005336907</v>
      </c>
    </row>
    <row r="1355" spans="1:20" hidden="1" x14ac:dyDescent="0.25">
      <c r="A1355" t="str">
        <f t="shared" si="106"/>
        <v>RIP</v>
      </c>
      <c r="B1355" t="s">
        <v>1361</v>
      </c>
      <c r="C1355">
        <v>1.0009739849999999</v>
      </c>
      <c r="D1355">
        <v>0.103111193</v>
      </c>
      <c r="E1355">
        <v>0.70968245699999999</v>
      </c>
      <c r="F1355">
        <v>0.47905620300000001</v>
      </c>
      <c r="G1355">
        <v>0.79824334699999999</v>
      </c>
      <c r="H1355">
        <v>3.05</v>
      </c>
      <c r="I1355">
        <v>3.8694149966581102</v>
      </c>
      <c r="J1355">
        <v>3.87593825860273</v>
      </c>
      <c r="K1355">
        <v>3.7796483686370799</v>
      </c>
      <c r="L1355">
        <v>3.8358993282780798</v>
      </c>
      <c r="M1355">
        <v>3.8726766276304199</v>
      </c>
      <c r="N1355">
        <v>3.8726752541309701</v>
      </c>
      <c r="Q1355">
        <f t="shared" si="105"/>
        <v>3.05</v>
      </c>
      <c r="R1355">
        <f t="shared" si="107"/>
        <v>3.9340084362322925</v>
      </c>
      <c r="S1355">
        <f t="shared" si="108"/>
        <v>-0.88400843623229264</v>
      </c>
      <c r="T1355">
        <f t="shared" si="109"/>
        <v>0.78147091532986335</v>
      </c>
    </row>
    <row r="1356" spans="1:20" hidden="1" x14ac:dyDescent="0.25">
      <c r="A1356" t="str">
        <f t="shared" si="106"/>
        <v>RIP</v>
      </c>
      <c r="B1356" t="s">
        <v>1362</v>
      </c>
      <c r="C1356">
        <v>1.098553858</v>
      </c>
      <c r="D1356">
        <v>0.103779442</v>
      </c>
      <c r="E1356">
        <v>0.70875608700000003</v>
      </c>
      <c r="F1356">
        <v>0.52983660700000001</v>
      </c>
      <c r="G1356">
        <v>0.79214083800000001</v>
      </c>
      <c r="H1356">
        <v>3.51</v>
      </c>
      <c r="I1356">
        <v>3.9505457763910199</v>
      </c>
      <c r="J1356">
        <v>4.0049788326227</v>
      </c>
      <c r="K1356">
        <v>3.8988270871655</v>
      </c>
      <c r="L1356">
        <v>3.9217433937214601</v>
      </c>
      <c r="M1356">
        <v>3.97776230450686</v>
      </c>
      <c r="N1356">
        <v>3.9776691933534498</v>
      </c>
      <c r="Q1356">
        <f t="shared" si="105"/>
        <v>3.51</v>
      </c>
      <c r="R1356">
        <f t="shared" si="107"/>
        <v>4.0680410401181772</v>
      </c>
      <c r="S1356">
        <f t="shared" si="108"/>
        <v>-0.55804104011817746</v>
      </c>
      <c r="T1356">
        <f t="shared" si="109"/>
        <v>0.31140980245617733</v>
      </c>
    </row>
    <row r="1357" spans="1:20" hidden="1" x14ac:dyDescent="0.25">
      <c r="A1357" t="str">
        <f t="shared" si="106"/>
        <v>RIP</v>
      </c>
      <c r="B1357" t="s">
        <v>1363</v>
      </c>
      <c r="C1357">
        <v>1.04460753</v>
      </c>
      <c r="D1357">
        <v>0.103052659</v>
      </c>
      <c r="E1357">
        <v>0.68968938499999999</v>
      </c>
      <c r="F1357">
        <v>0.48595912200000002</v>
      </c>
      <c r="G1357">
        <v>0.77605535299999995</v>
      </c>
      <c r="H1357">
        <v>3.43</v>
      </c>
      <c r="I1357">
        <v>3.7978787378328098</v>
      </c>
      <c r="J1357">
        <v>3.8185295523812002</v>
      </c>
      <c r="K1357">
        <v>3.7060114013596799</v>
      </c>
      <c r="L1357">
        <v>3.7496899266738901</v>
      </c>
      <c r="M1357">
        <v>3.8082041451070099</v>
      </c>
      <c r="N1357">
        <v>3.8081901471400799</v>
      </c>
      <c r="Q1357">
        <f t="shared" si="105"/>
        <v>3.43</v>
      </c>
      <c r="R1357">
        <f t="shared" si="107"/>
        <v>3.8707830979984483</v>
      </c>
      <c r="S1357">
        <f t="shared" si="108"/>
        <v>-0.44078309799844817</v>
      </c>
      <c r="T1357">
        <f t="shared" si="109"/>
        <v>0.19428973948110956</v>
      </c>
    </row>
    <row r="1358" spans="1:20" hidden="1" x14ac:dyDescent="0.25">
      <c r="A1358" t="str">
        <f t="shared" si="106"/>
        <v>RIP</v>
      </c>
      <c r="B1358" t="s">
        <v>1364</v>
      </c>
      <c r="C1358">
        <v>0.83229808400000005</v>
      </c>
      <c r="D1358">
        <v>0.103013044</v>
      </c>
      <c r="E1358">
        <v>0.69037857899999999</v>
      </c>
      <c r="F1358">
        <v>0.42419865699999998</v>
      </c>
      <c r="G1358">
        <v>0.77692284199999995</v>
      </c>
      <c r="H1358">
        <v>3.58</v>
      </c>
      <c r="I1358">
        <v>3.7985257878500698</v>
      </c>
      <c r="J1358">
        <v>3.80282079216129</v>
      </c>
      <c r="K1358">
        <v>3.81709808957722</v>
      </c>
      <c r="L1358">
        <v>3.8616535719075999</v>
      </c>
      <c r="M1358">
        <v>3.8006732900056801</v>
      </c>
      <c r="N1358">
        <v>3.80067268330188</v>
      </c>
      <c r="Q1358">
        <f t="shared" si="105"/>
        <v>3.58</v>
      </c>
      <c r="R1358">
        <f t="shared" si="107"/>
        <v>3.8629060804766429</v>
      </c>
      <c r="S1358">
        <f t="shared" si="108"/>
        <v>-0.28290608047664279</v>
      </c>
      <c r="T1358">
        <f t="shared" si="109"/>
        <v>8.0035850370656678E-2</v>
      </c>
    </row>
    <row r="1359" spans="1:20" hidden="1" x14ac:dyDescent="0.25">
      <c r="A1359" t="str">
        <f t="shared" si="106"/>
        <v>RIP</v>
      </c>
      <c r="B1359" t="s">
        <v>1365</v>
      </c>
      <c r="C1359">
        <v>0.94751437900000002</v>
      </c>
      <c r="D1359">
        <v>0.10445858500000001</v>
      </c>
      <c r="E1359">
        <v>0.697519691</v>
      </c>
      <c r="F1359">
        <v>0.43848757399999999</v>
      </c>
      <c r="G1359">
        <v>0.78937940299999998</v>
      </c>
      <c r="H1359">
        <v>4.2300000000000004</v>
      </c>
      <c r="I1359">
        <v>3.84440838319252</v>
      </c>
      <c r="J1359">
        <v>3.8440121534584302</v>
      </c>
      <c r="K1359">
        <v>3.72116921981327</v>
      </c>
      <c r="L1359">
        <v>3.7848589717918499</v>
      </c>
      <c r="M1359">
        <v>3.84421026832548</v>
      </c>
      <c r="N1359">
        <v>3.84421026322046</v>
      </c>
      <c r="Q1359">
        <f t="shared" si="105"/>
        <v>4.2300000000000004</v>
      </c>
      <c r="R1359">
        <f t="shared" si="107"/>
        <v>3.8769479087593748</v>
      </c>
      <c r="S1359">
        <f t="shared" si="108"/>
        <v>0.35305209124062564</v>
      </c>
      <c r="T1359">
        <f t="shared" si="109"/>
        <v>0.12464577912937905</v>
      </c>
    </row>
    <row r="1360" spans="1:20" hidden="1" x14ac:dyDescent="0.25">
      <c r="A1360" t="str">
        <f t="shared" si="106"/>
        <v>RIP</v>
      </c>
      <c r="B1360" t="s">
        <v>1366</v>
      </c>
      <c r="C1360">
        <v>0.93261219699999998</v>
      </c>
      <c r="D1360">
        <v>0.102648368</v>
      </c>
      <c r="E1360">
        <v>0.69821704500000004</v>
      </c>
      <c r="F1360">
        <v>0.46883625099999998</v>
      </c>
      <c r="G1360">
        <v>0.79116000200000003</v>
      </c>
      <c r="H1360">
        <v>4.16</v>
      </c>
      <c r="I1360">
        <v>3.91000007485097</v>
      </c>
      <c r="J1360">
        <v>3.85822891440997</v>
      </c>
      <c r="K1360">
        <v>3.82886957964209</v>
      </c>
      <c r="L1360">
        <v>3.8846249308360101</v>
      </c>
      <c r="M1360">
        <v>3.8841144946304702</v>
      </c>
      <c r="N1360">
        <v>3.8840282367839598</v>
      </c>
      <c r="Q1360">
        <f t="shared" si="105"/>
        <v>4.16</v>
      </c>
      <c r="R1360">
        <f t="shared" si="107"/>
        <v>3.9274252514408481</v>
      </c>
      <c r="S1360">
        <f t="shared" si="108"/>
        <v>0.23257474855915206</v>
      </c>
      <c r="T1360">
        <f t="shared" si="109"/>
        <v>5.4091013667352798E-2</v>
      </c>
    </row>
    <row r="1361" spans="1:20" hidden="1" x14ac:dyDescent="0.25">
      <c r="A1361" t="str">
        <f t="shared" si="106"/>
        <v>RIP</v>
      </c>
      <c r="B1361" t="s">
        <v>1367</v>
      </c>
      <c r="C1361">
        <v>1.0367780689999999</v>
      </c>
      <c r="D1361">
        <v>0.104268837</v>
      </c>
      <c r="E1361">
        <v>0.68164758599999997</v>
      </c>
      <c r="F1361">
        <v>0.47182069999999998</v>
      </c>
      <c r="G1361">
        <v>0.76904608100000005</v>
      </c>
      <c r="H1361">
        <v>2.82</v>
      </c>
      <c r="I1361">
        <v>3.8026547485820399</v>
      </c>
      <c r="J1361">
        <v>3.8363219379911899</v>
      </c>
      <c r="K1361">
        <v>3.6603659423522399</v>
      </c>
      <c r="L1361">
        <v>3.7139038245226201</v>
      </c>
      <c r="M1361">
        <v>3.81948834328661</v>
      </c>
      <c r="N1361">
        <v>3.8194512478354299</v>
      </c>
      <c r="Q1361">
        <f t="shared" si="105"/>
        <v>2.82</v>
      </c>
      <c r="R1361">
        <f t="shared" si="107"/>
        <v>3.8713198732714886</v>
      </c>
      <c r="S1361">
        <f t="shared" si="108"/>
        <v>-1.0513198732714888</v>
      </c>
      <c r="T1361">
        <f t="shared" si="109"/>
        <v>1.1052734759355793</v>
      </c>
    </row>
    <row r="1362" spans="1:20" hidden="1" x14ac:dyDescent="0.25">
      <c r="A1362" t="str">
        <f t="shared" si="106"/>
        <v>RIP</v>
      </c>
      <c r="B1362" t="s">
        <v>1368</v>
      </c>
      <c r="C1362">
        <v>0.91129453100000002</v>
      </c>
      <c r="D1362">
        <v>9.9544023999999995E-2</v>
      </c>
      <c r="E1362">
        <v>0.67662993100000002</v>
      </c>
      <c r="F1362">
        <v>0.47319246500000001</v>
      </c>
      <c r="G1362">
        <v>0.75760944900000005</v>
      </c>
      <c r="H1362">
        <v>3.47</v>
      </c>
      <c r="I1362">
        <v>3.7435782888099198</v>
      </c>
      <c r="J1362">
        <v>3.6827908365102</v>
      </c>
      <c r="K1362">
        <v>3.9840419854267499</v>
      </c>
      <c r="L1362">
        <v>4.0511691168421899</v>
      </c>
      <c r="M1362">
        <v>3.7131845626600599</v>
      </c>
      <c r="N1362">
        <v>3.7130601688886902</v>
      </c>
      <c r="Q1362">
        <f t="shared" si="105"/>
        <v>3.47</v>
      </c>
      <c r="R1362">
        <f t="shared" si="107"/>
        <v>3.7776890326791883</v>
      </c>
      <c r="S1362">
        <f t="shared" si="108"/>
        <v>-0.30768903267918812</v>
      </c>
      <c r="T1362">
        <f t="shared" si="109"/>
        <v>9.4672540831054502E-2</v>
      </c>
    </row>
    <row r="1363" spans="1:20" hidden="1" x14ac:dyDescent="0.25">
      <c r="A1363" t="str">
        <f t="shared" si="106"/>
        <v>RIP</v>
      </c>
      <c r="B1363" t="s">
        <v>1369</v>
      </c>
      <c r="C1363">
        <v>1.0447499229999999</v>
      </c>
      <c r="D1363">
        <v>0.10134283500000001</v>
      </c>
      <c r="E1363">
        <v>0.68391932300000002</v>
      </c>
      <c r="F1363">
        <v>0.48755563200000002</v>
      </c>
      <c r="G1363">
        <v>0.76970453900000002</v>
      </c>
      <c r="H1363">
        <v>3.18</v>
      </c>
      <c r="I1363">
        <v>3.7218190184617099</v>
      </c>
      <c r="J1363">
        <v>3.7133050409427502</v>
      </c>
      <c r="K1363">
        <v>3.7838879907532998</v>
      </c>
      <c r="L1363">
        <v>3.8480898885670398</v>
      </c>
      <c r="M1363">
        <v>3.71756202970223</v>
      </c>
      <c r="N1363">
        <v>3.7175595923576599</v>
      </c>
      <c r="Q1363">
        <f t="shared" si="105"/>
        <v>3.18</v>
      </c>
      <c r="R1363">
        <f t="shared" si="107"/>
        <v>3.778162006610847</v>
      </c>
      <c r="S1363">
        <f t="shared" si="108"/>
        <v>-0.59816200661084684</v>
      </c>
      <c r="T1363">
        <f t="shared" si="109"/>
        <v>0.35779778615271479</v>
      </c>
    </row>
    <row r="1364" spans="1:20" hidden="1" x14ac:dyDescent="0.25">
      <c r="A1364" t="str">
        <f t="shared" si="106"/>
        <v>RIP</v>
      </c>
      <c r="B1364" t="s">
        <v>1370</v>
      </c>
      <c r="C1364">
        <v>1.046051345</v>
      </c>
      <c r="D1364">
        <v>0.106546134</v>
      </c>
      <c r="E1364">
        <v>0.71505429399999998</v>
      </c>
      <c r="F1364">
        <v>0.49176035400000001</v>
      </c>
      <c r="G1364">
        <v>0.80435599999999996</v>
      </c>
      <c r="H1364">
        <v>3.61</v>
      </c>
      <c r="I1364">
        <v>4.0852189350364299</v>
      </c>
      <c r="J1364">
        <v>4.1161485297210998</v>
      </c>
      <c r="K1364">
        <v>3.6775932037782599</v>
      </c>
      <c r="L1364">
        <v>3.7179038560409601</v>
      </c>
      <c r="M1364">
        <v>4.1006837323787604</v>
      </c>
      <c r="N1364">
        <v>4.10065457128968</v>
      </c>
      <c r="Q1364">
        <f t="shared" si="105"/>
        <v>3.61</v>
      </c>
      <c r="R1364">
        <f t="shared" si="107"/>
        <v>4.1417095445199266</v>
      </c>
      <c r="S1364">
        <f t="shared" si="108"/>
        <v>-0.53170954451992669</v>
      </c>
      <c r="T1364">
        <f t="shared" si="109"/>
        <v>0.28271503973358791</v>
      </c>
    </row>
    <row r="1365" spans="1:20" hidden="1" x14ac:dyDescent="0.25">
      <c r="A1365" t="str">
        <f t="shared" si="106"/>
        <v>RIP</v>
      </c>
      <c r="B1365" t="s">
        <v>1371</v>
      </c>
      <c r="C1365">
        <v>1.137791955</v>
      </c>
      <c r="D1365">
        <v>0.105721837</v>
      </c>
      <c r="E1365">
        <v>0.70311497199999995</v>
      </c>
      <c r="F1365">
        <v>0.49825109000000001</v>
      </c>
      <c r="G1365">
        <v>0.79434037999999996</v>
      </c>
      <c r="H1365">
        <v>3.77</v>
      </c>
      <c r="I1365">
        <v>3.9340970600499698</v>
      </c>
      <c r="J1365">
        <v>3.9681631984864598</v>
      </c>
      <c r="K1365">
        <v>3.6053288631548401</v>
      </c>
      <c r="L1365">
        <v>3.6601891002725599</v>
      </c>
      <c r="M1365">
        <v>3.9511301292682202</v>
      </c>
      <c r="N1365">
        <v>3.9510934148617798</v>
      </c>
      <c r="Q1365">
        <f t="shared" si="105"/>
        <v>3.77</v>
      </c>
      <c r="R1365">
        <f t="shared" si="107"/>
        <v>3.9857823324033776</v>
      </c>
      <c r="S1365">
        <f t="shared" si="108"/>
        <v>-0.21578233240337763</v>
      </c>
      <c r="T1365">
        <f t="shared" si="109"/>
        <v>4.6562014977441758E-2</v>
      </c>
    </row>
    <row r="1366" spans="1:20" hidden="1" x14ac:dyDescent="0.25">
      <c r="A1366" t="str">
        <f t="shared" si="106"/>
        <v>RIP</v>
      </c>
      <c r="B1366" t="s">
        <v>1372</v>
      </c>
      <c r="C1366">
        <v>0.98211886599999998</v>
      </c>
      <c r="D1366">
        <v>0.100452391</v>
      </c>
      <c r="E1366">
        <v>0.69044242199999994</v>
      </c>
      <c r="F1366">
        <v>0.47168182199999997</v>
      </c>
      <c r="G1366">
        <v>0.78004237499999995</v>
      </c>
      <c r="H1366">
        <v>2.63</v>
      </c>
      <c r="I1366">
        <v>3.7158436667275101</v>
      </c>
      <c r="J1366">
        <v>3.6792070658240301</v>
      </c>
      <c r="K1366">
        <v>3.7177390854094301</v>
      </c>
      <c r="L1366">
        <v>3.7617688847943</v>
      </c>
      <c r="M1366">
        <v>3.6975253662757699</v>
      </c>
      <c r="N1366">
        <v>3.6974799896850499</v>
      </c>
      <c r="Q1366">
        <f t="shared" si="105"/>
        <v>2.63</v>
      </c>
      <c r="R1366">
        <f t="shared" si="107"/>
        <v>3.753618191679891</v>
      </c>
      <c r="S1366">
        <f t="shared" si="108"/>
        <v>-1.1236181916798911</v>
      </c>
      <c r="T1366">
        <f t="shared" si="109"/>
        <v>1.2625178406739885</v>
      </c>
    </row>
    <row r="1367" spans="1:20" hidden="1" x14ac:dyDescent="0.25">
      <c r="A1367" t="str">
        <f t="shared" si="106"/>
        <v>RIP</v>
      </c>
      <c r="B1367" t="s">
        <v>1373</v>
      </c>
      <c r="C1367">
        <v>0.96476819999999996</v>
      </c>
      <c r="D1367">
        <v>0.104713784</v>
      </c>
      <c r="E1367">
        <v>0.71774861199999995</v>
      </c>
      <c r="F1367">
        <v>0.45519815200000002</v>
      </c>
      <c r="G1367">
        <v>0.80505161300000005</v>
      </c>
      <c r="H1367">
        <v>2.33</v>
      </c>
      <c r="I1367">
        <v>3.90862762206749</v>
      </c>
      <c r="J1367">
        <v>3.94137775081707</v>
      </c>
      <c r="K1367">
        <v>3.66265466078067</v>
      </c>
      <c r="L1367">
        <v>3.7028131862370501</v>
      </c>
      <c r="M1367">
        <v>3.92500268644228</v>
      </c>
      <c r="N1367">
        <v>3.9249685280070499</v>
      </c>
      <c r="Q1367">
        <f t="shared" si="105"/>
        <v>2.33</v>
      </c>
      <c r="R1367">
        <f t="shared" si="107"/>
        <v>3.9798417491064342</v>
      </c>
      <c r="S1367">
        <f t="shared" si="108"/>
        <v>-1.6498417491064341</v>
      </c>
      <c r="T1367">
        <f t="shared" si="109"/>
        <v>2.7219777970945778</v>
      </c>
    </row>
    <row r="1368" spans="1:20" hidden="1" x14ac:dyDescent="0.25">
      <c r="A1368" t="str">
        <f t="shared" si="106"/>
        <v>RIP</v>
      </c>
      <c r="B1368" t="s">
        <v>1374</v>
      </c>
      <c r="C1368">
        <v>1.0481151099999999</v>
      </c>
      <c r="D1368">
        <v>0.10655645499999999</v>
      </c>
      <c r="E1368">
        <v>0.71440529699999999</v>
      </c>
      <c r="F1368">
        <v>0.39200750299999998</v>
      </c>
      <c r="G1368">
        <v>0.80472687300000001</v>
      </c>
      <c r="H1368">
        <v>3.68</v>
      </c>
      <c r="I1368">
        <v>3.6765265314266098</v>
      </c>
      <c r="J1368">
        <v>3.7472831391064698</v>
      </c>
      <c r="K1368">
        <v>3.1072602072753601</v>
      </c>
      <c r="L1368">
        <v>3.1364301369540502</v>
      </c>
      <c r="M1368">
        <v>3.71190483526654</v>
      </c>
      <c r="N1368">
        <v>3.7117362354688601</v>
      </c>
      <c r="Q1368">
        <f t="shared" si="105"/>
        <v>3.68</v>
      </c>
      <c r="R1368">
        <f t="shared" si="107"/>
        <v>3.7110358583367624</v>
      </c>
      <c r="S1368">
        <f t="shared" si="108"/>
        <v>-3.1035858336762256E-2</v>
      </c>
      <c r="T1368">
        <f t="shared" si="109"/>
        <v>9.6322450269957526E-4</v>
      </c>
    </row>
    <row r="1369" spans="1:20" hidden="1" x14ac:dyDescent="0.25">
      <c r="A1369" t="str">
        <f t="shared" si="106"/>
        <v>RIP</v>
      </c>
      <c r="B1369" t="s">
        <v>1375</v>
      </c>
      <c r="C1369">
        <v>1.104349571</v>
      </c>
      <c r="D1369">
        <v>0.108764442</v>
      </c>
      <c r="E1369">
        <v>0.71734522700000003</v>
      </c>
      <c r="F1369">
        <v>0.481680995</v>
      </c>
      <c r="G1369">
        <v>0.80800122699999999</v>
      </c>
      <c r="H1369">
        <v>3.95</v>
      </c>
      <c r="I1369">
        <v>4.14987265677465</v>
      </c>
      <c r="J1369">
        <v>4.1944279376428302</v>
      </c>
      <c r="K1369">
        <v>3.5687049392615502</v>
      </c>
      <c r="L1369">
        <v>3.61410832797438</v>
      </c>
      <c r="M1369">
        <v>4.1721502972087396</v>
      </c>
      <c r="N1369">
        <v>4.1720908198690596</v>
      </c>
      <c r="Q1369">
        <f t="shared" si="105"/>
        <v>3.95</v>
      </c>
      <c r="R1369">
        <f t="shared" si="107"/>
        <v>4.1750741480429729</v>
      </c>
      <c r="S1369">
        <f t="shared" si="108"/>
        <v>-0.22507414804297277</v>
      </c>
      <c r="T1369">
        <f t="shared" si="109"/>
        <v>5.065837211727002E-2</v>
      </c>
    </row>
    <row r="1370" spans="1:20" hidden="1" x14ac:dyDescent="0.25">
      <c r="A1370" t="str">
        <f t="shared" si="106"/>
        <v>RIP</v>
      </c>
      <c r="B1370" t="s">
        <v>1376</v>
      </c>
      <c r="C1370">
        <v>1.165534818</v>
      </c>
      <c r="D1370">
        <v>0.10683629</v>
      </c>
      <c r="E1370">
        <v>0.71487688999999999</v>
      </c>
      <c r="F1370">
        <v>0.489869628</v>
      </c>
      <c r="G1370">
        <v>0.806319008</v>
      </c>
      <c r="H1370">
        <v>3.88</v>
      </c>
      <c r="I1370">
        <v>3.97337988826441</v>
      </c>
      <c r="J1370">
        <v>4.0104810899850101</v>
      </c>
      <c r="K1370">
        <v>3.3577341982395801</v>
      </c>
      <c r="L1370">
        <v>3.3731116423263501</v>
      </c>
      <c r="M1370">
        <v>3.99193048912471</v>
      </c>
      <c r="N1370">
        <v>3.9918873863388402</v>
      </c>
      <c r="Q1370">
        <f t="shared" si="105"/>
        <v>3.88</v>
      </c>
      <c r="R1370">
        <f t="shared" si="107"/>
        <v>4.0061978909047458</v>
      </c>
      <c r="S1370">
        <f t="shared" si="108"/>
        <v>-0.12619789090474587</v>
      </c>
      <c r="T1370">
        <f t="shared" si="109"/>
        <v>1.5925907668806139E-2</v>
      </c>
    </row>
    <row r="1371" spans="1:20" hidden="1" x14ac:dyDescent="0.25">
      <c r="A1371" t="str">
        <f t="shared" si="106"/>
        <v>RIP</v>
      </c>
      <c r="B1371" t="s">
        <v>1377</v>
      </c>
      <c r="C1371">
        <v>1.644580382</v>
      </c>
      <c r="D1371">
        <v>9.6115660000000006E-2</v>
      </c>
      <c r="E1371">
        <v>0.66106818099999998</v>
      </c>
      <c r="F1371">
        <v>0.49379122600000003</v>
      </c>
      <c r="G1371">
        <v>0.73603025799999999</v>
      </c>
      <c r="H1371">
        <v>1.83</v>
      </c>
      <c r="I1371">
        <v>2.7265447166041601</v>
      </c>
      <c r="J1371">
        <v>2.8289926167672101</v>
      </c>
      <c r="K1371">
        <v>2.6267604409784</v>
      </c>
      <c r="L1371">
        <v>2.7566056816915401</v>
      </c>
      <c r="M1371">
        <v>2.77776866668568</v>
      </c>
      <c r="N1371">
        <v>2.7772963242259201</v>
      </c>
      <c r="Q1371">
        <f t="shared" si="105"/>
        <v>1.83</v>
      </c>
      <c r="R1371">
        <f t="shared" si="107"/>
        <v>2.795128598415042</v>
      </c>
      <c r="S1371">
        <f t="shared" si="108"/>
        <v>-0.96512859841504195</v>
      </c>
      <c r="T1371">
        <f t="shared" si="109"/>
        <v>0.93147321147858331</v>
      </c>
    </row>
    <row r="1372" spans="1:20" hidden="1" x14ac:dyDescent="0.25">
      <c r="A1372" t="str">
        <f t="shared" si="106"/>
        <v>RIP</v>
      </c>
      <c r="B1372" t="s">
        <v>1378</v>
      </c>
      <c r="C1372">
        <v>1.595308824</v>
      </c>
      <c r="D1372">
        <v>9.3734057999999995E-2</v>
      </c>
      <c r="E1372">
        <v>0.64805772399999995</v>
      </c>
      <c r="F1372">
        <v>0.46021627799999998</v>
      </c>
      <c r="G1372">
        <v>0.71015367299999999</v>
      </c>
      <c r="H1372">
        <v>2.77</v>
      </c>
      <c r="I1372">
        <v>2.54780731307513</v>
      </c>
      <c r="J1372">
        <v>2.6274210018704101</v>
      </c>
      <c r="K1372">
        <v>2.6185949165147999</v>
      </c>
      <c r="L1372">
        <v>2.7808614698490599</v>
      </c>
      <c r="M1372">
        <v>2.5876141574727698</v>
      </c>
      <c r="N1372">
        <v>2.58730795289092</v>
      </c>
      <c r="Q1372">
        <f t="shared" si="105"/>
        <v>2.77</v>
      </c>
      <c r="R1372">
        <f t="shared" si="107"/>
        <v>2.5915234304953225</v>
      </c>
      <c r="S1372">
        <f t="shared" si="108"/>
        <v>0.1784765695046775</v>
      </c>
      <c r="T1372">
        <f t="shared" si="109"/>
        <v>3.1853885862157975E-2</v>
      </c>
    </row>
    <row r="1373" spans="1:20" hidden="1" x14ac:dyDescent="0.25">
      <c r="A1373" t="str">
        <f t="shared" si="106"/>
        <v>RIP</v>
      </c>
      <c r="B1373" t="s">
        <v>1379</v>
      </c>
      <c r="C1373">
        <v>1.7705401350000001</v>
      </c>
      <c r="D1373">
        <v>9.8469294999999998E-2</v>
      </c>
      <c r="E1373">
        <v>0.68284014400000004</v>
      </c>
      <c r="F1373">
        <v>0.51034840999999997</v>
      </c>
      <c r="G1373">
        <v>0.76068701100000002</v>
      </c>
      <c r="H1373">
        <v>3.38</v>
      </c>
      <c r="I1373">
        <v>2.70898246141057</v>
      </c>
      <c r="J1373">
        <v>2.9148605129999701</v>
      </c>
      <c r="K1373">
        <v>2.4017361748730202</v>
      </c>
      <c r="L1373">
        <v>2.4218011266045698</v>
      </c>
      <c r="M1373">
        <v>2.8119214872052698</v>
      </c>
      <c r="N1373">
        <v>2.8100366558419001</v>
      </c>
      <c r="Q1373">
        <f t="shared" si="105"/>
        <v>3.38</v>
      </c>
      <c r="R1373">
        <f t="shared" si="107"/>
        <v>2.8548230512942405</v>
      </c>
      <c r="S1373">
        <f t="shared" si="108"/>
        <v>0.52517694870575937</v>
      </c>
      <c r="T1373">
        <f t="shared" si="109"/>
        <v>0.27581082745189184</v>
      </c>
    </row>
    <row r="1374" spans="1:20" hidden="1" x14ac:dyDescent="0.25">
      <c r="A1374" t="str">
        <f t="shared" si="106"/>
        <v>RIP</v>
      </c>
      <c r="B1374" t="s">
        <v>1380</v>
      </c>
      <c r="C1374">
        <v>1.863201799</v>
      </c>
      <c r="D1374">
        <v>9.5401575000000002E-2</v>
      </c>
      <c r="E1374">
        <v>0.66956568000000005</v>
      </c>
      <c r="F1374">
        <v>0.52294076300000003</v>
      </c>
      <c r="G1374">
        <v>0.74433868400000003</v>
      </c>
      <c r="H1374">
        <v>2.98</v>
      </c>
      <c r="I1374">
        <v>2.54525370054446</v>
      </c>
      <c r="J1374">
        <v>2.6985928406778399</v>
      </c>
      <c r="K1374">
        <v>2.3284672030718898</v>
      </c>
      <c r="L1374">
        <v>2.3918230115725101</v>
      </c>
      <c r="M1374">
        <v>2.6219232706111502</v>
      </c>
      <c r="N1374">
        <v>2.62080205547807</v>
      </c>
      <c r="Q1374">
        <f t="shared" si="105"/>
        <v>2.98</v>
      </c>
      <c r="R1374">
        <f t="shared" si="107"/>
        <v>2.6391440155559591</v>
      </c>
      <c r="S1374">
        <f t="shared" si="108"/>
        <v>0.34085598444404086</v>
      </c>
      <c r="T1374">
        <f t="shared" si="109"/>
        <v>0.11618280213131622</v>
      </c>
    </row>
    <row r="1375" spans="1:20" hidden="1" x14ac:dyDescent="0.25">
      <c r="A1375" t="str">
        <f t="shared" si="106"/>
        <v>RIP</v>
      </c>
      <c r="B1375" t="s">
        <v>1381</v>
      </c>
      <c r="C1375">
        <v>1.64367156</v>
      </c>
      <c r="D1375">
        <v>9.6133026999999996E-2</v>
      </c>
      <c r="E1375">
        <v>0.68352989099999995</v>
      </c>
      <c r="F1375">
        <v>0.53729006700000004</v>
      </c>
      <c r="G1375">
        <v>0.757120664</v>
      </c>
      <c r="H1375">
        <v>3</v>
      </c>
      <c r="I1375">
        <v>2.92077372993147</v>
      </c>
      <c r="J1375">
        <v>3.0276945229017098</v>
      </c>
      <c r="K1375">
        <v>2.7870300217076398</v>
      </c>
      <c r="L1375">
        <v>2.8169870901177201</v>
      </c>
      <c r="M1375">
        <v>2.9742341264165901</v>
      </c>
      <c r="N1375">
        <v>2.9737536254284298</v>
      </c>
      <c r="Q1375">
        <f t="shared" si="105"/>
        <v>3</v>
      </c>
      <c r="R1375">
        <f t="shared" si="107"/>
        <v>3.0218737556213053</v>
      </c>
      <c r="S1375">
        <f t="shared" si="108"/>
        <v>-2.1873755621305335E-2</v>
      </c>
      <c r="T1375">
        <f t="shared" si="109"/>
        <v>4.7846118498058674E-4</v>
      </c>
    </row>
    <row r="1376" spans="1:20" hidden="1" x14ac:dyDescent="0.25">
      <c r="A1376" t="str">
        <f t="shared" si="106"/>
        <v>RIP</v>
      </c>
      <c r="B1376" t="s">
        <v>1382</v>
      </c>
      <c r="C1376">
        <v>1.4765600320000001</v>
      </c>
      <c r="D1376">
        <v>9.3755522999999993E-2</v>
      </c>
      <c r="E1376">
        <v>0.65402062800000005</v>
      </c>
      <c r="F1376">
        <v>0.51370625800000003</v>
      </c>
      <c r="G1376">
        <v>0.73962430199999996</v>
      </c>
      <c r="H1376">
        <v>3.43</v>
      </c>
      <c r="I1376">
        <v>3.00331216998585</v>
      </c>
      <c r="J1376">
        <v>2.9531764487593</v>
      </c>
      <c r="K1376">
        <v>2.9230466253669598</v>
      </c>
      <c r="L1376">
        <v>2.92690722973399</v>
      </c>
      <c r="M1376">
        <v>2.9782443093725801</v>
      </c>
      <c r="N1376">
        <v>2.9781388095040899</v>
      </c>
      <c r="Q1376">
        <f t="shared" si="105"/>
        <v>3.43</v>
      </c>
      <c r="R1376">
        <f t="shared" si="107"/>
        <v>2.9757412013826601</v>
      </c>
      <c r="S1376">
        <f t="shared" si="108"/>
        <v>0.45425879861734009</v>
      </c>
      <c r="T1376">
        <f t="shared" si="109"/>
        <v>0.20635105612126914</v>
      </c>
    </row>
    <row r="1377" spans="1:20" hidden="1" x14ac:dyDescent="0.25">
      <c r="A1377" t="str">
        <f t="shared" si="106"/>
        <v>RIP</v>
      </c>
      <c r="B1377" t="s">
        <v>1383</v>
      </c>
      <c r="C1377">
        <v>1.3809441600000001</v>
      </c>
      <c r="D1377">
        <v>9.4444373999999998E-2</v>
      </c>
      <c r="E1377">
        <v>0.65531351199999999</v>
      </c>
      <c r="F1377">
        <v>0.50677403899999995</v>
      </c>
      <c r="G1377">
        <v>0.74111794900000005</v>
      </c>
      <c r="H1377">
        <v>3.3</v>
      </c>
      <c r="I1377">
        <v>3.1180558213662</v>
      </c>
      <c r="J1377">
        <v>3.0553413152362201</v>
      </c>
      <c r="K1377">
        <v>3.0873868255637502</v>
      </c>
      <c r="L1377">
        <v>3.1061499128229801</v>
      </c>
      <c r="M1377">
        <v>3.0866985683012098</v>
      </c>
      <c r="N1377">
        <v>3.0865392876542099</v>
      </c>
      <c r="Q1377">
        <f t="shared" si="105"/>
        <v>3.3</v>
      </c>
      <c r="R1377">
        <f t="shared" si="107"/>
        <v>3.0918164059743667</v>
      </c>
      <c r="S1377">
        <f t="shared" si="108"/>
        <v>0.20818359402563313</v>
      </c>
      <c r="T1377">
        <f t="shared" si="109"/>
        <v>4.334040882142963E-2</v>
      </c>
    </row>
    <row r="1378" spans="1:20" hidden="1" x14ac:dyDescent="0.25">
      <c r="A1378" t="str">
        <f t="shared" si="106"/>
        <v>RIP</v>
      </c>
      <c r="B1378" t="s">
        <v>1384</v>
      </c>
      <c r="C1378">
        <v>1.356767616</v>
      </c>
      <c r="D1378">
        <v>9.8008023E-2</v>
      </c>
      <c r="E1378">
        <v>0.67220271200000004</v>
      </c>
      <c r="F1378">
        <v>0.54652933999999997</v>
      </c>
      <c r="G1378">
        <v>0.76254364799999996</v>
      </c>
      <c r="H1378">
        <v>3.87</v>
      </c>
      <c r="I1378">
        <v>3.4640521275681699</v>
      </c>
      <c r="J1378">
        <v>3.4202522208377801</v>
      </c>
      <c r="K1378">
        <v>3.42731705475861</v>
      </c>
      <c r="L1378">
        <v>3.4059629716253701</v>
      </c>
      <c r="M1378">
        <v>3.4421521742029801</v>
      </c>
      <c r="N1378">
        <v>3.4420825066248599</v>
      </c>
      <c r="Q1378">
        <f t="shared" si="105"/>
        <v>3.87</v>
      </c>
      <c r="R1378">
        <f t="shared" si="107"/>
        <v>3.4725498929954792</v>
      </c>
      <c r="S1378">
        <f t="shared" si="108"/>
        <v>0.39745010700452088</v>
      </c>
      <c r="T1378">
        <f t="shared" si="109"/>
        <v>0.1579665875579051</v>
      </c>
    </row>
    <row r="1379" spans="1:20" hidden="1" x14ac:dyDescent="0.25">
      <c r="A1379" t="str">
        <f t="shared" si="106"/>
        <v>RIP</v>
      </c>
      <c r="B1379" t="s">
        <v>1385</v>
      </c>
      <c r="C1379">
        <v>1.5405414070000001</v>
      </c>
      <c r="D1379">
        <v>0.10122603400000001</v>
      </c>
      <c r="E1379">
        <v>0.67799422099999995</v>
      </c>
      <c r="F1379">
        <v>0.52837731899999996</v>
      </c>
      <c r="G1379">
        <v>0.77318465999999997</v>
      </c>
      <c r="H1379">
        <v>3.97</v>
      </c>
      <c r="I1379">
        <v>3.3022417832588502</v>
      </c>
      <c r="J1379">
        <v>3.3504709933244898</v>
      </c>
      <c r="K1379">
        <v>2.99575862831187</v>
      </c>
      <c r="L1379">
        <v>3.0863729911134699</v>
      </c>
      <c r="M1379">
        <v>3.32635638829167</v>
      </c>
      <c r="N1379">
        <v>3.3262689770601699</v>
      </c>
      <c r="Q1379">
        <f t="shared" si="105"/>
        <v>3.97</v>
      </c>
      <c r="R1379">
        <f t="shared" si="107"/>
        <v>3.3347868117814219</v>
      </c>
      <c r="S1379">
        <f t="shared" si="108"/>
        <v>0.63521318821857831</v>
      </c>
      <c r="T1379">
        <f t="shared" si="109"/>
        <v>0.403495794486811</v>
      </c>
    </row>
    <row r="1380" spans="1:20" hidden="1" x14ac:dyDescent="0.25">
      <c r="A1380" t="str">
        <f t="shared" si="106"/>
        <v>RIP</v>
      </c>
      <c r="B1380" t="s">
        <v>1386</v>
      </c>
      <c r="C1380">
        <v>1.292331141</v>
      </c>
      <c r="D1380">
        <v>9.4841827000000004E-2</v>
      </c>
      <c r="E1380">
        <v>0.664495049</v>
      </c>
      <c r="F1380">
        <v>0.52808394999999997</v>
      </c>
      <c r="G1380">
        <v>0.7561679</v>
      </c>
      <c r="H1380">
        <v>3.62</v>
      </c>
      <c r="I1380">
        <v>3.3520970660479201</v>
      </c>
      <c r="J1380">
        <v>3.2547965645498298</v>
      </c>
      <c r="K1380">
        <v>3.4569632186935202</v>
      </c>
      <c r="L1380">
        <v>3.5032572998481699</v>
      </c>
      <c r="M1380">
        <v>3.3034468152988699</v>
      </c>
      <c r="N1380">
        <v>3.3030885568828299</v>
      </c>
      <c r="Q1380">
        <f t="shared" si="105"/>
        <v>3.62</v>
      </c>
      <c r="R1380">
        <f t="shared" si="107"/>
        <v>3.3223696724838225</v>
      </c>
      <c r="S1380">
        <f t="shared" si="108"/>
        <v>0.29763032751617757</v>
      </c>
      <c r="T1380">
        <f t="shared" si="109"/>
        <v>8.8583811857387132E-2</v>
      </c>
    </row>
    <row r="1381" spans="1:20" hidden="1" x14ac:dyDescent="0.25">
      <c r="A1381" t="str">
        <f t="shared" si="106"/>
        <v>RIP</v>
      </c>
      <c r="B1381" t="s">
        <v>1387</v>
      </c>
      <c r="C1381">
        <v>1.4275716350000001</v>
      </c>
      <c r="D1381">
        <v>0.101547228</v>
      </c>
      <c r="E1381">
        <v>0.67486147799999996</v>
      </c>
      <c r="F1381">
        <v>0.49742518600000002</v>
      </c>
      <c r="G1381">
        <v>0.76605289700000001</v>
      </c>
      <c r="H1381">
        <v>3.61</v>
      </c>
      <c r="I1381">
        <v>3.2941514286456601</v>
      </c>
      <c r="J1381">
        <v>3.3625380214263401</v>
      </c>
      <c r="K1381">
        <v>3.03935329837778</v>
      </c>
      <c r="L1381">
        <v>3.10029556430172</v>
      </c>
      <c r="M1381">
        <v>3.3283447250360001</v>
      </c>
      <c r="N1381">
        <v>3.32816908031382</v>
      </c>
      <c r="Q1381">
        <f t="shared" si="105"/>
        <v>3.61</v>
      </c>
      <c r="R1381">
        <f t="shared" si="107"/>
        <v>3.3497440417751494</v>
      </c>
      <c r="S1381">
        <f t="shared" si="108"/>
        <v>0.26025595822485048</v>
      </c>
      <c r="T1381">
        <f t="shared" si="109"/>
        <v>6.7733163791535114E-2</v>
      </c>
    </row>
    <row r="1382" spans="1:20" hidden="1" x14ac:dyDescent="0.25">
      <c r="A1382" t="str">
        <f t="shared" si="106"/>
        <v>RIP</v>
      </c>
      <c r="B1382" t="s">
        <v>1388</v>
      </c>
      <c r="C1382">
        <v>1.62251368</v>
      </c>
      <c r="D1382">
        <v>9.5356986000000005E-2</v>
      </c>
      <c r="E1382">
        <v>0.66178567200000005</v>
      </c>
      <c r="F1382">
        <v>0.49474122500000001</v>
      </c>
      <c r="G1382">
        <v>0.75048572499999999</v>
      </c>
      <c r="H1382">
        <v>3.51</v>
      </c>
      <c r="I1382">
        <v>2.7697870663888802</v>
      </c>
      <c r="J1382">
        <v>2.82089388964383</v>
      </c>
      <c r="K1382">
        <v>2.6259677086981701</v>
      </c>
      <c r="L1382">
        <v>2.7171491767982401</v>
      </c>
      <c r="M1382">
        <v>2.79534047801635</v>
      </c>
      <c r="N1382">
        <v>2.7952236782037501</v>
      </c>
      <c r="Q1382">
        <f t="shared" si="105"/>
        <v>3.51</v>
      </c>
      <c r="R1382">
        <f t="shared" si="107"/>
        <v>2.7953493882738245</v>
      </c>
      <c r="S1382">
        <f t="shared" si="108"/>
        <v>0.71465061172617528</v>
      </c>
      <c r="T1382">
        <f t="shared" si="109"/>
        <v>0.51072549684059654</v>
      </c>
    </row>
    <row r="1383" spans="1:20" hidden="1" x14ac:dyDescent="0.25">
      <c r="A1383" t="str">
        <f t="shared" si="106"/>
        <v>RIP</v>
      </c>
      <c r="B1383" t="s">
        <v>1389</v>
      </c>
      <c r="C1383">
        <v>1.435567026</v>
      </c>
      <c r="D1383">
        <v>0.10327288</v>
      </c>
      <c r="E1383">
        <v>0.677536001</v>
      </c>
      <c r="F1383">
        <v>0.52610197700000005</v>
      </c>
      <c r="G1383">
        <v>0.77016151099999997</v>
      </c>
      <c r="H1383">
        <v>3.25</v>
      </c>
      <c r="I1383">
        <v>3.5085671282047599</v>
      </c>
      <c r="J1383">
        <v>3.56688505649482</v>
      </c>
      <c r="K1383">
        <v>3.2215450683180298</v>
      </c>
      <c r="L1383">
        <v>3.2663396562879101</v>
      </c>
      <c r="M1383">
        <v>3.5377260923497902</v>
      </c>
      <c r="N1383">
        <v>3.53760592199054</v>
      </c>
      <c r="Q1383">
        <f t="shared" si="105"/>
        <v>3.25</v>
      </c>
      <c r="R1383">
        <f t="shared" si="107"/>
        <v>3.5577836187534526</v>
      </c>
      <c r="S1383">
        <f t="shared" si="108"/>
        <v>-0.30778361875345261</v>
      </c>
      <c r="T1383">
        <f t="shared" si="109"/>
        <v>9.4730755972970662E-2</v>
      </c>
    </row>
    <row r="1384" spans="1:20" hidden="1" x14ac:dyDescent="0.25">
      <c r="A1384" t="str">
        <f t="shared" si="106"/>
        <v>RIP</v>
      </c>
      <c r="B1384" t="s">
        <v>1390</v>
      </c>
      <c r="C1384">
        <v>1.4698369170000001</v>
      </c>
      <c r="D1384">
        <v>0.102663668</v>
      </c>
      <c r="E1384">
        <v>0.65912695799999999</v>
      </c>
      <c r="F1384">
        <v>0.51031767299999997</v>
      </c>
      <c r="G1384">
        <v>0.75034564800000003</v>
      </c>
      <c r="H1384">
        <v>3.54</v>
      </c>
      <c r="I1384">
        <v>3.3435475453111398</v>
      </c>
      <c r="J1384">
        <v>3.4050777154178902</v>
      </c>
      <c r="K1384">
        <v>3.0779313366835002</v>
      </c>
      <c r="L1384">
        <v>3.2107055682274002</v>
      </c>
      <c r="M1384">
        <v>3.3743126303645199</v>
      </c>
      <c r="N1384">
        <v>3.3741723780771999</v>
      </c>
      <c r="Q1384">
        <f t="shared" si="105"/>
        <v>3.54</v>
      </c>
      <c r="R1384">
        <f t="shared" si="107"/>
        <v>3.3824800233634784</v>
      </c>
      <c r="S1384">
        <f t="shared" si="108"/>
        <v>0.15751997663652162</v>
      </c>
      <c r="T1384">
        <f t="shared" si="109"/>
        <v>2.4812543039570315E-2</v>
      </c>
    </row>
    <row r="1385" spans="1:20" hidden="1" x14ac:dyDescent="0.25">
      <c r="A1385" t="str">
        <f t="shared" si="106"/>
        <v>RIP</v>
      </c>
      <c r="B1385" t="s">
        <v>1391</v>
      </c>
      <c r="C1385">
        <v>1.58034327</v>
      </c>
      <c r="D1385">
        <v>9.6192010999999994E-2</v>
      </c>
      <c r="E1385">
        <v>0.65253698699999996</v>
      </c>
      <c r="F1385">
        <v>0.509269949</v>
      </c>
      <c r="G1385">
        <v>0.74479516800000001</v>
      </c>
      <c r="H1385">
        <v>3.18</v>
      </c>
      <c r="I1385">
        <v>2.9400242048039198</v>
      </c>
      <c r="J1385">
        <v>2.93948303065915</v>
      </c>
      <c r="K1385">
        <v>2.8122167579748001</v>
      </c>
      <c r="L1385">
        <v>2.9544595907413398</v>
      </c>
      <c r="M1385">
        <v>2.93975361773153</v>
      </c>
      <c r="N1385">
        <v>2.9397536052785598</v>
      </c>
      <c r="Q1385">
        <f t="shared" si="105"/>
        <v>3.18</v>
      </c>
      <c r="R1385">
        <f t="shared" si="107"/>
        <v>2.9280765137939477</v>
      </c>
      <c r="S1385">
        <f t="shared" si="108"/>
        <v>0.25192348620605243</v>
      </c>
      <c r="T1385">
        <f t="shared" si="109"/>
        <v>6.3465442902211094E-2</v>
      </c>
    </row>
    <row r="1386" spans="1:20" hidden="1" x14ac:dyDescent="0.25">
      <c r="A1386" t="str">
        <f t="shared" si="106"/>
        <v>RIP</v>
      </c>
      <c r="B1386" t="s">
        <v>1392</v>
      </c>
      <c r="C1386">
        <v>1.688967366</v>
      </c>
      <c r="D1386">
        <v>0.100680166</v>
      </c>
      <c r="E1386">
        <v>0.67743825000000002</v>
      </c>
      <c r="F1386">
        <v>0.49358011600000001</v>
      </c>
      <c r="G1386">
        <v>0.77047319400000003</v>
      </c>
      <c r="H1386">
        <v>3.14</v>
      </c>
      <c r="I1386">
        <v>2.9081797152221398</v>
      </c>
      <c r="J1386">
        <v>3.04278850025328</v>
      </c>
      <c r="K1386">
        <v>2.42302112124124</v>
      </c>
      <c r="L1386">
        <v>2.4110659623394599</v>
      </c>
      <c r="M1386">
        <v>2.9754841077377101</v>
      </c>
      <c r="N1386">
        <v>2.9747228096324898</v>
      </c>
      <c r="Q1386">
        <f t="shared" si="105"/>
        <v>3.14</v>
      </c>
      <c r="R1386">
        <f t="shared" si="107"/>
        <v>2.9773931296905962</v>
      </c>
      <c r="S1386">
        <f t="shared" si="108"/>
        <v>0.16260687030940391</v>
      </c>
      <c r="T1386">
        <f t="shared" si="109"/>
        <v>2.6440994271819302E-2</v>
      </c>
    </row>
    <row r="1387" spans="1:20" hidden="1" x14ac:dyDescent="0.25">
      <c r="A1387" t="str">
        <f t="shared" si="106"/>
        <v>RIP</v>
      </c>
      <c r="B1387" t="s">
        <v>1393</v>
      </c>
      <c r="C1387">
        <v>1.431017585</v>
      </c>
      <c r="D1387">
        <v>0.102487773</v>
      </c>
      <c r="E1387">
        <v>0.67447485799999995</v>
      </c>
      <c r="F1387">
        <v>0.524632926</v>
      </c>
      <c r="G1387">
        <v>0.76542649399999996</v>
      </c>
      <c r="H1387">
        <v>3.51</v>
      </c>
      <c r="I1387">
        <v>3.4573570649803398</v>
      </c>
      <c r="J1387">
        <v>3.5131480481842101</v>
      </c>
      <c r="K1387">
        <v>3.1328845631201401</v>
      </c>
      <c r="L1387">
        <v>3.2075712220660999</v>
      </c>
      <c r="M1387">
        <v>3.4852525565822701</v>
      </c>
      <c r="N1387">
        <v>3.48514091891728</v>
      </c>
      <c r="Q1387">
        <f t="shared" si="105"/>
        <v>3.51</v>
      </c>
      <c r="R1387">
        <f t="shared" si="107"/>
        <v>3.5098062402676025</v>
      </c>
      <c r="S1387">
        <f t="shared" si="108"/>
        <v>1.9375973239732502E-4</v>
      </c>
      <c r="T1387">
        <f t="shared" si="109"/>
        <v>3.7542833898683002E-8</v>
      </c>
    </row>
    <row r="1388" spans="1:20" hidden="1" x14ac:dyDescent="0.25">
      <c r="A1388" t="str">
        <f t="shared" si="106"/>
        <v>RIP</v>
      </c>
      <c r="B1388" t="s">
        <v>1394</v>
      </c>
      <c r="C1388">
        <v>1.5355959610000001</v>
      </c>
      <c r="D1388">
        <v>0.101671607</v>
      </c>
      <c r="E1388">
        <v>0.66863618599999997</v>
      </c>
      <c r="F1388">
        <v>0.53060571499999998</v>
      </c>
      <c r="G1388">
        <v>0.76606628700000001</v>
      </c>
      <c r="H1388">
        <v>3.83</v>
      </c>
      <c r="I1388">
        <v>3.3493262652413698</v>
      </c>
      <c r="J1388">
        <v>3.3725876769879699</v>
      </c>
      <c r="K1388">
        <v>2.9255550237802002</v>
      </c>
      <c r="L1388">
        <v>2.8942134514070599</v>
      </c>
      <c r="M1388">
        <v>3.3609569711146698</v>
      </c>
      <c r="N1388">
        <v>3.36093684682786</v>
      </c>
      <c r="Q1388">
        <f t="shared" si="105"/>
        <v>3.83</v>
      </c>
      <c r="R1388">
        <f t="shared" si="107"/>
        <v>3.3558753709630422</v>
      </c>
      <c r="S1388">
        <f t="shared" si="108"/>
        <v>0.47412462903695785</v>
      </c>
      <c r="T1388">
        <f t="shared" si="109"/>
        <v>0.22479416385943288</v>
      </c>
    </row>
    <row r="1389" spans="1:20" hidden="1" x14ac:dyDescent="0.25">
      <c r="A1389" t="str">
        <f t="shared" si="106"/>
        <v>RIP</v>
      </c>
      <c r="B1389" t="s">
        <v>1395</v>
      </c>
      <c r="C1389">
        <v>1.597644882</v>
      </c>
      <c r="D1389">
        <v>9.8876085000000002E-2</v>
      </c>
      <c r="E1389">
        <v>0.65845050199999999</v>
      </c>
      <c r="F1389">
        <v>0.52492269000000003</v>
      </c>
      <c r="G1389">
        <v>0.75458059499999997</v>
      </c>
      <c r="H1389">
        <v>4.18</v>
      </c>
      <c r="I1389">
        <v>3.1076784245483302</v>
      </c>
      <c r="J1389">
        <v>3.1205627387884598</v>
      </c>
      <c r="K1389">
        <v>2.8024127063839899</v>
      </c>
      <c r="L1389">
        <v>2.8587331704044598</v>
      </c>
      <c r="M1389">
        <v>3.1141205816683901</v>
      </c>
      <c r="N1389">
        <v>3.1141139182409998</v>
      </c>
      <c r="Q1389">
        <f t="shared" si="105"/>
        <v>4.18</v>
      </c>
      <c r="R1389">
        <f t="shared" si="107"/>
        <v>3.1030028363945132</v>
      </c>
      <c r="S1389">
        <f t="shared" si="108"/>
        <v>1.0769971636054865</v>
      </c>
      <c r="T1389">
        <f t="shared" si="109"/>
        <v>1.1599228904142631</v>
      </c>
    </row>
    <row r="1390" spans="1:20" hidden="1" x14ac:dyDescent="0.25">
      <c r="A1390" t="str">
        <f t="shared" si="106"/>
        <v>RIP</v>
      </c>
      <c r="B1390" t="s">
        <v>1396</v>
      </c>
      <c r="C1390">
        <v>1.4123863350000001</v>
      </c>
      <c r="D1390">
        <v>9.475488E-2</v>
      </c>
      <c r="E1390">
        <v>0.65259247600000003</v>
      </c>
      <c r="F1390">
        <v>0.51968493699999996</v>
      </c>
      <c r="G1390">
        <v>0.74555818100000004</v>
      </c>
      <c r="H1390">
        <v>3.21</v>
      </c>
      <c r="I1390">
        <v>3.1640897989490901</v>
      </c>
      <c r="J1390">
        <v>3.08057354254088</v>
      </c>
      <c r="K1390">
        <v>3.1058658255707901</v>
      </c>
      <c r="L1390">
        <v>3.16347728156674</v>
      </c>
      <c r="M1390">
        <v>3.12233167074498</v>
      </c>
      <c r="N1390">
        <v>3.1220524212232599</v>
      </c>
      <c r="Q1390">
        <f t="shared" si="105"/>
        <v>3.21</v>
      </c>
      <c r="R1390">
        <f t="shared" si="107"/>
        <v>3.1169981147483234</v>
      </c>
      <c r="S1390">
        <f t="shared" si="108"/>
        <v>9.3001885251676519E-2</v>
      </c>
      <c r="T1390">
        <f t="shared" si="109"/>
        <v>8.6493506603660068E-3</v>
      </c>
    </row>
    <row r="1391" spans="1:20" hidden="1" x14ac:dyDescent="0.25">
      <c r="A1391" t="str">
        <f t="shared" si="106"/>
        <v>RIP</v>
      </c>
      <c r="B1391" t="s">
        <v>1397</v>
      </c>
      <c r="C1391">
        <v>1.3177527950000001</v>
      </c>
      <c r="D1391">
        <v>0.103426508</v>
      </c>
      <c r="E1391">
        <v>0.67368916099999998</v>
      </c>
      <c r="F1391">
        <v>0.50757704000000003</v>
      </c>
      <c r="G1391">
        <v>0.76523103100000001</v>
      </c>
      <c r="H1391">
        <v>3.26</v>
      </c>
      <c r="I1391">
        <v>3.5762595657923302</v>
      </c>
      <c r="J1391">
        <v>3.61928433589858</v>
      </c>
      <c r="K1391">
        <v>3.2593812846508499</v>
      </c>
      <c r="L1391">
        <v>3.29964457523011</v>
      </c>
      <c r="M1391">
        <v>3.59777195084546</v>
      </c>
      <c r="N1391">
        <v>3.5977076350892698</v>
      </c>
      <c r="Q1391">
        <f t="shared" si="105"/>
        <v>3.26</v>
      </c>
      <c r="R1391">
        <f t="shared" si="107"/>
        <v>3.622578924233339</v>
      </c>
      <c r="S1391">
        <f t="shared" si="108"/>
        <v>-0.36257892423333926</v>
      </c>
      <c r="T1391">
        <f t="shared" si="109"/>
        <v>0.13146347629820557</v>
      </c>
    </row>
    <row r="1392" spans="1:20" hidden="1" x14ac:dyDescent="0.25">
      <c r="A1392" t="str">
        <f t="shared" si="106"/>
        <v>RIP</v>
      </c>
      <c r="B1392" t="s">
        <v>1398</v>
      </c>
      <c r="C1392">
        <v>1.1576335639999999</v>
      </c>
      <c r="D1392">
        <v>0.10462885399999999</v>
      </c>
      <c r="E1392">
        <v>0.67961047299999999</v>
      </c>
      <c r="F1392">
        <v>0.47856047299999999</v>
      </c>
      <c r="G1392">
        <v>0.769638504</v>
      </c>
      <c r="H1392">
        <v>3.62</v>
      </c>
      <c r="I1392">
        <v>3.7076848378723999</v>
      </c>
      <c r="J1392">
        <v>3.7598950302580398</v>
      </c>
      <c r="K1392">
        <v>3.5500756860865801</v>
      </c>
      <c r="L1392">
        <v>3.6316781388843902</v>
      </c>
      <c r="M1392">
        <v>3.7337899340652201</v>
      </c>
      <c r="N1392">
        <v>3.7336986749976901</v>
      </c>
      <c r="Q1392">
        <f t="shared" si="105"/>
        <v>3.62</v>
      </c>
      <c r="R1392">
        <f t="shared" si="107"/>
        <v>3.7699476562805838</v>
      </c>
      <c r="S1392">
        <f t="shared" si="108"/>
        <v>-0.14994765628058371</v>
      </c>
      <c r="T1392">
        <f t="shared" si="109"/>
        <v>2.2484299624040076E-2</v>
      </c>
    </row>
    <row r="1393" spans="1:20" hidden="1" x14ac:dyDescent="0.25">
      <c r="A1393" t="str">
        <f t="shared" si="106"/>
        <v>RIP</v>
      </c>
      <c r="B1393" t="s">
        <v>1399</v>
      </c>
      <c r="C1393">
        <v>1.2823548389999999</v>
      </c>
      <c r="D1393">
        <v>0.10471594100000001</v>
      </c>
      <c r="E1393">
        <v>0.67366987199999995</v>
      </c>
      <c r="F1393">
        <v>0.48935271299999999</v>
      </c>
      <c r="G1393">
        <v>0.774205056</v>
      </c>
      <c r="H1393">
        <v>3.88</v>
      </c>
      <c r="I1393">
        <v>3.6873288335879102</v>
      </c>
      <c r="J1393">
        <v>3.6697867614318298</v>
      </c>
      <c r="K1393">
        <v>3.1725597123288001</v>
      </c>
      <c r="L1393">
        <v>3.1953698034005198</v>
      </c>
      <c r="M1393">
        <v>3.6785577975098702</v>
      </c>
      <c r="N1393">
        <v>3.6785473408054501</v>
      </c>
      <c r="Q1393">
        <f t="shared" si="105"/>
        <v>3.88</v>
      </c>
      <c r="R1393">
        <f t="shared" si="107"/>
        <v>3.6586718746931499</v>
      </c>
      <c r="S1393">
        <f t="shared" si="108"/>
        <v>0.22132812530684998</v>
      </c>
      <c r="T1393">
        <f t="shared" si="109"/>
        <v>4.8986139051844686E-2</v>
      </c>
    </row>
    <row r="1394" spans="1:20" hidden="1" x14ac:dyDescent="0.25">
      <c r="A1394" t="str">
        <f t="shared" si="106"/>
        <v>RIP</v>
      </c>
      <c r="B1394" t="s">
        <v>1400</v>
      </c>
      <c r="C1394">
        <v>1.202838106</v>
      </c>
      <c r="D1394">
        <v>0.10508469300000001</v>
      </c>
      <c r="E1394">
        <v>0.67375592500000003</v>
      </c>
      <c r="F1394">
        <v>0.50425068500000003</v>
      </c>
      <c r="G1394">
        <v>0.77630928899999996</v>
      </c>
      <c r="H1394">
        <v>3.25</v>
      </c>
      <c r="I1394">
        <v>3.9033607740493999</v>
      </c>
      <c r="J1394">
        <v>3.82853804726542</v>
      </c>
      <c r="K1394">
        <v>3.4652030388808401</v>
      </c>
      <c r="L1394">
        <v>3.50770988356867</v>
      </c>
      <c r="M1394">
        <v>3.8659494106574099</v>
      </c>
      <c r="N1394">
        <v>3.8657683887749301</v>
      </c>
      <c r="Q1394">
        <f t="shared" si="105"/>
        <v>3.25</v>
      </c>
      <c r="R1394">
        <f t="shared" si="107"/>
        <v>3.8402324689981664</v>
      </c>
      <c r="S1394">
        <f t="shared" si="108"/>
        <v>-0.59023246899816639</v>
      </c>
      <c r="T1394">
        <f t="shared" si="109"/>
        <v>0.34837436745967143</v>
      </c>
    </row>
    <row r="1395" spans="1:20" hidden="1" x14ac:dyDescent="0.25">
      <c r="A1395" t="str">
        <f t="shared" si="106"/>
        <v>RIP</v>
      </c>
      <c r="B1395" t="s">
        <v>1401</v>
      </c>
      <c r="C1395">
        <v>1.200363219</v>
      </c>
      <c r="D1395">
        <v>0.10501642</v>
      </c>
      <c r="E1395">
        <v>0.67665953999999995</v>
      </c>
      <c r="F1395">
        <v>0.50298208700000002</v>
      </c>
      <c r="G1395">
        <v>0.77527513000000003</v>
      </c>
      <c r="H1395">
        <v>3.53</v>
      </c>
      <c r="I1395">
        <v>3.85864800320596</v>
      </c>
      <c r="J1395">
        <v>3.8270690048676501</v>
      </c>
      <c r="K1395">
        <v>3.4115945357408499</v>
      </c>
      <c r="L1395">
        <v>3.4475146133782602</v>
      </c>
      <c r="M1395">
        <v>3.8428585040368102</v>
      </c>
      <c r="N1395">
        <v>3.84282606603057</v>
      </c>
      <c r="Q1395">
        <f t="shared" si="105"/>
        <v>3.53</v>
      </c>
      <c r="R1395">
        <f t="shared" si="107"/>
        <v>3.8393144052614092</v>
      </c>
      <c r="S1395">
        <f t="shared" si="108"/>
        <v>-0.30931440526140941</v>
      </c>
      <c r="T1395">
        <f t="shared" si="109"/>
        <v>9.5675401302219423E-2</v>
      </c>
    </row>
    <row r="1396" spans="1:20" hidden="1" x14ac:dyDescent="0.25">
      <c r="A1396" t="str">
        <f t="shared" si="106"/>
        <v>RIP</v>
      </c>
      <c r="B1396" t="s">
        <v>1402</v>
      </c>
      <c r="C1396">
        <v>1.132595496</v>
      </c>
      <c r="D1396">
        <v>0.10560416</v>
      </c>
      <c r="E1396">
        <v>0.70974449500000003</v>
      </c>
      <c r="F1396">
        <v>0.503585163</v>
      </c>
      <c r="G1396">
        <v>0.79900022999999998</v>
      </c>
      <c r="H1396">
        <v>3.59</v>
      </c>
      <c r="I1396">
        <v>3.9492762031228801</v>
      </c>
      <c r="J1396">
        <v>3.9969039596971601</v>
      </c>
      <c r="K1396">
        <v>3.6775629343611498</v>
      </c>
      <c r="L1396">
        <v>3.7450973838075199</v>
      </c>
      <c r="M1396">
        <v>3.9730900814100201</v>
      </c>
      <c r="N1396">
        <v>3.97301871304423</v>
      </c>
      <c r="Q1396">
        <f t="shared" si="105"/>
        <v>3.59</v>
      </c>
      <c r="R1396">
        <f t="shared" si="107"/>
        <v>4.0204505920321791</v>
      </c>
      <c r="S1396">
        <f t="shared" si="108"/>
        <v>-0.43045059203217928</v>
      </c>
      <c r="T1396">
        <f t="shared" si="109"/>
        <v>0.18528771218085363</v>
      </c>
    </row>
    <row r="1397" spans="1:20" hidden="1" x14ac:dyDescent="0.25">
      <c r="A1397" t="str">
        <f t="shared" si="106"/>
        <v>RIP</v>
      </c>
      <c r="B1397" t="s">
        <v>1403</v>
      </c>
      <c r="C1397">
        <v>1.3824658990000001</v>
      </c>
      <c r="D1397">
        <v>0.105475572</v>
      </c>
      <c r="E1397">
        <v>0.70811625099999997</v>
      </c>
      <c r="F1397">
        <v>0.53252366100000004</v>
      </c>
      <c r="G1397">
        <v>0.79422003200000002</v>
      </c>
      <c r="H1397">
        <v>3.82</v>
      </c>
      <c r="I1397">
        <v>3.6996691850875001</v>
      </c>
      <c r="J1397">
        <v>3.8415194757179698</v>
      </c>
      <c r="K1397">
        <v>3.2020571497385601</v>
      </c>
      <c r="L1397">
        <v>3.1847246632661799</v>
      </c>
      <c r="M1397">
        <v>3.7705943304027398</v>
      </c>
      <c r="N1397">
        <v>3.7699272178952299</v>
      </c>
      <c r="Q1397">
        <f t="shared" si="105"/>
        <v>3.82</v>
      </c>
      <c r="R1397">
        <f t="shared" si="107"/>
        <v>3.8305402772831636</v>
      </c>
      <c r="S1397">
        <f t="shared" si="108"/>
        <v>-1.0540277283163757E-2</v>
      </c>
      <c r="T1397">
        <f t="shared" si="109"/>
        <v>1.1109744520597796E-4</v>
      </c>
    </row>
    <row r="1398" spans="1:20" hidden="1" x14ac:dyDescent="0.25">
      <c r="A1398" t="str">
        <f t="shared" si="106"/>
        <v>RIP</v>
      </c>
      <c r="B1398" t="s">
        <v>1404</v>
      </c>
      <c r="C1398">
        <v>1.07122195</v>
      </c>
      <c r="D1398">
        <v>0.103089509</v>
      </c>
      <c r="E1398">
        <v>0.708469024</v>
      </c>
      <c r="F1398">
        <v>0.44456659900000001</v>
      </c>
      <c r="G1398">
        <v>0.79862491700000005</v>
      </c>
      <c r="H1398">
        <v>3.76</v>
      </c>
      <c r="I1398">
        <v>3.6441651548154099</v>
      </c>
      <c r="J1398">
        <v>3.6755305413930102</v>
      </c>
      <c r="K1398">
        <v>3.4056939218308599</v>
      </c>
      <c r="L1398">
        <v>3.4472215076198598</v>
      </c>
      <c r="M1398">
        <v>3.65984784810421</v>
      </c>
      <c r="N1398">
        <v>3.6598142472541202</v>
      </c>
      <c r="Q1398">
        <f t="shared" si="105"/>
        <v>3.76</v>
      </c>
      <c r="R1398">
        <f t="shared" si="107"/>
        <v>3.6975088545397283</v>
      </c>
      <c r="S1398">
        <f t="shared" si="108"/>
        <v>6.2491145460271458E-2</v>
      </c>
      <c r="T1398">
        <f t="shared" si="109"/>
        <v>3.9051432609368058E-3</v>
      </c>
    </row>
    <row r="1399" spans="1:20" hidden="1" x14ac:dyDescent="0.25">
      <c r="A1399" t="str">
        <f t="shared" si="106"/>
        <v>RIP</v>
      </c>
      <c r="B1399" t="s">
        <v>1405</v>
      </c>
      <c r="C1399">
        <v>1.2838237050000001</v>
      </c>
      <c r="D1399">
        <v>0.101004098</v>
      </c>
      <c r="E1399">
        <v>0.70151413100000004</v>
      </c>
      <c r="F1399">
        <v>0.53591972799999998</v>
      </c>
      <c r="G1399">
        <v>0.78706008299999997</v>
      </c>
      <c r="H1399">
        <v>3.3</v>
      </c>
      <c r="I1399">
        <v>3.6115971496216601</v>
      </c>
      <c r="J1399">
        <v>3.6633706291820798</v>
      </c>
      <c r="K1399">
        <v>3.4396662028120701</v>
      </c>
      <c r="L1399">
        <v>3.4128984795533199</v>
      </c>
      <c r="M1399">
        <v>3.63748388940187</v>
      </c>
      <c r="N1399">
        <v>3.6373917746596498</v>
      </c>
      <c r="Q1399">
        <f t="shared" si="105"/>
        <v>3.3</v>
      </c>
      <c r="R1399">
        <f t="shared" si="107"/>
        <v>3.7099581986976835</v>
      </c>
      <c r="S1399">
        <f t="shared" si="108"/>
        <v>-0.40995819869768368</v>
      </c>
      <c r="T1399">
        <f t="shared" si="109"/>
        <v>0.1680657246794495</v>
      </c>
    </row>
    <row r="1400" spans="1:20" hidden="1" x14ac:dyDescent="0.25">
      <c r="A1400" t="str">
        <f t="shared" si="106"/>
        <v>RIP</v>
      </c>
      <c r="B1400" t="s">
        <v>1406</v>
      </c>
      <c r="C1400">
        <v>1.2191896799999999</v>
      </c>
      <c r="D1400">
        <v>9.9983834999999993E-2</v>
      </c>
      <c r="E1400">
        <v>0.70688193799999999</v>
      </c>
      <c r="F1400">
        <v>0.55476609399999999</v>
      </c>
      <c r="G1400">
        <v>0.79744159299999995</v>
      </c>
      <c r="H1400">
        <v>3.47</v>
      </c>
      <c r="I1400">
        <v>3.76439627179262</v>
      </c>
      <c r="J1400">
        <v>3.7500825513608902</v>
      </c>
      <c r="K1400">
        <v>3.5622780148936699</v>
      </c>
      <c r="L1400">
        <v>3.5371942685861399</v>
      </c>
      <c r="M1400">
        <v>3.7572394115767498</v>
      </c>
      <c r="N1400">
        <v>3.7572325953096701</v>
      </c>
      <c r="Q1400">
        <f t="shared" si="105"/>
        <v>3.47</v>
      </c>
      <c r="R1400">
        <f t="shared" si="107"/>
        <v>3.8284602897523192</v>
      </c>
      <c r="S1400">
        <f t="shared" si="108"/>
        <v>-0.35846028975231903</v>
      </c>
      <c r="T1400">
        <f t="shared" si="109"/>
        <v>0.12849377932931652</v>
      </c>
    </row>
    <row r="1401" spans="1:20" hidden="1" x14ac:dyDescent="0.25">
      <c r="A1401" t="str">
        <f t="shared" si="106"/>
        <v>RIP</v>
      </c>
      <c r="B1401" t="s">
        <v>1407</v>
      </c>
      <c r="C1401">
        <v>1.057915715</v>
      </c>
      <c r="D1401">
        <v>0.107695912</v>
      </c>
      <c r="E1401">
        <v>0.71687959800000001</v>
      </c>
      <c r="F1401">
        <v>0.475847515</v>
      </c>
      <c r="G1401">
        <v>0.81155640799999995</v>
      </c>
      <c r="H1401">
        <v>4.32</v>
      </c>
      <c r="I1401">
        <v>4.1848756133318297</v>
      </c>
      <c r="J1401">
        <v>4.1345985311806004</v>
      </c>
      <c r="K1401">
        <v>3.4661288267125498</v>
      </c>
      <c r="L1401">
        <v>3.4995433339509598</v>
      </c>
      <c r="M1401">
        <v>4.1597370722562097</v>
      </c>
      <c r="N1401">
        <v>4.1596611116838904</v>
      </c>
      <c r="Q1401">
        <f t="shared" si="105"/>
        <v>4.32</v>
      </c>
      <c r="R1401">
        <f t="shared" si="107"/>
        <v>4.1350262496044845</v>
      </c>
      <c r="S1401">
        <f t="shared" si="108"/>
        <v>0.18497375039551578</v>
      </c>
      <c r="T1401">
        <f t="shared" si="109"/>
        <v>3.4215288335382572E-2</v>
      </c>
    </row>
    <row r="1402" spans="1:20" hidden="1" x14ac:dyDescent="0.25">
      <c r="A1402" t="str">
        <f t="shared" si="106"/>
        <v>RIP</v>
      </c>
      <c r="B1402" t="s">
        <v>1408</v>
      </c>
      <c r="C1402">
        <v>0.99414892799999999</v>
      </c>
      <c r="D1402">
        <v>0.104530312</v>
      </c>
      <c r="E1402">
        <v>0.71788065599999995</v>
      </c>
      <c r="F1402">
        <v>0.46848546800000002</v>
      </c>
      <c r="G1402">
        <v>0.80810277200000002</v>
      </c>
      <c r="H1402">
        <v>3.92</v>
      </c>
      <c r="I1402">
        <v>3.9532393585313601</v>
      </c>
      <c r="J1402">
        <v>3.9489263159489898</v>
      </c>
      <c r="K1402">
        <v>3.5908552940179899</v>
      </c>
      <c r="L1402">
        <v>3.6318943840889899</v>
      </c>
      <c r="M1402">
        <v>3.9510828372401701</v>
      </c>
      <c r="N1402">
        <v>3.95108224871993</v>
      </c>
      <c r="Q1402">
        <f t="shared" si="105"/>
        <v>3.92</v>
      </c>
      <c r="R1402">
        <f t="shared" si="107"/>
        <v>3.9908838449660813</v>
      </c>
      <c r="S1402">
        <f t="shared" si="108"/>
        <v>-7.0883844966081355E-2</v>
      </c>
      <c r="T1402">
        <f t="shared" si="109"/>
        <v>5.024519477175457E-3</v>
      </c>
    </row>
    <row r="1403" spans="1:20" hidden="1" x14ac:dyDescent="0.25">
      <c r="A1403" t="str">
        <f t="shared" si="106"/>
        <v>RIP</v>
      </c>
      <c r="B1403" t="s">
        <v>1409</v>
      </c>
      <c r="C1403">
        <v>1.1128903530000001</v>
      </c>
      <c r="D1403">
        <v>0.10483606099999999</v>
      </c>
      <c r="E1403">
        <v>0.73084395099999999</v>
      </c>
      <c r="F1403">
        <v>0.491248299</v>
      </c>
      <c r="G1403">
        <v>0.81717849899999995</v>
      </c>
      <c r="H1403">
        <v>4.3600000000000003</v>
      </c>
      <c r="I1403">
        <v>3.9017318295477299</v>
      </c>
      <c r="J1403">
        <v>3.9574502385263899</v>
      </c>
      <c r="K1403">
        <v>3.4477225088988601</v>
      </c>
      <c r="L1403">
        <v>3.4698179426706699</v>
      </c>
      <c r="M1403">
        <v>3.9295910340370601</v>
      </c>
      <c r="N1403">
        <v>3.9294922775734902</v>
      </c>
      <c r="Q1403">
        <f t="shared" si="105"/>
        <v>4.3600000000000003</v>
      </c>
      <c r="R1403">
        <f t="shared" si="107"/>
        <v>3.9860554097839751</v>
      </c>
      <c r="S1403">
        <f t="shared" si="108"/>
        <v>0.37394459021602522</v>
      </c>
      <c r="T1403">
        <f t="shared" si="109"/>
        <v>0.13983455655183102</v>
      </c>
    </row>
    <row r="1404" spans="1:20" hidden="1" x14ac:dyDescent="0.25">
      <c r="A1404" t="str">
        <f t="shared" si="106"/>
        <v>RIP</v>
      </c>
      <c r="B1404" t="s">
        <v>1410</v>
      </c>
      <c r="C1404">
        <v>0.99801528299999998</v>
      </c>
      <c r="D1404">
        <v>0.10433891100000001</v>
      </c>
      <c r="E1404">
        <v>0.72386855000000006</v>
      </c>
      <c r="F1404">
        <v>0.47913846900000001</v>
      </c>
      <c r="G1404">
        <v>0.80829437400000004</v>
      </c>
      <c r="H1404">
        <v>3.83</v>
      </c>
      <c r="I1404">
        <v>3.9270844294573299</v>
      </c>
      <c r="J1404">
        <v>3.9824308180781101</v>
      </c>
      <c r="K1404">
        <v>3.7137973336584902</v>
      </c>
      <c r="L1404">
        <v>3.7626570225988201</v>
      </c>
      <c r="M1404">
        <v>3.95475762376772</v>
      </c>
      <c r="N1404">
        <v>3.9546608017711899</v>
      </c>
      <c r="Q1404">
        <f t="shared" si="105"/>
        <v>3.83</v>
      </c>
      <c r="R1404">
        <f t="shared" si="107"/>
        <v>4.0321063832416666</v>
      </c>
      <c r="S1404">
        <f t="shared" si="108"/>
        <v>-0.20210638324166652</v>
      </c>
      <c r="T1404">
        <f t="shared" si="109"/>
        <v>4.0846990147027383E-2</v>
      </c>
    </row>
    <row r="1405" spans="1:20" hidden="1" x14ac:dyDescent="0.25">
      <c r="A1405" t="str">
        <f t="shared" si="106"/>
        <v>RIP</v>
      </c>
      <c r="B1405" t="s">
        <v>1411</v>
      </c>
      <c r="C1405">
        <v>0.90686232</v>
      </c>
      <c r="D1405">
        <v>0.103110698</v>
      </c>
      <c r="E1405">
        <v>0.71115093699999998</v>
      </c>
      <c r="F1405">
        <v>0.49227865799999998</v>
      </c>
      <c r="G1405">
        <v>0.794430835</v>
      </c>
      <c r="H1405">
        <v>2.92</v>
      </c>
      <c r="I1405">
        <v>4.0072315637466698</v>
      </c>
      <c r="J1405">
        <v>4.0211911961231701</v>
      </c>
      <c r="K1405">
        <v>4.0377344559921804</v>
      </c>
      <c r="L1405">
        <v>4.1055351318817301</v>
      </c>
      <c r="M1405">
        <v>4.0142113799349204</v>
      </c>
      <c r="N1405">
        <v>4.0142053117603496</v>
      </c>
      <c r="Q1405">
        <f t="shared" si="105"/>
        <v>2.92</v>
      </c>
      <c r="R1405">
        <f t="shared" si="107"/>
        <v>4.1075875521390133</v>
      </c>
      <c r="S1405">
        <f t="shared" si="108"/>
        <v>-1.1875875521390133</v>
      </c>
      <c r="T1405">
        <f t="shared" si="109"/>
        <v>1.4103641939955338</v>
      </c>
    </row>
    <row r="1406" spans="1:20" hidden="1" x14ac:dyDescent="0.25">
      <c r="A1406" t="str">
        <f t="shared" si="106"/>
        <v>RIP</v>
      </c>
      <c r="B1406" t="s">
        <v>1412</v>
      </c>
      <c r="C1406">
        <v>0.98876694099999995</v>
      </c>
      <c r="D1406">
        <v>0.10855187500000001</v>
      </c>
      <c r="E1406">
        <v>0.72244221399999997</v>
      </c>
      <c r="F1406">
        <v>0.48513072600000001</v>
      </c>
      <c r="G1406">
        <v>0.81266970400000005</v>
      </c>
      <c r="H1406">
        <v>3.93</v>
      </c>
      <c r="I1406">
        <v>4.3156469339833299</v>
      </c>
      <c r="J1406">
        <v>4.3151394744978298</v>
      </c>
      <c r="K1406">
        <v>3.63505090895928</v>
      </c>
      <c r="L1406">
        <v>3.6828107044368901</v>
      </c>
      <c r="M1406">
        <v>4.3153932042405803</v>
      </c>
      <c r="N1406">
        <v>4.3153931967813799</v>
      </c>
      <c r="Q1406">
        <f t="shared" si="105"/>
        <v>3.93</v>
      </c>
      <c r="R1406">
        <f t="shared" si="107"/>
        <v>4.325726594372286</v>
      </c>
      <c r="S1406">
        <f t="shared" si="108"/>
        <v>-0.39572659437228586</v>
      </c>
      <c r="T1406">
        <f t="shared" si="109"/>
        <v>0.15659953749348765</v>
      </c>
    </row>
    <row r="1407" spans="1:20" hidden="1" x14ac:dyDescent="0.25">
      <c r="A1407" t="str">
        <f t="shared" si="106"/>
        <v>RIP</v>
      </c>
      <c r="B1407" t="s">
        <v>1413</v>
      </c>
      <c r="C1407">
        <v>0.98424717399999995</v>
      </c>
      <c r="D1407">
        <v>0.106651418</v>
      </c>
      <c r="E1407">
        <v>0.72418207300000004</v>
      </c>
      <c r="F1407">
        <v>0.46267936300000001</v>
      </c>
      <c r="G1407">
        <v>0.80650439600000001</v>
      </c>
      <c r="H1407">
        <v>3.64</v>
      </c>
      <c r="I1407">
        <v>3.9826934105986802</v>
      </c>
      <c r="J1407">
        <v>4.0955509495408098</v>
      </c>
      <c r="K1407">
        <v>3.5014372958597</v>
      </c>
      <c r="L1407">
        <v>3.5387322053937398</v>
      </c>
      <c r="M1407">
        <v>4.0391221800697403</v>
      </c>
      <c r="N1407">
        <v>4.0387279902844799</v>
      </c>
      <c r="Q1407">
        <f t="shared" si="105"/>
        <v>3.64</v>
      </c>
      <c r="R1407">
        <f t="shared" si="107"/>
        <v>4.1159073637930526</v>
      </c>
      <c r="S1407">
        <f t="shared" si="108"/>
        <v>-0.47590736379305243</v>
      </c>
      <c r="T1407">
        <f t="shared" si="109"/>
        <v>0.22648781891245276</v>
      </c>
    </row>
    <row r="1408" spans="1:20" hidden="1" x14ac:dyDescent="0.25">
      <c r="A1408" t="str">
        <f t="shared" si="106"/>
        <v>RIP</v>
      </c>
      <c r="B1408" t="s">
        <v>1414</v>
      </c>
      <c r="C1408">
        <v>0.94154372799999997</v>
      </c>
      <c r="D1408">
        <v>0.106477771</v>
      </c>
      <c r="E1408">
        <v>0.72290777500000003</v>
      </c>
      <c r="F1408">
        <v>0.43256621099999998</v>
      </c>
      <c r="G1408">
        <v>0.80568302999999997</v>
      </c>
      <c r="H1408">
        <v>3.55</v>
      </c>
      <c r="I1408">
        <v>3.9029185448867101</v>
      </c>
      <c r="J1408">
        <v>4.0127516320894898</v>
      </c>
      <c r="K1408">
        <v>3.5652746358401202</v>
      </c>
      <c r="L1408">
        <v>3.6053582872201799</v>
      </c>
      <c r="M1408">
        <v>3.9578350884881002</v>
      </c>
      <c r="N1408">
        <v>3.9574540756535002</v>
      </c>
      <c r="Q1408">
        <f t="shared" si="105"/>
        <v>3.55</v>
      </c>
      <c r="R1408">
        <f t="shared" si="107"/>
        <v>4.0255277304379797</v>
      </c>
      <c r="S1408">
        <f t="shared" si="108"/>
        <v>-0.47552773043797991</v>
      </c>
      <c r="T1408">
        <f t="shared" si="109"/>
        <v>0.22612662241549608</v>
      </c>
    </row>
    <row r="1409" spans="1:20" hidden="1" x14ac:dyDescent="0.25">
      <c r="A1409" t="str">
        <f t="shared" si="106"/>
        <v>RIP</v>
      </c>
      <c r="B1409" t="s">
        <v>1415</v>
      </c>
      <c r="C1409">
        <v>0.99840732200000004</v>
      </c>
      <c r="D1409">
        <v>0.10499064399999999</v>
      </c>
      <c r="E1409">
        <v>0.69208168800000003</v>
      </c>
      <c r="F1409">
        <v>0.420168443</v>
      </c>
      <c r="G1409">
        <v>0.77408920000000003</v>
      </c>
      <c r="H1409">
        <v>2.95</v>
      </c>
      <c r="I1409">
        <v>3.6202265616929599</v>
      </c>
      <c r="J1409">
        <v>3.7510871157959498</v>
      </c>
      <c r="K1409">
        <v>3.44990106169347</v>
      </c>
      <c r="L1409">
        <v>3.4668981828945702</v>
      </c>
      <c r="M1409">
        <v>3.6856568387444599</v>
      </c>
      <c r="N1409">
        <v>3.6850760116758399</v>
      </c>
      <c r="Q1409">
        <f t="shared" ref="Q1409:Q1472" si="110">H1409</f>
        <v>2.95</v>
      </c>
      <c r="R1409">
        <f t="shared" si="107"/>
        <v>3.7568439323046774</v>
      </c>
      <c r="S1409">
        <f t="shared" si="108"/>
        <v>-0.80684393230467721</v>
      </c>
      <c r="T1409">
        <f t="shared" si="109"/>
        <v>0.65099713109687452</v>
      </c>
    </row>
    <row r="1410" spans="1:20" hidden="1" x14ac:dyDescent="0.25">
      <c r="A1410" t="str">
        <f t="shared" si="106"/>
        <v>RIP</v>
      </c>
      <c r="B1410" t="s">
        <v>1416</v>
      </c>
      <c r="C1410">
        <v>0.83671230900000004</v>
      </c>
      <c r="D1410">
        <v>0.103358121</v>
      </c>
      <c r="E1410">
        <v>0.702218236</v>
      </c>
      <c r="F1410">
        <v>0.45761023000000001</v>
      </c>
      <c r="G1410">
        <v>0.78289091600000005</v>
      </c>
      <c r="H1410">
        <v>3.53</v>
      </c>
      <c r="I1410">
        <v>3.9339731348100901</v>
      </c>
      <c r="J1410">
        <v>3.9634337126455801</v>
      </c>
      <c r="K1410">
        <v>3.91580728131532</v>
      </c>
      <c r="L1410">
        <v>3.9596460643974498</v>
      </c>
      <c r="M1410">
        <v>3.94870342372784</v>
      </c>
      <c r="N1410">
        <v>3.9486759486121898</v>
      </c>
      <c r="Q1410">
        <f t="shared" si="110"/>
        <v>3.53</v>
      </c>
      <c r="R1410">
        <f t="shared" si="107"/>
        <v>4.0411231522268407</v>
      </c>
      <c r="S1410">
        <f t="shared" si="108"/>
        <v>-0.5111231522268409</v>
      </c>
      <c r="T1410">
        <f t="shared" si="109"/>
        <v>0.2612468767423024</v>
      </c>
    </row>
    <row r="1411" spans="1:20" hidden="1" x14ac:dyDescent="0.25">
      <c r="A1411" t="str">
        <f t="shared" ref="A1411:A1474" si="111">LEFT(B1411,3)</f>
        <v>RIP</v>
      </c>
      <c r="B1411" t="s">
        <v>1417</v>
      </c>
      <c r="C1411">
        <v>0.83440146599999998</v>
      </c>
      <c r="D1411">
        <v>0.109342809</v>
      </c>
      <c r="E1411">
        <v>0.73029466499999995</v>
      </c>
      <c r="F1411">
        <v>0.42182099699999998</v>
      </c>
      <c r="G1411">
        <v>0.81976958600000005</v>
      </c>
      <c r="H1411">
        <v>3.42</v>
      </c>
      <c r="I1411">
        <v>4.34799664571098</v>
      </c>
      <c r="J1411">
        <v>4.3164119891014696</v>
      </c>
      <c r="K1411">
        <v>3.6216062412688301</v>
      </c>
      <c r="L1411">
        <v>3.70800837091222</v>
      </c>
      <c r="M1411">
        <v>4.3322043174062301</v>
      </c>
      <c r="N1411">
        <v>4.33217553316112</v>
      </c>
      <c r="Q1411">
        <f t="shared" si="110"/>
        <v>3.42</v>
      </c>
      <c r="R1411">
        <f t="shared" ref="R1411:R1474" si="112">$X$2*F1411+$X$3*D1411*E1411+($X$4/(D1411-$X$5))-$X$6*C1411</f>
        <v>4.3109100985176676</v>
      </c>
      <c r="S1411">
        <f t="shared" ref="S1411:S1474" si="113">Q1411-R1411</f>
        <v>-0.89091009851766767</v>
      </c>
      <c r="T1411">
        <f t="shared" ref="T1411:T1474" si="114">S1411^2</f>
        <v>0.79372080364076036</v>
      </c>
    </row>
    <row r="1412" spans="1:20" hidden="1" x14ac:dyDescent="0.25">
      <c r="A1412" t="str">
        <f t="shared" si="111"/>
        <v>RIP</v>
      </c>
      <c r="B1412" t="s">
        <v>1418</v>
      </c>
      <c r="C1412">
        <v>0.89633383799999999</v>
      </c>
      <c r="D1412">
        <v>0.106240665</v>
      </c>
      <c r="E1412">
        <v>0.72091145599999995</v>
      </c>
      <c r="F1412">
        <v>0.47070300900000001</v>
      </c>
      <c r="G1412">
        <v>0.79911133599999995</v>
      </c>
      <c r="H1412">
        <v>3.83</v>
      </c>
      <c r="I1412">
        <v>4.0585456206914703</v>
      </c>
      <c r="J1412">
        <v>4.1773786914656297</v>
      </c>
      <c r="K1412">
        <v>3.7804216141032798</v>
      </c>
      <c r="L1412">
        <v>3.83009763133265</v>
      </c>
      <c r="M1412">
        <v>4.1179621560785504</v>
      </c>
      <c r="N1412">
        <v>4.1175334842861604</v>
      </c>
      <c r="Q1412">
        <f t="shared" si="110"/>
        <v>3.83</v>
      </c>
      <c r="R1412">
        <f t="shared" si="112"/>
        <v>4.2255759095844461</v>
      </c>
      <c r="S1412">
        <f t="shared" si="113"/>
        <v>-0.39557590958444599</v>
      </c>
      <c r="T1412">
        <f t="shared" si="114"/>
        <v>0.1564803002435618</v>
      </c>
    </row>
    <row r="1413" spans="1:20" hidden="1" x14ac:dyDescent="0.25">
      <c r="A1413" t="str">
        <f t="shared" si="111"/>
        <v>RIP</v>
      </c>
      <c r="B1413" t="s">
        <v>1419</v>
      </c>
      <c r="C1413">
        <v>0.91955904700000002</v>
      </c>
      <c r="D1413">
        <v>0.104776044</v>
      </c>
      <c r="E1413">
        <v>0.71109122000000002</v>
      </c>
      <c r="F1413">
        <v>0.448077858</v>
      </c>
      <c r="G1413">
        <v>0.79302223400000005</v>
      </c>
      <c r="H1413">
        <v>3.75</v>
      </c>
      <c r="I1413">
        <v>3.8698283316411199</v>
      </c>
      <c r="J1413">
        <v>3.95254157567688</v>
      </c>
      <c r="K1413">
        <v>3.6944409987767499</v>
      </c>
      <c r="L1413">
        <v>3.7292410257349902</v>
      </c>
      <c r="M1413">
        <v>3.9111849536590002</v>
      </c>
      <c r="N1413">
        <v>3.9109662963958001</v>
      </c>
      <c r="Q1413">
        <f t="shared" si="110"/>
        <v>3.75</v>
      </c>
      <c r="R1413">
        <f t="shared" si="112"/>
        <v>3.9953525524270548</v>
      </c>
      <c r="S1413">
        <f t="shared" si="113"/>
        <v>-0.24535255242705478</v>
      </c>
      <c r="T1413">
        <f t="shared" si="114"/>
        <v>6.0197874982470666E-2</v>
      </c>
    </row>
    <row r="1414" spans="1:20" hidden="1" x14ac:dyDescent="0.25">
      <c r="A1414" t="str">
        <f t="shared" si="111"/>
        <v>RIP</v>
      </c>
      <c r="B1414" t="s">
        <v>1420</v>
      </c>
      <c r="C1414">
        <v>0.94772117499999997</v>
      </c>
      <c r="D1414">
        <v>0.102950259</v>
      </c>
      <c r="E1414">
        <v>0.69626329300000001</v>
      </c>
      <c r="F1414">
        <v>0.45125764000000002</v>
      </c>
      <c r="G1414">
        <v>0.778705498</v>
      </c>
      <c r="H1414">
        <v>3.88</v>
      </c>
      <c r="I1414">
        <v>3.7439596245375202</v>
      </c>
      <c r="J1414">
        <v>3.7933935300623798</v>
      </c>
      <c r="K1414">
        <v>3.6485078027517202</v>
      </c>
      <c r="L1414">
        <v>3.6800511024633802</v>
      </c>
      <c r="M1414">
        <v>3.7686765772999502</v>
      </c>
      <c r="N1414">
        <v>3.7685955230742598</v>
      </c>
      <c r="Q1414">
        <f t="shared" si="110"/>
        <v>3.88</v>
      </c>
      <c r="R1414">
        <f t="shared" si="112"/>
        <v>3.8462228364390727</v>
      </c>
      <c r="S1414">
        <f t="shared" si="113"/>
        <v>3.3777163560927193E-2</v>
      </c>
      <c r="T1414">
        <f t="shared" si="114"/>
        <v>1.1408967782216277E-3</v>
      </c>
    </row>
    <row r="1415" spans="1:20" hidden="1" x14ac:dyDescent="0.25">
      <c r="A1415" t="str">
        <f t="shared" si="111"/>
        <v>RIP</v>
      </c>
      <c r="B1415" t="s">
        <v>1421</v>
      </c>
      <c r="C1415">
        <v>0.92258360299999997</v>
      </c>
      <c r="D1415">
        <v>0.104583709</v>
      </c>
      <c r="E1415">
        <v>0.71390825300000005</v>
      </c>
      <c r="F1415">
        <v>0.48314996399999999</v>
      </c>
      <c r="G1415">
        <v>0.79067153300000004</v>
      </c>
      <c r="H1415">
        <v>3.66</v>
      </c>
      <c r="I1415">
        <v>3.9754925973572299</v>
      </c>
      <c r="J1415">
        <v>4.0706993209980098</v>
      </c>
      <c r="K1415">
        <v>3.8935198893555598</v>
      </c>
      <c r="L1415">
        <v>3.9459300444013699</v>
      </c>
      <c r="M1415">
        <v>4.0230959591776196</v>
      </c>
      <c r="N1415">
        <v>4.02281431546308</v>
      </c>
      <c r="Q1415">
        <f t="shared" si="110"/>
        <v>3.66</v>
      </c>
      <c r="R1415">
        <f t="shared" si="112"/>
        <v>4.1362556666873438</v>
      </c>
      <c r="S1415">
        <f t="shared" si="113"/>
        <v>-0.47625566668734365</v>
      </c>
      <c r="T1415">
        <f t="shared" si="114"/>
        <v>0.22681946005180617</v>
      </c>
    </row>
    <row r="1416" spans="1:20" hidden="1" x14ac:dyDescent="0.25">
      <c r="A1416" t="str">
        <f t="shared" si="111"/>
        <v>RIP</v>
      </c>
      <c r="B1416" t="s">
        <v>1422</v>
      </c>
      <c r="C1416">
        <v>1.3692524859999999</v>
      </c>
      <c r="D1416">
        <v>0.109733157</v>
      </c>
      <c r="E1416">
        <v>0.69775535300000002</v>
      </c>
      <c r="F1416">
        <v>0.52368480100000003</v>
      </c>
      <c r="G1416">
        <v>0.78989522999999995</v>
      </c>
      <c r="H1416">
        <v>3.37</v>
      </c>
      <c r="I1416">
        <v>3.9966043060482099</v>
      </c>
      <c r="J1416">
        <v>4.1270774895544804</v>
      </c>
      <c r="K1416">
        <v>3.1210579631832598</v>
      </c>
      <c r="L1416">
        <v>3.0985075196279599</v>
      </c>
      <c r="M1416">
        <v>4.0618408978013498</v>
      </c>
      <c r="N1416">
        <v>4.0613169866618497</v>
      </c>
      <c r="Q1416">
        <f t="shared" si="110"/>
        <v>3.37</v>
      </c>
      <c r="R1416">
        <f t="shared" si="112"/>
        <v>4.062078383953116</v>
      </c>
      <c r="S1416">
        <f t="shared" si="113"/>
        <v>-0.69207838395311594</v>
      </c>
      <c r="T1416">
        <f t="shared" si="114"/>
        <v>0.47897248953515659</v>
      </c>
    </row>
    <row r="1417" spans="1:20" hidden="1" x14ac:dyDescent="0.25">
      <c r="A1417" t="str">
        <f t="shared" si="111"/>
        <v>RIP</v>
      </c>
      <c r="B1417" t="s">
        <v>1423</v>
      </c>
      <c r="C1417">
        <v>1.2753832409999999</v>
      </c>
      <c r="D1417">
        <v>0.10936919000000001</v>
      </c>
      <c r="E1417">
        <v>0.69467946599999997</v>
      </c>
      <c r="F1417">
        <v>0.49781021800000003</v>
      </c>
      <c r="G1417">
        <v>0.78691745999999996</v>
      </c>
      <c r="H1417">
        <v>3.46</v>
      </c>
      <c r="I1417">
        <v>3.97214049181003</v>
      </c>
      <c r="J1417">
        <v>4.0895556319836599</v>
      </c>
      <c r="K1417">
        <v>3.3181208178499402</v>
      </c>
      <c r="L1417">
        <v>3.3584871119847501</v>
      </c>
      <c r="M1417">
        <v>4.0308480618968501</v>
      </c>
      <c r="N1417">
        <v>4.0304205139553497</v>
      </c>
      <c r="Q1417">
        <f t="shared" si="110"/>
        <v>3.46</v>
      </c>
      <c r="R1417">
        <f t="shared" si="112"/>
        <v>4.0338200734706442</v>
      </c>
      <c r="S1417">
        <f t="shared" si="113"/>
        <v>-0.57382007347064423</v>
      </c>
      <c r="T1417">
        <f t="shared" si="114"/>
        <v>0.32926947671785556</v>
      </c>
    </row>
    <row r="1418" spans="1:20" hidden="1" x14ac:dyDescent="0.25">
      <c r="A1418" t="str">
        <f t="shared" si="111"/>
        <v>RIP</v>
      </c>
      <c r="B1418" t="s">
        <v>1424</v>
      </c>
      <c r="C1418">
        <v>1.2505191950000001</v>
      </c>
      <c r="D1418">
        <v>0.110447986</v>
      </c>
      <c r="E1418">
        <v>0.69503101700000003</v>
      </c>
      <c r="F1418">
        <v>0.47575162900000001</v>
      </c>
      <c r="G1418">
        <v>0.78436812600000005</v>
      </c>
      <c r="H1418">
        <v>3.85</v>
      </c>
      <c r="I1418">
        <v>3.9348240008862598</v>
      </c>
      <c r="J1418">
        <v>4.1264434795278602</v>
      </c>
      <c r="K1418">
        <v>3.1689989093898401</v>
      </c>
      <c r="L1418">
        <v>3.1793911838967799</v>
      </c>
      <c r="M1418">
        <v>4.03063374020706</v>
      </c>
      <c r="N1418">
        <v>4.0294948618340296</v>
      </c>
      <c r="Q1418">
        <f t="shared" si="110"/>
        <v>3.85</v>
      </c>
      <c r="R1418">
        <f t="shared" si="112"/>
        <v>4.0462949753795465</v>
      </c>
      <c r="S1418">
        <f t="shared" si="113"/>
        <v>-0.19629497537954643</v>
      </c>
      <c r="T1418">
        <f t="shared" si="114"/>
        <v>3.8531717359256742E-2</v>
      </c>
    </row>
    <row r="1419" spans="1:20" hidden="1" x14ac:dyDescent="0.25">
      <c r="A1419" t="str">
        <f t="shared" si="111"/>
        <v>RIP</v>
      </c>
      <c r="B1419" t="s">
        <v>1425</v>
      </c>
      <c r="C1419">
        <v>1.136020193</v>
      </c>
      <c r="D1419">
        <v>0.10746104099999999</v>
      </c>
      <c r="E1419">
        <v>0.68260529999999997</v>
      </c>
      <c r="F1419">
        <v>0.470087058</v>
      </c>
      <c r="G1419">
        <v>0.77790314800000004</v>
      </c>
      <c r="H1419">
        <v>3.75</v>
      </c>
      <c r="I1419">
        <v>3.91575015094821</v>
      </c>
      <c r="J1419">
        <v>3.9539875520014802</v>
      </c>
      <c r="K1419">
        <v>3.4137278111009599</v>
      </c>
      <c r="L1419">
        <v>3.44733209549304</v>
      </c>
      <c r="M1419">
        <v>3.93486885147485</v>
      </c>
      <c r="N1419">
        <v>3.93482240432744</v>
      </c>
      <c r="Q1419">
        <f t="shared" si="110"/>
        <v>3.75</v>
      </c>
      <c r="R1419">
        <f t="shared" si="112"/>
        <v>3.9348591376035298</v>
      </c>
      <c r="S1419">
        <f t="shared" si="113"/>
        <v>-0.18485913760352979</v>
      </c>
      <c r="T1419">
        <f t="shared" si="114"/>
        <v>3.4172900755520763E-2</v>
      </c>
    </row>
    <row r="1420" spans="1:20" hidden="1" x14ac:dyDescent="0.25">
      <c r="A1420" t="str">
        <f t="shared" si="111"/>
        <v>RIP</v>
      </c>
      <c r="B1420" t="s">
        <v>1426</v>
      </c>
      <c r="C1420">
        <v>1.168672559</v>
      </c>
      <c r="D1420">
        <v>0.101600302</v>
      </c>
      <c r="E1420">
        <v>0.65660358399999996</v>
      </c>
      <c r="F1420">
        <v>0.47929656300000001</v>
      </c>
      <c r="G1420">
        <v>0.74902095800000001</v>
      </c>
      <c r="H1420">
        <v>3.13</v>
      </c>
      <c r="I1420">
        <v>3.5563024479000598</v>
      </c>
      <c r="J1420">
        <v>3.5259107300376802</v>
      </c>
      <c r="K1420">
        <v>3.3556276338063298</v>
      </c>
      <c r="L1420">
        <v>3.3896304590688699</v>
      </c>
      <c r="M1420">
        <v>3.5411065889688702</v>
      </c>
      <c r="N1420">
        <v>3.5410739840209602</v>
      </c>
      <c r="Q1420">
        <f t="shared" si="110"/>
        <v>3.13</v>
      </c>
      <c r="R1420">
        <f t="shared" si="112"/>
        <v>3.5559435099677295</v>
      </c>
      <c r="S1420">
        <f t="shared" si="113"/>
        <v>-0.42594350996772956</v>
      </c>
      <c r="T1420">
        <f t="shared" si="114"/>
        <v>0.18142787368362934</v>
      </c>
    </row>
    <row r="1421" spans="1:20" hidden="1" x14ac:dyDescent="0.25">
      <c r="A1421" t="str">
        <f t="shared" si="111"/>
        <v>RIP</v>
      </c>
      <c r="B1421" t="s">
        <v>1427</v>
      </c>
      <c r="C1421">
        <v>1.426365702</v>
      </c>
      <c r="D1421">
        <v>0.10183722100000001</v>
      </c>
      <c r="E1421">
        <v>0.69623293600000002</v>
      </c>
      <c r="F1421">
        <v>0.52559554399999997</v>
      </c>
      <c r="G1421">
        <v>0.786678027</v>
      </c>
      <c r="H1421">
        <v>3.58</v>
      </c>
      <c r="I1421">
        <v>3.4488297127890801</v>
      </c>
      <c r="J1421">
        <v>3.52140276716514</v>
      </c>
      <c r="K1421">
        <v>3.13144097839852</v>
      </c>
      <c r="L1421">
        <v>3.12393872828883</v>
      </c>
      <c r="M1421">
        <v>3.4851162399771098</v>
      </c>
      <c r="N1421">
        <v>3.4849273298157599</v>
      </c>
      <c r="Q1421">
        <f t="shared" si="110"/>
        <v>3.58</v>
      </c>
      <c r="R1421">
        <f t="shared" si="112"/>
        <v>3.5254489529125608</v>
      </c>
      <c r="S1421">
        <f t="shared" si="113"/>
        <v>5.4551047087439297E-2</v>
      </c>
      <c r="T1421">
        <f t="shared" si="114"/>
        <v>2.9758167383360195E-3</v>
      </c>
    </row>
    <row r="1422" spans="1:20" hidden="1" x14ac:dyDescent="0.25">
      <c r="A1422" t="str">
        <f t="shared" si="111"/>
        <v>RIP</v>
      </c>
      <c r="B1422" t="s">
        <v>1428</v>
      </c>
      <c r="C1422">
        <v>1.2989083910000001</v>
      </c>
      <c r="D1422">
        <v>9.9774171999999994E-2</v>
      </c>
      <c r="E1422">
        <v>0.70117162700000002</v>
      </c>
      <c r="F1422">
        <v>0.567904352</v>
      </c>
      <c r="G1422">
        <v>0.78679150399999997</v>
      </c>
      <c r="H1422">
        <v>3.67</v>
      </c>
      <c r="I1422">
        <v>3.6784047946390701</v>
      </c>
      <c r="J1422">
        <v>3.6974566838226499</v>
      </c>
      <c r="K1422">
        <v>3.6256363829242</v>
      </c>
      <c r="L1422">
        <v>3.6139658739572602</v>
      </c>
      <c r="M1422">
        <v>3.6879307392308598</v>
      </c>
      <c r="N1422">
        <v>3.68791843642772</v>
      </c>
      <c r="Q1422">
        <f t="shared" si="110"/>
        <v>3.67</v>
      </c>
      <c r="R1422">
        <f t="shared" si="112"/>
        <v>3.7677138677639896</v>
      </c>
      <c r="S1422">
        <f t="shared" si="113"/>
        <v>-9.7713867763989715E-2</v>
      </c>
      <c r="T1422">
        <f t="shared" si="114"/>
        <v>9.5479999533984675E-3</v>
      </c>
    </row>
    <row r="1423" spans="1:20" hidden="1" x14ac:dyDescent="0.25">
      <c r="A1423" t="str">
        <f t="shared" si="111"/>
        <v>RIP</v>
      </c>
      <c r="B1423" t="s">
        <v>1429</v>
      </c>
      <c r="C1423">
        <v>1.371505771</v>
      </c>
      <c r="D1423">
        <v>0.103523267</v>
      </c>
      <c r="E1423">
        <v>0.69975333500000003</v>
      </c>
      <c r="F1423">
        <v>0.52956049500000002</v>
      </c>
      <c r="G1423">
        <v>0.79154960900000004</v>
      </c>
      <c r="H1423">
        <v>3.53</v>
      </c>
      <c r="I1423">
        <v>3.64016056081981</v>
      </c>
      <c r="J1423">
        <v>3.69878798924969</v>
      </c>
      <c r="K1423">
        <v>3.3674962891329301</v>
      </c>
      <c r="L1423">
        <v>3.37151213663704</v>
      </c>
      <c r="M1423">
        <v>3.6694742750347502</v>
      </c>
      <c r="N1423">
        <v>3.6693571863884702</v>
      </c>
      <c r="Q1423">
        <f t="shared" si="110"/>
        <v>3.53</v>
      </c>
      <c r="R1423">
        <f t="shared" si="112"/>
        <v>3.7048461183027848</v>
      </c>
      <c r="S1423">
        <f t="shared" si="113"/>
        <v>-0.17484611830278496</v>
      </c>
      <c r="T1423">
        <f t="shared" si="114"/>
        <v>3.0571165085551473E-2</v>
      </c>
    </row>
    <row r="1424" spans="1:20" hidden="1" x14ac:dyDescent="0.25">
      <c r="A1424" t="str">
        <f t="shared" si="111"/>
        <v>RIP</v>
      </c>
      <c r="B1424" t="s">
        <v>1430</v>
      </c>
      <c r="C1424">
        <v>1.3389920230000001</v>
      </c>
      <c r="D1424">
        <v>0.10455943099999999</v>
      </c>
      <c r="E1424">
        <v>0.700203715</v>
      </c>
      <c r="F1424">
        <v>0.55111497700000001</v>
      </c>
      <c r="G1424">
        <v>0.78865617200000004</v>
      </c>
      <c r="H1424">
        <v>3.79</v>
      </c>
      <c r="I1424">
        <v>3.80075520533605</v>
      </c>
      <c r="J1424">
        <v>3.8775971266120699</v>
      </c>
      <c r="K1424">
        <v>3.50354173188239</v>
      </c>
      <c r="L1424">
        <v>3.4677772437902199</v>
      </c>
      <c r="M1424">
        <v>3.83917616597406</v>
      </c>
      <c r="N1424">
        <v>3.8389839102511099</v>
      </c>
      <c r="Q1424">
        <f t="shared" si="110"/>
        <v>3.79</v>
      </c>
      <c r="R1424">
        <f t="shared" si="112"/>
        <v>3.895231197300411</v>
      </c>
      <c r="S1424">
        <f t="shared" si="113"/>
        <v>-0.10523119730041097</v>
      </c>
      <c r="T1424">
        <f t="shared" si="114"/>
        <v>1.1073604885278022E-2</v>
      </c>
    </row>
    <row r="1425" spans="1:20" hidden="1" x14ac:dyDescent="0.25">
      <c r="A1425" t="str">
        <f t="shared" si="111"/>
        <v>RIP</v>
      </c>
      <c r="B1425" t="s">
        <v>1431</v>
      </c>
      <c r="C1425">
        <v>1.2536863060000001</v>
      </c>
      <c r="D1425">
        <v>0.103136016</v>
      </c>
      <c r="E1425">
        <v>0.69711283000000002</v>
      </c>
      <c r="F1425">
        <v>0.54015917400000002</v>
      </c>
      <c r="G1425">
        <v>0.78708339400000005</v>
      </c>
      <c r="H1425">
        <v>3.26</v>
      </c>
      <c r="I1425">
        <v>3.80012607861239</v>
      </c>
      <c r="J1425">
        <v>3.8268125210687098</v>
      </c>
      <c r="K1425">
        <v>3.5655835614203899</v>
      </c>
      <c r="L1425">
        <v>3.5525600634612</v>
      </c>
      <c r="M1425">
        <v>3.8134692998405502</v>
      </c>
      <c r="N1425">
        <v>3.81344595599225</v>
      </c>
      <c r="Q1425">
        <f t="shared" si="110"/>
        <v>3.26</v>
      </c>
      <c r="R1425">
        <f t="shared" si="112"/>
        <v>3.8674247498999863</v>
      </c>
      <c r="S1425">
        <f t="shared" si="113"/>
        <v>-0.60742474989998652</v>
      </c>
      <c r="T1425">
        <f t="shared" si="114"/>
        <v>0.36896482679106118</v>
      </c>
    </row>
    <row r="1426" spans="1:20" hidden="1" x14ac:dyDescent="0.25">
      <c r="A1426" t="str">
        <f t="shared" si="111"/>
        <v>RIP</v>
      </c>
      <c r="B1426" t="s">
        <v>1432</v>
      </c>
      <c r="C1426">
        <v>1.4703752590000001</v>
      </c>
      <c r="D1426">
        <v>0.102350804</v>
      </c>
      <c r="E1426">
        <v>0.70199808299999999</v>
      </c>
      <c r="F1426">
        <v>0.53054111999999998</v>
      </c>
      <c r="G1426">
        <v>0.79549136300000001</v>
      </c>
      <c r="H1426">
        <v>3.6</v>
      </c>
      <c r="I1426">
        <v>3.4757378197000901</v>
      </c>
      <c r="J1426">
        <v>3.5359439891225302</v>
      </c>
      <c r="K1426">
        <v>3.1398942201634799</v>
      </c>
      <c r="L1426">
        <v>3.2197149024526199</v>
      </c>
      <c r="M1426">
        <v>3.5058409044113099</v>
      </c>
      <c r="N1426">
        <v>3.50571166118013</v>
      </c>
      <c r="Q1426">
        <f t="shared" si="110"/>
        <v>3.6</v>
      </c>
      <c r="R1426">
        <f t="shared" si="112"/>
        <v>3.5303904483733897</v>
      </c>
      <c r="S1426">
        <f t="shared" si="113"/>
        <v>6.9609551626610422E-2</v>
      </c>
      <c r="T1426">
        <f t="shared" si="114"/>
        <v>4.8454896776577413E-3</v>
      </c>
    </row>
    <row r="1427" spans="1:20" hidden="1" x14ac:dyDescent="0.25">
      <c r="A1427" t="str">
        <f t="shared" si="111"/>
        <v>RIP</v>
      </c>
      <c r="B1427" t="s">
        <v>1433</v>
      </c>
      <c r="C1427">
        <v>1.4506084370000001</v>
      </c>
      <c r="D1427">
        <v>0.101383549</v>
      </c>
      <c r="E1427">
        <v>0.70118640399999999</v>
      </c>
      <c r="F1427">
        <v>0.52611802900000004</v>
      </c>
      <c r="G1427">
        <v>0.79711444399999998</v>
      </c>
      <c r="H1427">
        <v>3.58</v>
      </c>
      <c r="I1427">
        <v>3.4557067911840398</v>
      </c>
      <c r="J1427">
        <v>3.4815713816174201</v>
      </c>
      <c r="K1427">
        <v>3.03699210082622</v>
      </c>
      <c r="L1427">
        <v>3.0856377919157501</v>
      </c>
      <c r="M1427">
        <v>3.4686390864007302</v>
      </c>
      <c r="N1427">
        <v>3.4686149782654399</v>
      </c>
      <c r="Q1427">
        <f t="shared" si="110"/>
        <v>3.58</v>
      </c>
      <c r="R1427">
        <f t="shared" si="112"/>
        <v>3.4840460561130997</v>
      </c>
      <c r="S1427">
        <f t="shared" si="113"/>
        <v>9.5953943886900372E-2</v>
      </c>
      <c r="T1427">
        <f t="shared" si="114"/>
        <v>9.2071593474504256E-3</v>
      </c>
    </row>
    <row r="1428" spans="1:20" hidden="1" x14ac:dyDescent="0.25">
      <c r="A1428" t="str">
        <f t="shared" si="111"/>
        <v>RIP</v>
      </c>
      <c r="B1428" t="s">
        <v>1434</v>
      </c>
      <c r="C1428">
        <v>1.416380948</v>
      </c>
      <c r="D1428">
        <v>0.101949732</v>
      </c>
      <c r="E1428">
        <v>0.69959081499999998</v>
      </c>
      <c r="F1428">
        <v>0.545659581</v>
      </c>
      <c r="G1428">
        <v>0.79475496000000001</v>
      </c>
      <c r="H1428">
        <v>3.71</v>
      </c>
      <c r="I1428">
        <v>3.6010104264598</v>
      </c>
      <c r="J1428">
        <v>3.6175419547653598</v>
      </c>
      <c r="K1428">
        <v>3.15015275783708</v>
      </c>
      <c r="L1428">
        <v>3.1429220478472102</v>
      </c>
      <c r="M1428">
        <v>3.6092761906125799</v>
      </c>
      <c r="N1428">
        <v>3.6092667257028599</v>
      </c>
      <c r="Q1428">
        <f t="shared" si="110"/>
        <v>3.71</v>
      </c>
      <c r="R1428">
        <f t="shared" si="112"/>
        <v>3.6354650144038336</v>
      </c>
      <c r="S1428">
        <f t="shared" si="113"/>
        <v>7.4534985596166337E-2</v>
      </c>
      <c r="T1428">
        <f t="shared" si="114"/>
        <v>5.5554640778207234E-3</v>
      </c>
    </row>
    <row r="1429" spans="1:20" hidden="1" x14ac:dyDescent="0.25">
      <c r="A1429" t="str">
        <f t="shared" si="111"/>
        <v>RIP</v>
      </c>
      <c r="B1429" t="s">
        <v>1435</v>
      </c>
      <c r="C1429">
        <v>1.3199972630000001</v>
      </c>
      <c r="D1429">
        <v>0.101449606</v>
      </c>
      <c r="E1429">
        <v>0.70322772300000003</v>
      </c>
      <c r="F1429">
        <v>0.52661237800000005</v>
      </c>
      <c r="G1429">
        <v>0.79820125900000005</v>
      </c>
      <c r="H1429">
        <v>4.2300000000000004</v>
      </c>
      <c r="I1429">
        <v>3.6226082234150301</v>
      </c>
      <c r="J1429">
        <v>3.6213545449557998</v>
      </c>
      <c r="K1429">
        <v>3.1913344881966501</v>
      </c>
      <c r="L1429">
        <v>3.16341101420617</v>
      </c>
      <c r="M1429">
        <v>3.62198138418541</v>
      </c>
      <c r="N1429">
        <v>3.6219813299433601</v>
      </c>
      <c r="Q1429">
        <f t="shared" si="110"/>
        <v>4.2300000000000004</v>
      </c>
      <c r="R1429">
        <f t="shared" si="112"/>
        <v>3.6517462154623788</v>
      </c>
      <c r="S1429">
        <f t="shared" si="113"/>
        <v>0.57825378453762166</v>
      </c>
      <c r="T1429">
        <f t="shared" si="114"/>
        <v>0.33437743933208219</v>
      </c>
    </row>
    <row r="1430" spans="1:20" hidden="1" x14ac:dyDescent="0.25">
      <c r="A1430" t="str">
        <f t="shared" si="111"/>
        <v>RIP</v>
      </c>
      <c r="B1430" t="s">
        <v>1436</v>
      </c>
      <c r="C1430">
        <v>1.7153589490000001</v>
      </c>
      <c r="D1430">
        <v>9.7681361999999994E-2</v>
      </c>
      <c r="E1430">
        <v>0.69601720300000003</v>
      </c>
      <c r="F1430">
        <v>0.56337750600000003</v>
      </c>
      <c r="G1430">
        <v>0.78779885299999997</v>
      </c>
      <c r="H1430">
        <v>3.97</v>
      </c>
      <c r="I1430">
        <v>3.0616504788355101</v>
      </c>
      <c r="J1430">
        <v>3.1474488004309502</v>
      </c>
      <c r="K1430">
        <v>2.5984653131565101</v>
      </c>
      <c r="L1430">
        <v>2.4943379125473899</v>
      </c>
      <c r="M1430">
        <v>3.1045496396332299</v>
      </c>
      <c r="N1430">
        <v>3.1042532317692202</v>
      </c>
      <c r="Q1430">
        <f t="shared" si="110"/>
        <v>3.97</v>
      </c>
      <c r="R1430">
        <f t="shared" si="112"/>
        <v>3.1362774118184498</v>
      </c>
      <c r="S1430">
        <f t="shared" si="113"/>
        <v>0.83372258818155043</v>
      </c>
      <c r="T1430">
        <f t="shared" si="114"/>
        <v>0.69509335404414307</v>
      </c>
    </row>
    <row r="1431" spans="1:20" hidden="1" x14ac:dyDescent="0.25">
      <c r="A1431" t="str">
        <f t="shared" si="111"/>
        <v>RIP</v>
      </c>
      <c r="B1431" t="s">
        <v>1437</v>
      </c>
      <c r="C1431">
        <v>1.3612352990000001</v>
      </c>
      <c r="D1431">
        <v>0.10323226100000001</v>
      </c>
      <c r="E1431">
        <v>0.69567846799999999</v>
      </c>
      <c r="F1431">
        <v>0.51036389900000001</v>
      </c>
      <c r="G1431">
        <v>0.79056520600000002</v>
      </c>
      <c r="H1431">
        <v>2.93</v>
      </c>
      <c r="I1431">
        <v>3.5793820362812601</v>
      </c>
      <c r="J1431">
        <v>3.61321288605042</v>
      </c>
      <c r="K1431">
        <v>3.3051520731278998</v>
      </c>
      <c r="L1431">
        <v>3.4324952316152801</v>
      </c>
      <c r="M1431">
        <v>3.59629746116584</v>
      </c>
      <c r="N1431">
        <v>3.59625767953144</v>
      </c>
      <c r="Q1431">
        <f t="shared" si="110"/>
        <v>2.93</v>
      </c>
      <c r="R1431">
        <f t="shared" si="112"/>
        <v>3.6117220831450281</v>
      </c>
      <c r="S1431">
        <f t="shared" si="113"/>
        <v>-0.68172208314502791</v>
      </c>
      <c r="T1431">
        <f t="shared" si="114"/>
        <v>0.46474499864759633</v>
      </c>
    </row>
    <row r="1432" spans="1:20" hidden="1" x14ac:dyDescent="0.25">
      <c r="A1432" t="str">
        <f t="shared" si="111"/>
        <v>RIP</v>
      </c>
      <c r="B1432" t="s">
        <v>1438</v>
      </c>
      <c r="C1432">
        <v>1.5425179959999999</v>
      </c>
      <c r="D1432">
        <v>0.100735668</v>
      </c>
      <c r="E1432">
        <v>0.67968429900000005</v>
      </c>
      <c r="F1432">
        <v>0.49446565799999997</v>
      </c>
      <c r="G1432">
        <v>0.77262539600000002</v>
      </c>
      <c r="H1432">
        <v>2.89</v>
      </c>
      <c r="I1432">
        <v>3.1087554761791201</v>
      </c>
      <c r="J1432">
        <v>3.1994611829402899</v>
      </c>
      <c r="K1432">
        <v>2.7646014873870901</v>
      </c>
      <c r="L1432">
        <v>2.8744117488015601</v>
      </c>
      <c r="M1432">
        <v>3.1541083295596999</v>
      </c>
      <c r="N1432">
        <v>3.1537822488701002</v>
      </c>
      <c r="Q1432">
        <f t="shared" si="110"/>
        <v>2.89</v>
      </c>
      <c r="R1432">
        <f t="shared" si="112"/>
        <v>3.1657108212686444</v>
      </c>
      <c r="S1432">
        <f t="shared" si="113"/>
        <v>-0.27571082126864432</v>
      </c>
      <c r="T1432">
        <f t="shared" si="114"/>
        <v>7.601645696463033E-2</v>
      </c>
    </row>
    <row r="1433" spans="1:20" hidden="1" x14ac:dyDescent="0.25">
      <c r="A1433" t="str">
        <f t="shared" si="111"/>
        <v>RIP</v>
      </c>
      <c r="B1433" t="s">
        <v>1439</v>
      </c>
      <c r="C1433">
        <v>1.5752709519999999</v>
      </c>
      <c r="D1433">
        <v>9.8096225999999995E-2</v>
      </c>
      <c r="E1433">
        <v>0.67370485999999996</v>
      </c>
      <c r="F1433">
        <v>0.51771607799999997</v>
      </c>
      <c r="G1433">
        <v>0.76446096600000002</v>
      </c>
      <c r="H1433">
        <v>3.38</v>
      </c>
      <c r="I1433">
        <v>3.0465236528699702</v>
      </c>
      <c r="J1433">
        <v>3.10287563047897</v>
      </c>
      <c r="K1433">
        <v>2.8367754859785799</v>
      </c>
      <c r="L1433">
        <v>2.93289141007372</v>
      </c>
      <c r="M1433">
        <v>3.0746996416744699</v>
      </c>
      <c r="N1433">
        <v>3.07457053914331</v>
      </c>
      <c r="Q1433">
        <f t="shared" si="110"/>
        <v>3.38</v>
      </c>
      <c r="R1433">
        <f t="shared" si="112"/>
        <v>3.090431762372142</v>
      </c>
      <c r="S1433">
        <f t="shared" si="113"/>
        <v>0.28956823762785788</v>
      </c>
      <c r="T1433">
        <f t="shared" si="114"/>
        <v>8.3849764242903566E-2</v>
      </c>
    </row>
    <row r="1434" spans="1:20" hidden="1" x14ac:dyDescent="0.25">
      <c r="A1434" t="str">
        <f t="shared" si="111"/>
        <v>RIP</v>
      </c>
      <c r="B1434" t="s">
        <v>1440</v>
      </c>
      <c r="C1434">
        <v>1.3135808369999999</v>
      </c>
      <c r="D1434">
        <v>0.101920687</v>
      </c>
      <c r="E1434">
        <v>0.69300246899999995</v>
      </c>
      <c r="F1434">
        <v>0.51728006199999998</v>
      </c>
      <c r="G1434">
        <v>0.78697788199999996</v>
      </c>
      <c r="H1434">
        <v>3.69</v>
      </c>
      <c r="I1434">
        <v>3.5890253267396899</v>
      </c>
      <c r="J1434">
        <v>3.6028379989105099</v>
      </c>
      <c r="K1434">
        <v>3.3335974328017599</v>
      </c>
      <c r="L1434">
        <v>3.40322672459877</v>
      </c>
      <c r="M1434">
        <v>3.5959316628250999</v>
      </c>
      <c r="N1434">
        <v>3.5959250306742998</v>
      </c>
      <c r="Q1434">
        <f t="shared" si="110"/>
        <v>3.69</v>
      </c>
      <c r="R1434">
        <f t="shared" si="112"/>
        <v>3.6251418136632472</v>
      </c>
      <c r="S1434">
        <f t="shared" si="113"/>
        <v>6.4858186336752777E-2</v>
      </c>
      <c r="T1434">
        <f t="shared" si="114"/>
        <v>4.2065843348929443E-3</v>
      </c>
    </row>
    <row r="1435" spans="1:20" hidden="1" x14ac:dyDescent="0.25">
      <c r="A1435" t="str">
        <f t="shared" si="111"/>
        <v>RIP</v>
      </c>
      <c r="B1435" t="s">
        <v>1441</v>
      </c>
      <c r="C1435">
        <v>1.6227572320000001</v>
      </c>
      <c r="D1435">
        <v>0.10064124100000001</v>
      </c>
      <c r="E1435">
        <v>0.69743426399999997</v>
      </c>
      <c r="F1435">
        <v>0.566703658</v>
      </c>
      <c r="G1435">
        <v>0.79395918700000001</v>
      </c>
      <c r="H1435">
        <v>3.8</v>
      </c>
      <c r="I1435">
        <v>3.3678389309943402</v>
      </c>
      <c r="J1435">
        <v>3.4101024278511201</v>
      </c>
      <c r="K1435">
        <v>2.8310652253739899</v>
      </c>
      <c r="L1435">
        <v>2.8113797783543699</v>
      </c>
      <c r="M1435">
        <v>3.3889706794227301</v>
      </c>
      <c r="N1435">
        <v>3.3889047958293701</v>
      </c>
      <c r="Q1435">
        <f t="shared" si="110"/>
        <v>3.8</v>
      </c>
      <c r="R1435">
        <f t="shared" si="112"/>
        <v>3.4051170613263446</v>
      </c>
      <c r="S1435">
        <f t="shared" si="113"/>
        <v>0.3948829386736552</v>
      </c>
      <c r="T1435">
        <f t="shared" si="114"/>
        <v>0.15593253525554174</v>
      </c>
    </row>
    <row r="1436" spans="1:20" hidden="1" x14ac:dyDescent="0.25">
      <c r="A1436" t="str">
        <f t="shared" si="111"/>
        <v>RIP</v>
      </c>
      <c r="B1436" t="s">
        <v>1442</v>
      </c>
      <c r="C1436">
        <v>1.565280647</v>
      </c>
      <c r="D1436">
        <v>9.8356731000000003E-2</v>
      </c>
      <c r="E1436">
        <v>0.67282343499999997</v>
      </c>
      <c r="F1436">
        <v>0.52123713699999996</v>
      </c>
      <c r="G1436">
        <v>0.76678604800000005</v>
      </c>
      <c r="H1436">
        <v>3.51</v>
      </c>
      <c r="I1436">
        <v>3.10203346168006</v>
      </c>
      <c r="J1436">
        <v>3.1374054174158799</v>
      </c>
      <c r="K1436">
        <v>2.8076732588120401</v>
      </c>
      <c r="L1436">
        <v>2.8688837444262001</v>
      </c>
      <c r="M1436">
        <v>3.1197194395479699</v>
      </c>
      <c r="N1436">
        <v>3.11966930742352</v>
      </c>
      <c r="Q1436">
        <f t="shared" si="110"/>
        <v>3.51</v>
      </c>
      <c r="R1436">
        <f t="shared" si="112"/>
        <v>3.1279367201197328</v>
      </c>
      <c r="S1436">
        <f t="shared" si="113"/>
        <v>0.382063279880267</v>
      </c>
      <c r="T1436">
        <f t="shared" si="114"/>
        <v>0.14597234983286725</v>
      </c>
    </row>
    <row r="1437" spans="1:20" hidden="1" x14ac:dyDescent="0.25">
      <c r="A1437" t="str">
        <f t="shared" si="111"/>
        <v>RIP</v>
      </c>
      <c r="B1437" t="s">
        <v>1443</v>
      </c>
      <c r="C1437">
        <v>1.6531531509999999</v>
      </c>
      <c r="D1437">
        <v>9.8704853999999995E-2</v>
      </c>
      <c r="E1437">
        <v>0.67613428900000005</v>
      </c>
      <c r="F1437">
        <v>0.52484417999999999</v>
      </c>
      <c r="G1437">
        <v>0.76924002800000002</v>
      </c>
      <c r="H1437">
        <v>3.85</v>
      </c>
      <c r="I1437">
        <v>3.0139541902922402</v>
      </c>
      <c r="J1437">
        <v>3.0861144133657099</v>
      </c>
      <c r="K1437">
        <v>2.7066707069064799</v>
      </c>
      <c r="L1437">
        <v>2.7584963187899998</v>
      </c>
      <c r="M1437">
        <v>3.05003430182897</v>
      </c>
      <c r="N1437">
        <v>3.0498208911155502</v>
      </c>
      <c r="Q1437">
        <f t="shared" si="110"/>
        <v>3.85</v>
      </c>
      <c r="R1437">
        <f t="shared" si="112"/>
        <v>3.0585090227009148</v>
      </c>
      <c r="S1437">
        <f t="shared" si="113"/>
        <v>0.79149097729908524</v>
      </c>
      <c r="T1437">
        <f t="shared" si="114"/>
        <v>0.62645796714586111</v>
      </c>
    </row>
    <row r="1438" spans="1:20" hidden="1" x14ac:dyDescent="0.25">
      <c r="A1438" t="str">
        <f t="shared" si="111"/>
        <v>RIP</v>
      </c>
      <c r="B1438" t="s">
        <v>1444</v>
      </c>
      <c r="C1438">
        <v>1.4649622920000001</v>
      </c>
      <c r="D1438">
        <v>0.101408044</v>
      </c>
      <c r="E1438">
        <v>0.675433587</v>
      </c>
      <c r="F1438">
        <v>0.51008800399999998</v>
      </c>
      <c r="G1438">
        <v>0.77269801000000005</v>
      </c>
      <c r="H1438">
        <v>2.98</v>
      </c>
      <c r="I1438">
        <v>3.3404518724799299</v>
      </c>
      <c r="J1438">
        <v>3.3647201225541798</v>
      </c>
      <c r="K1438">
        <v>3.0738894558029202</v>
      </c>
      <c r="L1438">
        <v>3.21332905010259</v>
      </c>
      <c r="M1438">
        <v>3.35258599751706</v>
      </c>
      <c r="N1438">
        <v>3.35256403872574</v>
      </c>
      <c r="Q1438">
        <f t="shared" si="110"/>
        <v>2.98</v>
      </c>
      <c r="R1438">
        <f t="shared" si="112"/>
        <v>3.3526484326017201</v>
      </c>
      <c r="S1438">
        <f t="shared" si="113"/>
        <v>-0.37264843260172009</v>
      </c>
      <c r="T1438">
        <f t="shared" si="114"/>
        <v>0.13886685432051873</v>
      </c>
    </row>
    <row r="1439" spans="1:20" hidden="1" x14ac:dyDescent="0.25">
      <c r="A1439" t="str">
        <f t="shared" si="111"/>
        <v>RIP</v>
      </c>
      <c r="B1439" t="s">
        <v>1445</v>
      </c>
      <c r="C1439">
        <v>1.5470298760000001</v>
      </c>
      <c r="D1439">
        <v>0.10244622</v>
      </c>
      <c r="E1439">
        <v>0.69271305299999997</v>
      </c>
      <c r="F1439">
        <v>0.52248531099999995</v>
      </c>
      <c r="G1439">
        <v>0.78912801099999996</v>
      </c>
      <c r="H1439">
        <v>3.14</v>
      </c>
      <c r="I1439">
        <v>3.3596248480545001</v>
      </c>
      <c r="J1439">
        <v>3.4189966111883199</v>
      </c>
      <c r="K1439">
        <v>2.9044293166854098</v>
      </c>
      <c r="L1439">
        <v>3.0365665504485402</v>
      </c>
      <c r="M1439">
        <v>3.38931072962141</v>
      </c>
      <c r="N1439">
        <v>3.3891807225880402</v>
      </c>
      <c r="Q1439">
        <f t="shared" si="110"/>
        <v>3.14</v>
      </c>
      <c r="R1439">
        <f t="shared" si="112"/>
        <v>3.3908903734213398</v>
      </c>
      <c r="S1439">
        <f t="shared" si="113"/>
        <v>-0.25089037342133969</v>
      </c>
      <c r="T1439">
        <f t="shared" si="114"/>
        <v>6.2945979475499264E-2</v>
      </c>
    </row>
    <row r="1440" spans="1:20" hidden="1" x14ac:dyDescent="0.25">
      <c r="A1440" t="str">
        <f t="shared" si="111"/>
        <v>RIP</v>
      </c>
      <c r="B1440" t="s">
        <v>1446</v>
      </c>
      <c r="C1440">
        <v>1.4534682889999999</v>
      </c>
      <c r="D1440">
        <v>0.10000231800000001</v>
      </c>
      <c r="E1440">
        <v>0.68784609799999996</v>
      </c>
      <c r="F1440">
        <v>0.53131620499999999</v>
      </c>
      <c r="G1440">
        <v>0.78450230499999996</v>
      </c>
      <c r="H1440">
        <v>3.4</v>
      </c>
      <c r="I1440">
        <v>3.3911155098784702</v>
      </c>
      <c r="J1440">
        <v>3.3978629835964398</v>
      </c>
      <c r="K1440">
        <v>3.0281727534405301</v>
      </c>
      <c r="L1440">
        <v>3.09953445595721</v>
      </c>
      <c r="M1440">
        <v>3.3944892467374501</v>
      </c>
      <c r="N1440">
        <v>3.3944875701813699</v>
      </c>
      <c r="Q1440">
        <f t="shared" si="110"/>
        <v>3.4</v>
      </c>
      <c r="R1440">
        <f t="shared" si="112"/>
        <v>3.4105736455743165</v>
      </c>
      <c r="S1440">
        <f t="shared" si="113"/>
        <v>-1.0573645574316615E-2</v>
      </c>
      <c r="T1440">
        <f t="shared" si="114"/>
        <v>1.1180198073126533E-4</v>
      </c>
    </row>
    <row r="1441" spans="1:20" hidden="1" x14ac:dyDescent="0.25">
      <c r="A1441" t="str">
        <f t="shared" si="111"/>
        <v>RIP</v>
      </c>
      <c r="B1441" t="s">
        <v>1447</v>
      </c>
      <c r="C1441">
        <v>0.85002855200000005</v>
      </c>
      <c r="D1441">
        <v>0.107543838</v>
      </c>
      <c r="E1441">
        <v>0.69658754199999995</v>
      </c>
      <c r="F1441">
        <v>0.37944678399999998</v>
      </c>
      <c r="G1441">
        <v>0.78169839799999996</v>
      </c>
      <c r="H1441">
        <v>3.13</v>
      </c>
      <c r="I1441">
        <v>3.8035970886096</v>
      </c>
      <c r="J1441">
        <v>3.93923663856796</v>
      </c>
      <c r="K1441">
        <v>3.5291939726747499</v>
      </c>
      <c r="L1441">
        <v>3.3923652187495201</v>
      </c>
      <c r="M1441">
        <v>3.87141686358878</v>
      </c>
      <c r="N1441">
        <v>3.8708227820195198</v>
      </c>
      <c r="Q1441">
        <f t="shared" si="110"/>
        <v>3.13</v>
      </c>
      <c r="R1441">
        <f t="shared" si="112"/>
        <v>3.9255134213237781</v>
      </c>
      <c r="S1441">
        <f t="shared" si="113"/>
        <v>-0.79551342132377822</v>
      </c>
      <c r="T1441">
        <f t="shared" si="114"/>
        <v>0.63284160350626306</v>
      </c>
    </row>
    <row r="1442" spans="1:20" hidden="1" x14ac:dyDescent="0.25">
      <c r="A1442" t="str">
        <f t="shared" si="111"/>
        <v>RIP</v>
      </c>
      <c r="B1442" t="s">
        <v>1448</v>
      </c>
      <c r="C1442">
        <v>0.86987606299999998</v>
      </c>
      <c r="D1442">
        <v>0.105584162</v>
      </c>
      <c r="E1442">
        <v>0.69319874599999998</v>
      </c>
      <c r="F1442">
        <v>0.36612724699999999</v>
      </c>
      <c r="G1442">
        <v>0.77611617499999996</v>
      </c>
      <c r="H1442">
        <v>4.33</v>
      </c>
      <c r="I1442">
        <v>3.5814477601960002</v>
      </c>
      <c r="J1442">
        <v>3.7232945512884599</v>
      </c>
      <c r="K1442">
        <v>3.4518934737682501</v>
      </c>
      <c r="L1442">
        <v>3.31203079905409</v>
      </c>
      <c r="M1442">
        <v>3.6523711557422298</v>
      </c>
      <c r="N1442">
        <v>3.65168247952393</v>
      </c>
      <c r="Q1442">
        <f t="shared" si="110"/>
        <v>4.33</v>
      </c>
      <c r="R1442">
        <f t="shared" si="112"/>
        <v>3.7178583758093811</v>
      </c>
      <c r="S1442">
        <f t="shared" si="113"/>
        <v>0.61214162419061902</v>
      </c>
      <c r="T1442">
        <f t="shared" si="114"/>
        <v>0.37471736806672906</v>
      </c>
    </row>
    <row r="1443" spans="1:20" hidden="1" x14ac:dyDescent="0.25">
      <c r="A1443" t="str">
        <f t="shared" si="111"/>
        <v>RIP</v>
      </c>
      <c r="B1443" t="s">
        <v>1449</v>
      </c>
      <c r="C1443">
        <v>0.80698318800000002</v>
      </c>
      <c r="D1443">
        <v>0.103995376</v>
      </c>
      <c r="E1443">
        <v>0.68360595999999996</v>
      </c>
      <c r="F1443">
        <v>0.34044429799999998</v>
      </c>
      <c r="G1443">
        <v>0.76591831099999996</v>
      </c>
      <c r="H1443">
        <v>3.54</v>
      </c>
      <c r="I1443">
        <v>3.4462286251657401</v>
      </c>
      <c r="J1443">
        <v>3.5696466709482002</v>
      </c>
      <c r="K1443">
        <v>3.5050435041366002</v>
      </c>
      <c r="L1443">
        <v>3.31682267721642</v>
      </c>
      <c r="M1443">
        <v>3.5079376480569699</v>
      </c>
      <c r="N1443">
        <v>3.5073948365060401</v>
      </c>
      <c r="Q1443">
        <f t="shared" si="110"/>
        <v>3.54</v>
      </c>
      <c r="R1443">
        <f t="shared" si="112"/>
        <v>3.5755664544528809</v>
      </c>
      <c r="S1443">
        <f t="shared" si="113"/>
        <v>-3.5566454452880869E-2</v>
      </c>
      <c r="T1443">
        <f t="shared" si="114"/>
        <v>1.2649726823488494E-3</v>
      </c>
    </row>
    <row r="1444" spans="1:20" hidden="1" x14ac:dyDescent="0.25">
      <c r="A1444" t="str">
        <f t="shared" si="111"/>
        <v>RIP</v>
      </c>
      <c r="B1444" t="s">
        <v>1450</v>
      </c>
      <c r="C1444">
        <v>0.79630969299999999</v>
      </c>
      <c r="D1444">
        <v>0.104967537</v>
      </c>
      <c r="E1444">
        <v>0.679611038</v>
      </c>
      <c r="F1444">
        <v>0.38361995300000001</v>
      </c>
      <c r="G1444">
        <v>0.76312589399999997</v>
      </c>
      <c r="H1444">
        <v>3.56</v>
      </c>
      <c r="I1444">
        <v>3.7138632148720698</v>
      </c>
      <c r="J1444">
        <v>3.7948466354794101</v>
      </c>
      <c r="K1444">
        <v>3.8582571161474499</v>
      </c>
      <c r="L1444">
        <v>3.7444009830153102</v>
      </c>
      <c r="M1444">
        <v>3.7543549251757402</v>
      </c>
      <c r="N1444">
        <v>3.7541365619257898</v>
      </c>
      <c r="Q1444">
        <f t="shared" si="110"/>
        <v>3.56</v>
      </c>
      <c r="R1444">
        <f t="shared" si="112"/>
        <v>3.8208526201282376</v>
      </c>
      <c r="S1444">
        <f t="shared" si="113"/>
        <v>-0.26085262012823751</v>
      </c>
      <c r="T1444">
        <f t="shared" si="114"/>
        <v>6.8044089427766588E-2</v>
      </c>
    </row>
    <row r="1445" spans="1:20" hidden="1" x14ac:dyDescent="0.25">
      <c r="A1445" t="str">
        <f t="shared" si="111"/>
        <v>RIP</v>
      </c>
      <c r="B1445" t="s">
        <v>1451</v>
      </c>
      <c r="C1445">
        <v>0.74070722300000003</v>
      </c>
      <c r="D1445">
        <v>0.107068497</v>
      </c>
      <c r="E1445">
        <v>0.68781579599999998</v>
      </c>
      <c r="F1445">
        <v>0.35241561700000001</v>
      </c>
      <c r="G1445">
        <v>0.76448300499999999</v>
      </c>
      <c r="H1445">
        <v>3.21</v>
      </c>
      <c r="I1445">
        <v>3.7008952865760598</v>
      </c>
      <c r="J1445">
        <v>3.89762842999099</v>
      </c>
      <c r="K1445">
        <v>3.7335516824981698</v>
      </c>
      <c r="L1445">
        <v>3.5137364017996502</v>
      </c>
      <c r="M1445">
        <v>3.7992618582835198</v>
      </c>
      <c r="N1445">
        <v>3.79798824186943</v>
      </c>
      <c r="Q1445">
        <f t="shared" si="110"/>
        <v>3.21</v>
      </c>
      <c r="R1445">
        <f t="shared" si="112"/>
        <v>3.8956111584129305</v>
      </c>
      <c r="S1445">
        <f t="shared" si="113"/>
        <v>-0.68561115841293052</v>
      </c>
      <c r="T1445">
        <f t="shared" si="114"/>
        <v>0.47006266054032053</v>
      </c>
    </row>
    <row r="1446" spans="1:20" hidden="1" x14ac:dyDescent="0.25">
      <c r="A1446" t="str">
        <f t="shared" si="111"/>
        <v>RIP</v>
      </c>
      <c r="B1446" t="s">
        <v>1452</v>
      </c>
      <c r="C1446">
        <v>0.81813673099999995</v>
      </c>
      <c r="D1446">
        <v>0.103639022</v>
      </c>
      <c r="E1446">
        <v>0.68942745999999999</v>
      </c>
      <c r="F1446">
        <v>0.39559771100000002</v>
      </c>
      <c r="G1446">
        <v>0.76272505300000004</v>
      </c>
      <c r="H1446">
        <v>3.81</v>
      </c>
      <c r="I1446">
        <v>3.6332253508975398</v>
      </c>
      <c r="J1446">
        <v>3.7489708294250801</v>
      </c>
      <c r="K1446">
        <v>3.8404911332050999</v>
      </c>
      <c r="L1446">
        <v>3.76519906529112</v>
      </c>
      <c r="M1446">
        <v>3.6910980901613102</v>
      </c>
      <c r="N1446">
        <v>3.6906443688389401</v>
      </c>
      <c r="Q1446">
        <f t="shared" si="110"/>
        <v>3.81</v>
      </c>
      <c r="R1446">
        <f t="shared" si="112"/>
        <v>3.7896028907142196</v>
      </c>
      <c r="S1446">
        <f t="shared" si="113"/>
        <v>2.0397109285780424E-2</v>
      </c>
      <c r="T1446">
        <f t="shared" si="114"/>
        <v>4.1604206721606999E-4</v>
      </c>
    </row>
    <row r="1447" spans="1:20" hidden="1" x14ac:dyDescent="0.25">
      <c r="A1447" t="str">
        <f t="shared" si="111"/>
        <v>RIP</v>
      </c>
      <c r="B1447" t="s">
        <v>1453</v>
      </c>
      <c r="C1447">
        <v>1.008528109</v>
      </c>
      <c r="D1447">
        <v>0.100809631</v>
      </c>
      <c r="E1447">
        <v>0.69324794599999995</v>
      </c>
      <c r="F1447">
        <v>0.42618927699999998</v>
      </c>
      <c r="G1447">
        <v>0.76296193300000004</v>
      </c>
      <c r="H1447">
        <v>3.82</v>
      </c>
      <c r="I1447">
        <v>3.3965842211733701</v>
      </c>
      <c r="J1447">
        <v>3.5103778952552598</v>
      </c>
      <c r="K1447">
        <v>3.60911019857978</v>
      </c>
      <c r="L1447">
        <v>3.6371619281576</v>
      </c>
      <c r="M1447">
        <v>3.4534810582143098</v>
      </c>
      <c r="N1447">
        <v>3.4530123326422899</v>
      </c>
      <c r="Q1447">
        <f t="shared" si="110"/>
        <v>3.82</v>
      </c>
      <c r="R1447">
        <f t="shared" si="112"/>
        <v>3.5492196377080987</v>
      </c>
      <c r="S1447">
        <f t="shared" si="113"/>
        <v>0.27078036229190117</v>
      </c>
      <c r="T1447">
        <f t="shared" si="114"/>
        <v>7.3322004602933255E-2</v>
      </c>
    </row>
    <row r="1448" spans="1:20" hidden="1" x14ac:dyDescent="0.25">
      <c r="A1448" t="str">
        <f t="shared" si="111"/>
        <v>RIP</v>
      </c>
      <c r="B1448" t="s">
        <v>1454</v>
      </c>
      <c r="C1448">
        <v>1.054636444</v>
      </c>
      <c r="D1448">
        <v>0.10645046900000001</v>
      </c>
      <c r="E1448">
        <v>0.67293982299999999</v>
      </c>
      <c r="F1448">
        <v>0.38241765100000003</v>
      </c>
      <c r="G1448">
        <v>0.74366884799999999</v>
      </c>
      <c r="H1448">
        <v>3.29</v>
      </c>
      <c r="I1448">
        <v>3.3262997366409599</v>
      </c>
      <c r="J1448">
        <v>3.6218049539542299</v>
      </c>
      <c r="K1448">
        <v>3.2958896598655598</v>
      </c>
      <c r="L1448">
        <v>3.2362320894774399</v>
      </c>
      <c r="M1448">
        <v>3.47405234529759</v>
      </c>
      <c r="N1448">
        <v>3.47090893924097</v>
      </c>
      <c r="Q1448">
        <f t="shared" si="110"/>
        <v>3.29</v>
      </c>
      <c r="R1448">
        <f t="shared" si="112"/>
        <v>3.5768961447287637</v>
      </c>
      <c r="S1448">
        <f t="shared" si="113"/>
        <v>-0.28689614472876368</v>
      </c>
      <c r="T1448">
        <f t="shared" si="114"/>
        <v>8.2309397860227715E-2</v>
      </c>
    </row>
    <row r="1449" spans="1:20" hidden="1" x14ac:dyDescent="0.25">
      <c r="A1449" t="str">
        <f t="shared" si="111"/>
        <v>RIP</v>
      </c>
      <c r="B1449" t="s">
        <v>1455</v>
      </c>
      <c r="C1449">
        <v>1.004596901</v>
      </c>
      <c r="D1449">
        <v>0.107481032</v>
      </c>
      <c r="E1449">
        <v>0.70844110999999999</v>
      </c>
      <c r="F1449">
        <v>0.43450197800000001</v>
      </c>
      <c r="G1449">
        <v>0.78725244900000002</v>
      </c>
      <c r="H1449">
        <v>4.13</v>
      </c>
      <c r="I1449">
        <v>3.80193650062035</v>
      </c>
      <c r="J1449">
        <v>4.0040975307859297</v>
      </c>
      <c r="K1449">
        <v>3.6521919511287799</v>
      </c>
      <c r="L1449">
        <v>3.6893916915304499</v>
      </c>
      <c r="M1449">
        <v>3.9030170157031399</v>
      </c>
      <c r="N1449">
        <v>3.9017079022318999</v>
      </c>
      <c r="Q1449">
        <f t="shared" si="110"/>
        <v>4.13</v>
      </c>
      <c r="R1449">
        <f t="shared" si="112"/>
        <v>3.9925713660384528</v>
      </c>
      <c r="S1449">
        <f t="shared" si="113"/>
        <v>0.13742863396154714</v>
      </c>
      <c r="T1449">
        <f t="shared" si="114"/>
        <v>1.8886629432536908E-2</v>
      </c>
    </row>
    <row r="1450" spans="1:20" hidden="1" x14ac:dyDescent="0.25">
      <c r="A1450" t="str">
        <f t="shared" si="111"/>
        <v>RIP</v>
      </c>
      <c r="B1450" t="s">
        <v>1456</v>
      </c>
      <c r="C1450">
        <v>0.96187767499999999</v>
      </c>
      <c r="D1450">
        <v>0.107509549</v>
      </c>
      <c r="E1450">
        <v>0.69657678700000003</v>
      </c>
      <c r="F1450">
        <v>0.45452447400000001</v>
      </c>
      <c r="G1450">
        <v>0.78111403899999998</v>
      </c>
      <c r="H1450">
        <v>3.86</v>
      </c>
      <c r="I1450">
        <v>3.9877188646006601</v>
      </c>
      <c r="J1450">
        <v>4.1005128161586102</v>
      </c>
      <c r="K1450">
        <v>3.8642450165706101</v>
      </c>
      <c r="L1450">
        <v>3.9422837539533302</v>
      </c>
      <c r="M1450">
        <v>4.0441158403796296</v>
      </c>
      <c r="N1450">
        <v>4.0437225809311501</v>
      </c>
      <c r="Q1450">
        <f t="shared" si="110"/>
        <v>3.86</v>
      </c>
      <c r="R1450">
        <f t="shared" si="112"/>
        <v>4.1093517537744315</v>
      </c>
      <c r="S1450">
        <f t="shared" si="113"/>
        <v>-0.24935175377443164</v>
      </c>
      <c r="T1450">
        <f t="shared" si="114"/>
        <v>6.2176297110384783E-2</v>
      </c>
    </row>
    <row r="1451" spans="1:20" hidden="1" x14ac:dyDescent="0.25">
      <c r="A1451" t="str">
        <f t="shared" si="111"/>
        <v>RIP</v>
      </c>
      <c r="B1451" t="s">
        <v>1457</v>
      </c>
      <c r="C1451">
        <v>1.0592381239999999</v>
      </c>
      <c r="D1451">
        <v>9.8394738999999995E-2</v>
      </c>
      <c r="E1451">
        <v>0.65521557799999997</v>
      </c>
      <c r="F1451">
        <v>0.44347019599999998</v>
      </c>
      <c r="G1451">
        <v>0.73266404799999996</v>
      </c>
      <c r="H1451">
        <v>3.78</v>
      </c>
      <c r="I1451">
        <v>3.3549856956761199</v>
      </c>
      <c r="J1451">
        <v>3.3298892153765101</v>
      </c>
      <c r="K1451">
        <v>3.5557397347089901</v>
      </c>
      <c r="L1451">
        <v>3.6262501797554698</v>
      </c>
      <c r="M1451">
        <v>3.3424374555263099</v>
      </c>
      <c r="N1451">
        <v>3.3424139010263798</v>
      </c>
      <c r="Q1451">
        <f t="shared" si="110"/>
        <v>3.78</v>
      </c>
      <c r="R1451">
        <f t="shared" si="112"/>
        <v>3.3797214209849034</v>
      </c>
      <c r="S1451">
        <f t="shared" si="113"/>
        <v>0.40027857901509645</v>
      </c>
      <c r="T1451">
        <f t="shared" si="114"/>
        <v>0.16022294081834482</v>
      </c>
    </row>
    <row r="1452" spans="1:20" hidden="1" x14ac:dyDescent="0.25">
      <c r="A1452" t="str">
        <f t="shared" si="111"/>
        <v>RIP</v>
      </c>
      <c r="B1452" t="s">
        <v>1458</v>
      </c>
      <c r="C1452">
        <v>1.3503106899999999</v>
      </c>
      <c r="D1452">
        <v>0.10067201200000001</v>
      </c>
      <c r="E1452">
        <v>0.68352188700000005</v>
      </c>
      <c r="F1452">
        <v>0.42282283799999998</v>
      </c>
      <c r="G1452">
        <v>0.75642551599999996</v>
      </c>
      <c r="H1452">
        <v>4.34</v>
      </c>
      <c r="I1452">
        <v>2.9138128335228899</v>
      </c>
      <c r="J1452">
        <v>3.1316899648538898</v>
      </c>
      <c r="K1452">
        <v>2.7415917764354001</v>
      </c>
      <c r="L1452">
        <v>2.77025865210019</v>
      </c>
      <c r="M1452">
        <v>3.0227513991883899</v>
      </c>
      <c r="N1452">
        <v>3.0207877135287302</v>
      </c>
      <c r="Q1452">
        <f t="shared" si="110"/>
        <v>4.34</v>
      </c>
      <c r="R1452">
        <f t="shared" si="112"/>
        <v>3.0956760555158462</v>
      </c>
      <c r="S1452">
        <f t="shared" si="113"/>
        <v>1.2443239444841536</v>
      </c>
      <c r="T1452">
        <f t="shared" si="114"/>
        <v>1.5483420788166031</v>
      </c>
    </row>
    <row r="1453" spans="1:20" hidden="1" x14ac:dyDescent="0.25">
      <c r="A1453" t="str">
        <f t="shared" si="111"/>
        <v>RIP</v>
      </c>
      <c r="B1453" t="s">
        <v>1459</v>
      </c>
      <c r="C1453">
        <v>1.092409679</v>
      </c>
      <c r="D1453">
        <v>0.105769801</v>
      </c>
      <c r="E1453">
        <v>0.66867910200000003</v>
      </c>
      <c r="F1453">
        <v>0.43824053000000002</v>
      </c>
      <c r="G1453">
        <v>0.74734014100000001</v>
      </c>
      <c r="H1453">
        <v>4.2300000000000004</v>
      </c>
      <c r="I1453">
        <v>3.5724398685521201</v>
      </c>
      <c r="J1453">
        <v>3.7336712092105699</v>
      </c>
      <c r="K1453">
        <v>3.4034109686829401</v>
      </c>
      <c r="L1453">
        <v>3.4361132768637499</v>
      </c>
      <c r="M1453">
        <v>3.6530555388813402</v>
      </c>
      <c r="N1453">
        <v>3.6521659168018399</v>
      </c>
      <c r="Q1453">
        <f t="shared" si="110"/>
        <v>4.2300000000000004</v>
      </c>
      <c r="R1453">
        <f t="shared" si="112"/>
        <v>3.721629078559678</v>
      </c>
      <c r="S1453">
        <f t="shared" si="113"/>
        <v>0.50837092144032248</v>
      </c>
      <c r="T1453">
        <f t="shared" si="114"/>
        <v>0.25844099376608254</v>
      </c>
    </row>
    <row r="1454" spans="1:20" hidden="1" x14ac:dyDescent="0.25">
      <c r="A1454" t="str">
        <f t="shared" si="111"/>
        <v>RIP</v>
      </c>
      <c r="B1454" t="s">
        <v>1460</v>
      </c>
      <c r="C1454">
        <v>0.97986496700000003</v>
      </c>
      <c r="D1454">
        <v>0.10264187299999999</v>
      </c>
      <c r="E1454">
        <v>0.67832093800000004</v>
      </c>
      <c r="F1454">
        <v>0.42636566999999997</v>
      </c>
      <c r="G1454">
        <v>0.75209084500000001</v>
      </c>
      <c r="H1454">
        <v>3.49</v>
      </c>
      <c r="I1454">
        <v>3.5190062523046701</v>
      </c>
      <c r="J1454">
        <v>3.6193958211024002</v>
      </c>
      <c r="K1454">
        <v>3.6483367489526701</v>
      </c>
      <c r="L1454">
        <v>3.6692822719776799</v>
      </c>
      <c r="M1454">
        <v>3.5692010367035398</v>
      </c>
      <c r="N1454">
        <v>3.56884806681719</v>
      </c>
      <c r="Q1454">
        <f t="shared" si="110"/>
        <v>3.49</v>
      </c>
      <c r="R1454">
        <f t="shared" si="112"/>
        <v>3.6513143925755784</v>
      </c>
      <c r="S1454">
        <f t="shared" si="113"/>
        <v>-0.16131439257557822</v>
      </c>
      <c r="T1454">
        <f t="shared" si="114"/>
        <v>2.6022333252027768E-2</v>
      </c>
    </row>
    <row r="1455" spans="1:20" hidden="1" x14ac:dyDescent="0.25">
      <c r="A1455" t="str">
        <f t="shared" si="111"/>
        <v>RIP</v>
      </c>
      <c r="B1455" t="s">
        <v>1461</v>
      </c>
      <c r="C1455">
        <v>1.1079524409999999</v>
      </c>
      <c r="D1455">
        <v>0.10004429300000001</v>
      </c>
      <c r="E1455">
        <v>0.68402321300000002</v>
      </c>
      <c r="F1455">
        <v>0.45506432000000002</v>
      </c>
      <c r="G1455">
        <v>0.75109620399999999</v>
      </c>
      <c r="H1455">
        <v>3.5</v>
      </c>
      <c r="I1455">
        <v>3.3701708173184701</v>
      </c>
      <c r="J1455">
        <v>3.4590085188586102</v>
      </c>
      <c r="K1455">
        <v>3.5901946717654698</v>
      </c>
      <c r="L1455">
        <v>3.7131222164171298</v>
      </c>
      <c r="M1455">
        <v>3.4145896680885399</v>
      </c>
      <c r="N1455">
        <v>3.4143007435071202</v>
      </c>
      <c r="Q1455">
        <f t="shared" si="110"/>
        <v>3.5</v>
      </c>
      <c r="R1455">
        <f t="shared" si="112"/>
        <v>3.49834070255445</v>
      </c>
      <c r="S1455">
        <f t="shared" si="113"/>
        <v>1.6592974455500453E-3</v>
      </c>
      <c r="T1455">
        <f t="shared" si="114"/>
        <v>2.7532680128089054E-6</v>
      </c>
    </row>
    <row r="1456" spans="1:20" hidden="1" x14ac:dyDescent="0.25">
      <c r="A1456" t="str">
        <f t="shared" si="111"/>
        <v>RIP</v>
      </c>
      <c r="B1456" t="s">
        <v>1462</v>
      </c>
      <c r="C1456">
        <v>1.042259265</v>
      </c>
      <c r="D1456">
        <v>9.9980865000000002E-2</v>
      </c>
      <c r="E1456">
        <v>0.68731112000000005</v>
      </c>
      <c r="F1456">
        <v>0.42611212500000001</v>
      </c>
      <c r="G1456">
        <v>0.75400364900000005</v>
      </c>
      <c r="H1456">
        <v>3.33</v>
      </c>
      <c r="I1456">
        <v>3.31189496265808</v>
      </c>
      <c r="J1456">
        <v>3.42061741366917</v>
      </c>
      <c r="K1456">
        <v>3.5292384513778101</v>
      </c>
      <c r="L1456">
        <v>3.5616756371179998</v>
      </c>
      <c r="M1456">
        <v>3.3662561881636299</v>
      </c>
      <c r="N1456">
        <v>3.3658172234260499</v>
      </c>
      <c r="Q1456">
        <f t="shared" si="110"/>
        <v>3.33</v>
      </c>
      <c r="R1456">
        <f t="shared" si="112"/>
        <v>3.456777398034248</v>
      </c>
      <c r="S1456">
        <f t="shared" si="113"/>
        <v>-0.12677739803424792</v>
      </c>
      <c r="T1456">
        <f t="shared" si="114"/>
        <v>1.607250865233413E-2</v>
      </c>
    </row>
    <row r="1457" spans="1:20" hidden="1" x14ac:dyDescent="0.25">
      <c r="A1457" t="str">
        <f t="shared" si="111"/>
        <v>RIP</v>
      </c>
      <c r="B1457" t="s">
        <v>1463</v>
      </c>
      <c r="C1457">
        <v>1.061462202</v>
      </c>
      <c r="D1457">
        <v>9.7294401000000003E-2</v>
      </c>
      <c r="E1457">
        <v>0.69445783900000002</v>
      </c>
      <c r="F1457">
        <v>0.44862404299999997</v>
      </c>
      <c r="G1457">
        <v>0.76274296600000002</v>
      </c>
      <c r="H1457">
        <v>3.66</v>
      </c>
      <c r="I1457">
        <v>3.3059485160750501</v>
      </c>
      <c r="J1457">
        <v>3.3581791548384499</v>
      </c>
      <c r="K1457">
        <v>3.4709711101487599</v>
      </c>
      <c r="L1457">
        <v>3.50279999576447</v>
      </c>
      <c r="M1457">
        <v>3.3320638354567498</v>
      </c>
      <c r="N1457">
        <v>3.3319614934228099</v>
      </c>
      <c r="Q1457">
        <f t="shared" si="110"/>
        <v>3.66</v>
      </c>
      <c r="R1457">
        <f t="shared" si="112"/>
        <v>3.4180725884709142</v>
      </c>
      <c r="S1457">
        <f t="shared" si="113"/>
        <v>0.24192741152908592</v>
      </c>
      <c r="T1457">
        <f t="shared" si="114"/>
        <v>5.8528872449163695E-2</v>
      </c>
    </row>
    <row r="1458" spans="1:20" hidden="1" x14ac:dyDescent="0.25">
      <c r="A1458" t="str">
        <f t="shared" si="111"/>
        <v>RIP</v>
      </c>
      <c r="B1458" t="s">
        <v>1464</v>
      </c>
      <c r="C1458">
        <v>1.172522345</v>
      </c>
      <c r="D1458">
        <v>0.10717407599999999</v>
      </c>
      <c r="E1458">
        <v>0.69137397199999995</v>
      </c>
      <c r="F1458">
        <v>0.45910831699999999</v>
      </c>
      <c r="G1458">
        <v>0.772404074</v>
      </c>
      <c r="H1458">
        <v>4.54</v>
      </c>
      <c r="I1458">
        <v>3.6650888271927902</v>
      </c>
      <c r="J1458">
        <v>3.8720175358877098</v>
      </c>
      <c r="K1458">
        <v>3.3977224815884699</v>
      </c>
      <c r="L1458">
        <v>3.4721189400098602</v>
      </c>
      <c r="M1458">
        <v>3.7685531815402502</v>
      </c>
      <c r="N1458">
        <v>3.7671326243545802</v>
      </c>
      <c r="Q1458">
        <f t="shared" si="110"/>
        <v>4.54</v>
      </c>
      <c r="R1458">
        <f t="shared" si="112"/>
        <v>3.8421779634822038</v>
      </c>
      <c r="S1458">
        <f t="shared" si="113"/>
        <v>0.69782203651779628</v>
      </c>
      <c r="T1458">
        <f t="shared" si="114"/>
        <v>0.48695559464984461</v>
      </c>
    </row>
    <row r="1459" spans="1:20" hidden="1" x14ac:dyDescent="0.25">
      <c r="A1459" t="str">
        <f t="shared" si="111"/>
        <v>RIP</v>
      </c>
      <c r="B1459" t="s">
        <v>1465</v>
      </c>
      <c r="C1459">
        <v>0.94996592300000005</v>
      </c>
      <c r="D1459">
        <v>0.10587355800000001</v>
      </c>
      <c r="E1459">
        <v>0.69405142200000003</v>
      </c>
      <c r="F1459">
        <v>0.41025924699999999</v>
      </c>
      <c r="G1459">
        <v>0.77043945400000002</v>
      </c>
      <c r="H1459">
        <v>4.1399999999999997</v>
      </c>
      <c r="I1459">
        <v>3.6421234662651698</v>
      </c>
      <c r="J1459">
        <v>3.8268153908171199</v>
      </c>
      <c r="K1459">
        <v>3.7231520667654401</v>
      </c>
      <c r="L1459">
        <v>3.73229778740787</v>
      </c>
      <c r="M1459">
        <v>3.7344694285411402</v>
      </c>
      <c r="N1459">
        <v>3.7333274884424101</v>
      </c>
      <c r="Q1459">
        <f t="shared" si="110"/>
        <v>4.1399999999999997</v>
      </c>
      <c r="R1459">
        <f t="shared" si="112"/>
        <v>3.8285518343138918</v>
      </c>
      <c r="S1459">
        <f t="shared" si="113"/>
        <v>0.31144816568610789</v>
      </c>
      <c r="T1459">
        <f t="shared" si="114"/>
        <v>9.6999959909241318E-2</v>
      </c>
    </row>
    <row r="1460" spans="1:20" hidden="1" x14ac:dyDescent="0.25">
      <c r="A1460" t="str">
        <f t="shared" si="111"/>
        <v>RIP</v>
      </c>
      <c r="B1460" t="s">
        <v>1466</v>
      </c>
      <c r="C1460">
        <v>0.85006693799999999</v>
      </c>
      <c r="D1460">
        <v>9.9641839999999995E-2</v>
      </c>
      <c r="E1460">
        <v>0.68920844999999997</v>
      </c>
      <c r="F1460">
        <v>0.41363064999999999</v>
      </c>
      <c r="G1460">
        <v>0.75770108000000003</v>
      </c>
      <c r="H1460">
        <v>3.07</v>
      </c>
      <c r="I1460">
        <v>3.5083555393584298</v>
      </c>
      <c r="J1460">
        <v>3.5520612255164399</v>
      </c>
      <c r="K1460">
        <v>4.0127272294663801</v>
      </c>
      <c r="L1460">
        <v>4.0217339294286303</v>
      </c>
      <c r="M1460">
        <v>3.5302083824374302</v>
      </c>
      <c r="N1460">
        <v>3.53014074459941</v>
      </c>
      <c r="Q1460">
        <f t="shared" si="110"/>
        <v>3.07</v>
      </c>
      <c r="R1460">
        <f t="shared" si="112"/>
        <v>3.6236681313223862</v>
      </c>
      <c r="S1460">
        <f t="shared" si="113"/>
        <v>-0.55366813132238635</v>
      </c>
      <c r="T1460">
        <f t="shared" si="114"/>
        <v>0.30654839964202324</v>
      </c>
    </row>
    <row r="1461" spans="1:20" hidden="1" x14ac:dyDescent="0.25">
      <c r="A1461" t="str">
        <f t="shared" si="111"/>
        <v>RIP</v>
      </c>
      <c r="B1461" t="s">
        <v>1467</v>
      </c>
      <c r="C1461">
        <v>1.0638955379999999</v>
      </c>
      <c r="D1461">
        <v>0.10702544999999999</v>
      </c>
      <c r="E1461">
        <v>0.67795603999999998</v>
      </c>
      <c r="F1461">
        <v>0.44332522899999999</v>
      </c>
      <c r="G1461">
        <v>0.76120297299999995</v>
      </c>
      <c r="H1461">
        <v>3.22</v>
      </c>
      <c r="I1461">
        <v>3.7328392208279699</v>
      </c>
      <c r="J1461">
        <v>3.8869587567272998</v>
      </c>
      <c r="K1461">
        <v>3.6932769757851398</v>
      </c>
      <c r="L1461">
        <v>3.79887178361958</v>
      </c>
      <c r="M1461">
        <v>3.80989898877763</v>
      </c>
      <c r="N1461">
        <v>3.8091195960290301</v>
      </c>
      <c r="Q1461">
        <f t="shared" si="110"/>
        <v>3.22</v>
      </c>
      <c r="R1461">
        <f t="shared" si="112"/>
        <v>3.8715147025073193</v>
      </c>
      <c r="S1461">
        <f t="shared" si="113"/>
        <v>-0.65151470250731913</v>
      </c>
      <c r="T1461">
        <f t="shared" si="114"/>
        <v>0.42447140758320057</v>
      </c>
    </row>
    <row r="1462" spans="1:20" hidden="1" x14ac:dyDescent="0.25">
      <c r="A1462" t="str">
        <f t="shared" si="111"/>
        <v>RIP</v>
      </c>
      <c r="B1462" t="s">
        <v>1468</v>
      </c>
      <c r="C1462">
        <v>1.0813662239999999</v>
      </c>
      <c r="D1462">
        <v>0.108335282</v>
      </c>
      <c r="E1462">
        <v>0.68563479400000005</v>
      </c>
      <c r="F1462">
        <v>0.421553493</v>
      </c>
      <c r="G1462">
        <v>0.76676541200000004</v>
      </c>
      <c r="H1462">
        <v>4.3499999999999996</v>
      </c>
      <c r="I1462">
        <v>3.6632292779778601</v>
      </c>
      <c r="J1462">
        <v>3.9030650567372498</v>
      </c>
      <c r="K1462">
        <v>3.3838931837802102</v>
      </c>
      <c r="L1462">
        <v>3.3970230622822299</v>
      </c>
      <c r="M1462">
        <v>3.7831471673575598</v>
      </c>
      <c r="N1462">
        <v>3.7812461159903701</v>
      </c>
      <c r="Q1462">
        <f t="shared" si="110"/>
        <v>4.3499999999999996</v>
      </c>
      <c r="R1462">
        <f t="shared" si="112"/>
        <v>3.8553625198970742</v>
      </c>
      <c r="S1462">
        <f t="shared" si="113"/>
        <v>0.49463748010292541</v>
      </c>
      <c r="T1462">
        <f t="shared" si="114"/>
        <v>0.24466623672257193</v>
      </c>
    </row>
    <row r="1463" spans="1:20" hidden="1" x14ac:dyDescent="0.25">
      <c r="A1463" t="str">
        <f t="shared" si="111"/>
        <v>RIP</v>
      </c>
      <c r="B1463" t="s">
        <v>1469</v>
      </c>
      <c r="C1463">
        <v>1.0388313440000001</v>
      </c>
      <c r="D1463">
        <v>0.11201771000000001</v>
      </c>
      <c r="E1463">
        <v>0.67378247099999999</v>
      </c>
      <c r="F1463">
        <v>0.41809807999999998</v>
      </c>
      <c r="G1463">
        <v>0.76275166000000005</v>
      </c>
      <c r="H1463">
        <v>4.12</v>
      </c>
      <c r="I1463">
        <v>3.9850921063776399</v>
      </c>
      <c r="J1463">
        <v>4.2304429390192899</v>
      </c>
      <c r="K1463">
        <v>3.5548940281552501</v>
      </c>
      <c r="L1463">
        <v>3.5834496506617</v>
      </c>
      <c r="M1463">
        <v>4.1077675226984702</v>
      </c>
      <c r="N1463">
        <v>4.1059353091307704</v>
      </c>
      <c r="Q1463">
        <f t="shared" si="110"/>
        <v>4.12</v>
      </c>
      <c r="R1463">
        <f t="shared" si="112"/>
        <v>4.1315846508289429</v>
      </c>
      <c r="S1463">
        <f t="shared" si="113"/>
        <v>-1.1584650828942777E-2</v>
      </c>
      <c r="T1463">
        <f t="shared" si="114"/>
        <v>1.3420413482852458E-4</v>
      </c>
    </row>
    <row r="1464" spans="1:20" hidden="1" x14ac:dyDescent="0.25">
      <c r="A1464" t="str">
        <f t="shared" si="111"/>
        <v>RIP</v>
      </c>
      <c r="B1464" t="s">
        <v>1470</v>
      </c>
      <c r="C1464">
        <v>0.71109651699999998</v>
      </c>
      <c r="D1464">
        <v>0.10917966899999999</v>
      </c>
      <c r="E1464">
        <v>0.68991415</v>
      </c>
      <c r="F1464">
        <v>0.35512815199999997</v>
      </c>
      <c r="G1464">
        <v>0.773937549</v>
      </c>
      <c r="H1464">
        <v>3.96</v>
      </c>
      <c r="I1464">
        <v>3.9404840427486101</v>
      </c>
      <c r="J1464">
        <v>4.10518986344184</v>
      </c>
      <c r="K1464">
        <v>3.89760460803884</v>
      </c>
      <c r="L1464">
        <v>3.7407728234403002</v>
      </c>
      <c r="M1464">
        <v>4.0228369530952204</v>
      </c>
      <c r="N1464">
        <v>4.02199392706477</v>
      </c>
      <c r="Q1464">
        <f t="shared" si="110"/>
        <v>3.96</v>
      </c>
      <c r="R1464">
        <f t="shared" si="112"/>
        <v>4.0849078543379918</v>
      </c>
      <c r="S1464">
        <f t="shared" si="113"/>
        <v>-0.12490785433799179</v>
      </c>
      <c r="T1464">
        <f t="shared" si="114"/>
        <v>1.5601972075320974E-2</v>
      </c>
    </row>
    <row r="1465" spans="1:20" hidden="1" x14ac:dyDescent="0.25">
      <c r="A1465" t="str">
        <f t="shared" si="111"/>
        <v>RIP</v>
      </c>
      <c r="B1465" t="s">
        <v>1471</v>
      </c>
      <c r="C1465">
        <v>0.87389632399999995</v>
      </c>
      <c r="D1465">
        <v>0.108878799</v>
      </c>
      <c r="E1465">
        <v>0.68547216600000005</v>
      </c>
      <c r="F1465">
        <v>0.374076081</v>
      </c>
      <c r="G1465">
        <v>0.76378067800000005</v>
      </c>
      <c r="H1465">
        <v>3.51</v>
      </c>
      <c r="I1465">
        <v>3.7211772830141001</v>
      </c>
      <c r="J1465">
        <v>3.9791236801281098</v>
      </c>
      <c r="K1465">
        <v>3.5524688029035998</v>
      </c>
      <c r="L1465">
        <v>3.4078913508069499</v>
      </c>
      <c r="M1465">
        <v>3.8501504815711098</v>
      </c>
      <c r="N1465">
        <v>3.8479896887590801</v>
      </c>
      <c r="Q1465">
        <f t="shared" si="110"/>
        <v>3.51</v>
      </c>
      <c r="R1465">
        <f t="shared" si="112"/>
        <v>3.9395077592724141</v>
      </c>
      <c r="S1465">
        <f t="shared" si="113"/>
        <v>-0.42950775927241436</v>
      </c>
      <c r="T1465">
        <f t="shared" si="114"/>
        <v>0.18447691527521023</v>
      </c>
    </row>
    <row r="1466" spans="1:20" hidden="1" x14ac:dyDescent="0.25">
      <c r="A1466" t="str">
        <f t="shared" si="111"/>
        <v>RIP</v>
      </c>
      <c r="B1466" t="s">
        <v>1472</v>
      </c>
      <c r="C1466">
        <v>1.0817069610000001</v>
      </c>
      <c r="D1466">
        <v>0.107544138</v>
      </c>
      <c r="E1466">
        <v>0.68026105299999995</v>
      </c>
      <c r="F1466">
        <v>0.436535907</v>
      </c>
      <c r="G1466">
        <v>0.75198093300000002</v>
      </c>
      <c r="H1466">
        <v>3.9</v>
      </c>
      <c r="I1466">
        <v>3.6245456453726801</v>
      </c>
      <c r="J1466">
        <v>3.88697395560474</v>
      </c>
      <c r="K1466">
        <v>3.4923743892771499</v>
      </c>
      <c r="L1466">
        <v>3.5489775176896701</v>
      </c>
      <c r="M1466">
        <v>3.7557598004887098</v>
      </c>
      <c r="N1466">
        <v>3.7534670005828201</v>
      </c>
      <c r="Q1466">
        <f t="shared" si="110"/>
        <v>3.9</v>
      </c>
      <c r="R1466">
        <f t="shared" si="112"/>
        <v>3.8577520036009627</v>
      </c>
      <c r="S1466">
        <f t="shared" si="113"/>
        <v>4.2247996399037202E-2</v>
      </c>
      <c r="T1466">
        <f t="shared" si="114"/>
        <v>1.7848931997330605E-3</v>
      </c>
    </row>
    <row r="1467" spans="1:20" hidden="1" x14ac:dyDescent="0.25">
      <c r="A1467" t="str">
        <f t="shared" si="111"/>
        <v>RIP</v>
      </c>
      <c r="B1467" t="s">
        <v>1473</v>
      </c>
      <c r="C1467">
        <v>1.027116227</v>
      </c>
      <c r="D1467">
        <v>0.107715324</v>
      </c>
      <c r="E1467">
        <v>0.68399296700000001</v>
      </c>
      <c r="F1467">
        <v>0.428268802</v>
      </c>
      <c r="G1467">
        <v>0.75889956599999997</v>
      </c>
      <c r="H1467">
        <v>3.97</v>
      </c>
      <c r="I1467">
        <v>3.6889750118279401</v>
      </c>
      <c r="J1467">
        <v>3.9310665880490001</v>
      </c>
      <c r="K1467">
        <v>3.5745149672060501</v>
      </c>
      <c r="L1467">
        <v>3.6086335630447102</v>
      </c>
      <c r="M1467">
        <v>3.8100207999384699</v>
      </c>
      <c r="N1467">
        <v>3.8080974794698301</v>
      </c>
      <c r="Q1467">
        <f t="shared" si="110"/>
        <v>3.97</v>
      </c>
      <c r="R1467">
        <f t="shared" si="112"/>
        <v>3.9066403444592748</v>
      </c>
      <c r="S1467">
        <f t="shared" si="113"/>
        <v>6.3359655540725424E-2</v>
      </c>
      <c r="T1467">
        <f t="shared" si="114"/>
        <v>4.0144459502393778E-3</v>
      </c>
    </row>
    <row r="1468" spans="1:20" hidden="1" x14ac:dyDescent="0.25">
      <c r="A1468" t="str">
        <f t="shared" si="111"/>
        <v>RIP</v>
      </c>
      <c r="B1468" t="s">
        <v>1474</v>
      </c>
      <c r="C1468">
        <v>0.94423586699999995</v>
      </c>
      <c r="D1468">
        <v>0.109338298</v>
      </c>
      <c r="E1468">
        <v>0.67555383800000002</v>
      </c>
      <c r="F1468">
        <v>0.38934070799999998</v>
      </c>
      <c r="G1468">
        <v>0.76360583500000001</v>
      </c>
      <c r="H1468">
        <v>3.59</v>
      </c>
      <c r="I1468">
        <v>3.8025293975532102</v>
      </c>
      <c r="J1468">
        <v>3.9837157779199202</v>
      </c>
      <c r="K1468">
        <v>3.50395177232997</v>
      </c>
      <c r="L1468">
        <v>3.4253263393619</v>
      </c>
      <c r="M1468">
        <v>3.8931225877365598</v>
      </c>
      <c r="N1468">
        <v>3.8920683905909299</v>
      </c>
      <c r="Q1468">
        <f t="shared" si="110"/>
        <v>3.59</v>
      </c>
      <c r="R1468">
        <f t="shared" si="112"/>
        <v>3.9314671082796186</v>
      </c>
      <c r="S1468">
        <f t="shared" si="113"/>
        <v>-0.34146710827961879</v>
      </c>
      <c r="T1468">
        <f t="shared" si="114"/>
        <v>0.1165997860368449</v>
      </c>
    </row>
    <row r="1469" spans="1:20" hidden="1" x14ac:dyDescent="0.25">
      <c r="A1469" t="str">
        <f t="shared" si="111"/>
        <v>RIP</v>
      </c>
      <c r="B1469" t="s">
        <v>1475</v>
      </c>
      <c r="C1469">
        <v>0.93220066800000001</v>
      </c>
      <c r="D1469">
        <v>0.109947158</v>
      </c>
      <c r="E1469">
        <v>0.67219501999999998</v>
      </c>
      <c r="F1469">
        <v>0.37268876299999998</v>
      </c>
      <c r="G1469">
        <v>0.755094865</v>
      </c>
      <c r="H1469">
        <v>3.3</v>
      </c>
      <c r="I1469">
        <v>3.70727834879593</v>
      </c>
      <c r="J1469">
        <v>3.9793834858282202</v>
      </c>
      <c r="K1469">
        <v>3.5068008843821099</v>
      </c>
      <c r="L1469">
        <v>3.4055014482638799</v>
      </c>
      <c r="M1469">
        <v>3.8433309173120702</v>
      </c>
      <c r="N1469">
        <v>3.8409220557786701</v>
      </c>
      <c r="Q1469">
        <f t="shared" si="110"/>
        <v>3.3</v>
      </c>
      <c r="R1469">
        <f t="shared" si="112"/>
        <v>3.9103803331473568</v>
      </c>
      <c r="S1469">
        <f t="shared" si="113"/>
        <v>-0.61038033314735696</v>
      </c>
      <c r="T1469">
        <f t="shared" si="114"/>
        <v>0.37256415109307844</v>
      </c>
    </row>
    <row r="1470" spans="1:20" hidden="1" x14ac:dyDescent="0.25">
      <c r="A1470" t="str">
        <f t="shared" si="111"/>
        <v>RIP</v>
      </c>
      <c r="B1470" t="s">
        <v>1476</v>
      </c>
      <c r="C1470">
        <v>0.89326510400000003</v>
      </c>
      <c r="D1470">
        <v>0.11161404599999999</v>
      </c>
      <c r="E1470">
        <v>0.67831793299999998</v>
      </c>
      <c r="F1470">
        <v>0.385993743</v>
      </c>
      <c r="G1470">
        <v>0.76291958599999998</v>
      </c>
      <c r="H1470">
        <v>3.74</v>
      </c>
      <c r="I1470">
        <v>3.95802399699084</v>
      </c>
      <c r="J1470">
        <v>4.2283648043229496</v>
      </c>
      <c r="K1470">
        <v>3.6683248998305502</v>
      </c>
      <c r="L1470">
        <v>3.5990466053162402</v>
      </c>
      <c r="M1470">
        <v>4.0931944006569001</v>
      </c>
      <c r="N1470">
        <v>4.0909619117686402</v>
      </c>
      <c r="Q1470">
        <f t="shared" si="110"/>
        <v>3.74</v>
      </c>
      <c r="R1470">
        <f t="shared" si="112"/>
        <v>4.1486792423689627</v>
      </c>
      <c r="S1470">
        <f t="shared" si="113"/>
        <v>-0.40867924236896247</v>
      </c>
      <c r="T1470">
        <f t="shared" si="114"/>
        <v>0.16701872314326918</v>
      </c>
    </row>
    <row r="1471" spans="1:20" hidden="1" x14ac:dyDescent="0.25">
      <c r="A1471" t="str">
        <f t="shared" si="111"/>
        <v>RIP</v>
      </c>
      <c r="B1471" t="s">
        <v>1477</v>
      </c>
      <c r="C1471">
        <v>0.98948356900000001</v>
      </c>
      <c r="D1471">
        <v>0.109891638</v>
      </c>
      <c r="E1471">
        <v>0.68619622400000002</v>
      </c>
      <c r="F1471">
        <v>0.40708937099999998</v>
      </c>
      <c r="G1471">
        <v>0.76729907399999997</v>
      </c>
      <c r="H1471">
        <v>3.6</v>
      </c>
      <c r="I1471">
        <v>3.8047742104285098</v>
      </c>
      <c r="J1471">
        <v>4.0702358217117496</v>
      </c>
      <c r="K1471">
        <v>3.4487937383455498</v>
      </c>
      <c r="L1471">
        <v>3.4130500443126701</v>
      </c>
      <c r="M1471">
        <v>3.9375050160701299</v>
      </c>
      <c r="N1471">
        <v>3.93526724439538</v>
      </c>
      <c r="Q1471">
        <f t="shared" si="110"/>
        <v>3.6</v>
      </c>
      <c r="R1471">
        <f t="shared" si="112"/>
        <v>4.0118045072392174</v>
      </c>
      <c r="S1471">
        <f t="shared" si="113"/>
        <v>-0.41180450723921735</v>
      </c>
      <c r="T1471">
        <f t="shared" si="114"/>
        <v>0.16958295218253461</v>
      </c>
    </row>
    <row r="1472" spans="1:20" hidden="1" x14ac:dyDescent="0.25">
      <c r="A1472" t="str">
        <f t="shared" si="111"/>
        <v>RIP</v>
      </c>
      <c r="B1472" t="s">
        <v>1478</v>
      </c>
      <c r="C1472">
        <v>0.95131818099999998</v>
      </c>
      <c r="D1472">
        <v>0.113236583</v>
      </c>
      <c r="E1472">
        <v>0.68291457700000002</v>
      </c>
      <c r="F1472">
        <v>0.37428270899999999</v>
      </c>
      <c r="G1472">
        <v>0.77018505800000003</v>
      </c>
      <c r="H1472">
        <v>3.06</v>
      </c>
      <c r="I1472">
        <v>3.98325931777083</v>
      </c>
      <c r="J1472">
        <v>4.2970450038900498</v>
      </c>
      <c r="K1472">
        <v>3.4444475372438998</v>
      </c>
      <c r="L1472">
        <v>3.34885453455305</v>
      </c>
      <c r="M1472">
        <v>4.1401521608304401</v>
      </c>
      <c r="N1472">
        <v>4.1371783319825104</v>
      </c>
      <c r="Q1472">
        <f t="shared" si="110"/>
        <v>3.06</v>
      </c>
      <c r="R1472">
        <f t="shared" si="112"/>
        <v>4.1658868891682399</v>
      </c>
      <c r="S1472">
        <f t="shared" si="113"/>
        <v>-1.1058868891682399</v>
      </c>
      <c r="T1472">
        <f t="shared" si="114"/>
        <v>1.2229858116342067</v>
      </c>
    </row>
    <row r="1473" spans="1:20" hidden="1" x14ac:dyDescent="0.25">
      <c r="A1473" t="str">
        <f t="shared" si="111"/>
        <v>RIP</v>
      </c>
      <c r="B1473" t="s">
        <v>1479</v>
      </c>
      <c r="C1473">
        <v>0.67416965600000001</v>
      </c>
      <c r="D1473">
        <v>0.110631328</v>
      </c>
      <c r="E1473">
        <v>0.68206624599999999</v>
      </c>
      <c r="F1473">
        <v>0.33441905900000002</v>
      </c>
      <c r="G1473">
        <v>0.76105530799999999</v>
      </c>
      <c r="H1473">
        <v>3.85</v>
      </c>
      <c r="I1473">
        <v>3.8965576606786301</v>
      </c>
      <c r="J1473">
        <v>4.1752680710174701</v>
      </c>
      <c r="K1473">
        <v>3.7019527731594302</v>
      </c>
      <c r="L1473">
        <v>3.4782807957662198</v>
      </c>
      <c r="M1473">
        <v>4.0359128658480499</v>
      </c>
      <c r="N1473">
        <v>4.0335062647168396</v>
      </c>
      <c r="Q1473">
        <f t="shared" ref="Q1473:Q1536" si="115">H1473</f>
        <v>3.85</v>
      </c>
      <c r="R1473">
        <f t="shared" si="112"/>
        <v>4.1278537529286616</v>
      </c>
      <c r="S1473">
        <f t="shared" si="113"/>
        <v>-0.27785375292866155</v>
      </c>
      <c r="T1473">
        <f t="shared" si="114"/>
        <v>7.7202708016541693E-2</v>
      </c>
    </row>
    <row r="1474" spans="1:20" hidden="1" x14ac:dyDescent="0.25">
      <c r="A1474" t="str">
        <f t="shared" si="111"/>
        <v>RIP</v>
      </c>
      <c r="B1474" t="s">
        <v>1480</v>
      </c>
      <c r="C1474">
        <v>1.0444596589999999</v>
      </c>
      <c r="D1474">
        <v>0.10907281200000001</v>
      </c>
      <c r="E1474">
        <v>0.67272733500000004</v>
      </c>
      <c r="F1474">
        <v>0.40733172000000001</v>
      </c>
      <c r="G1474">
        <v>0.74799326700000002</v>
      </c>
      <c r="H1474">
        <v>3.74</v>
      </c>
      <c r="I1474">
        <v>3.6153889504087999</v>
      </c>
      <c r="J1474">
        <v>3.9224759552673798</v>
      </c>
      <c r="K1474">
        <v>3.33192654834061</v>
      </c>
      <c r="L1474">
        <v>3.28735879048154</v>
      </c>
      <c r="M1474">
        <v>3.7689324528380901</v>
      </c>
      <c r="N1474">
        <v>3.7658035300474602</v>
      </c>
      <c r="Q1474">
        <f t="shared" si="115"/>
        <v>3.74</v>
      </c>
      <c r="R1474">
        <f t="shared" si="112"/>
        <v>3.8633701165859602</v>
      </c>
      <c r="S1474">
        <f t="shared" si="113"/>
        <v>-0.12337011658595998</v>
      </c>
      <c r="T1474">
        <f t="shared" si="114"/>
        <v>1.5220185666433357E-2</v>
      </c>
    </row>
    <row r="1475" spans="1:20" hidden="1" x14ac:dyDescent="0.25">
      <c r="A1475" t="str">
        <f t="shared" ref="A1475:A1538" si="116">LEFT(B1475,3)</f>
        <v>RIP</v>
      </c>
      <c r="B1475" t="s">
        <v>1481</v>
      </c>
      <c r="C1475">
        <v>0.97474374500000005</v>
      </c>
      <c r="D1475">
        <v>0.108037601</v>
      </c>
      <c r="E1475">
        <v>0.67746424500000002</v>
      </c>
      <c r="F1475">
        <v>0.43116938700000002</v>
      </c>
      <c r="G1475">
        <v>0.757900405</v>
      </c>
      <c r="H1475">
        <v>4.09</v>
      </c>
      <c r="I1475">
        <v>3.82504169178182</v>
      </c>
      <c r="J1475">
        <v>4.0066094845289797</v>
      </c>
      <c r="K1475">
        <v>3.6829435624437799</v>
      </c>
      <c r="L1475">
        <v>3.71128512247315</v>
      </c>
      <c r="M1475">
        <v>3.9158255881553998</v>
      </c>
      <c r="N1475">
        <v>3.9147730867844501</v>
      </c>
      <c r="Q1475">
        <f t="shared" si="115"/>
        <v>4.09</v>
      </c>
      <c r="R1475">
        <f t="shared" ref="R1475:R1538" si="117">$X$2*F1475+$X$3*D1475*E1475+($X$4/(D1475-$X$5))-$X$6*C1475</f>
        <v>3.9908414764201083</v>
      </c>
      <c r="S1475">
        <f t="shared" ref="S1475:S1538" si="118">Q1475-R1475</f>
        <v>9.9158523579891522E-2</v>
      </c>
      <c r="T1475">
        <f t="shared" ref="T1475:T1538" si="119">S1475^2</f>
        <v>9.8324127985439033E-3</v>
      </c>
    </row>
    <row r="1476" spans="1:20" hidden="1" x14ac:dyDescent="0.25">
      <c r="A1476" t="str">
        <f t="shared" si="116"/>
        <v>RIP</v>
      </c>
      <c r="B1476" t="s">
        <v>1482</v>
      </c>
      <c r="C1476">
        <v>1.188690655</v>
      </c>
      <c r="D1476">
        <v>0.109178806</v>
      </c>
      <c r="E1476">
        <v>0.67394446200000002</v>
      </c>
      <c r="F1476">
        <v>0.43606283099999998</v>
      </c>
      <c r="G1476">
        <v>0.75565227099999999</v>
      </c>
      <c r="H1476">
        <v>3.23</v>
      </c>
      <c r="I1476">
        <v>3.6174837628568599</v>
      </c>
      <c r="J1476">
        <v>3.8947050864630999</v>
      </c>
      <c r="K1476">
        <v>3.2671154260036599</v>
      </c>
      <c r="L1476">
        <v>3.3283913344707101</v>
      </c>
      <c r="M1476">
        <v>3.7560944246599801</v>
      </c>
      <c r="N1476">
        <v>3.7535359877582501</v>
      </c>
      <c r="Q1476">
        <f t="shared" si="115"/>
        <v>3.23</v>
      </c>
      <c r="R1476">
        <f t="shared" si="117"/>
        <v>3.8210015752997979</v>
      </c>
      <c r="S1476">
        <f t="shared" si="118"/>
        <v>-0.59100157529979791</v>
      </c>
      <c r="T1476">
        <f t="shared" si="119"/>
        <v>0.34928286200684272</v>
      </c>
    </row>
    <row r="1477" spans="1:20" hidden="1" x14ac:dyDescent="0.25">
      <c r="A1477" t="str">
        <f t="shared" si="116"/>
        <v>RIP</v>
      </c>
      <c r="B1477" t="s">
        <v>1483</v>
      </c>
      <c r="C1477">
        <v>1.0335460329999999</v>
      </c>
      <c r="D1477">
        <v>0.109474639</v>
      </c>
      <c r="E1477">
        <v>0.68309832000000004</v>
      </c>
      <c r="F1477">
        <v>0.43518136400000001</v>
      </c>
      <c r="G1477">
        <v>0.76347896400000004</v>
      </c>
      <c r="H1477">
        <v>3.88</v>
      </c>
      <c r="I1477">
        <v>3.8447348669667201</v>
      </c>
      <c r="J1477">
        <v>4.0883073660532601</v>
      </c>
      <c r="K1477">
        <v>3.7135600295439999</v>
      </c>
      <c r="L1477">
        <v>3.7890779230386098</v>
      </c>
      <c r="M1477">
        <v>3.9665211165099898</v>
      </c>
      <c r="N1477">
        <v>3.9646510410302001</v>
      </c>
      <c r="Q1477">
        <f t="shared" si="115"/>
        <v>3.88</v>
      </c>
      <c r="R1477">
        <f t="shared" si="117"/>
        <v>4.0436205509630412</v>
      </c>
      <c r="S1477">
        <f t="shared" si="118"/>
        <v>-0.16362055096304129</v>
      </c>
      <c r="T1477">
        <f t="shared" si="119"/>
        <v>2.6771684697449193E-2</v>
      </c>
    </row>
    <row r="1478" spans="1:20" hidden="1" x14ac:dyDescent="0.25">
      <c r="A1478" t="str">
        <f t="shared" si="116"/>
        <v>RIP</v>
      </c>
      <c r="B1478" t="s">
        <v>1484</v>
      </c>
      <c r="C1478">
        <v>0.91999452299999995</v>
      </c>
      <c r="D1478">
        <v>0.109968435</v>
      </c>
      <c r="E1478">
        <v>0.67797347299999999</v>
      </c>
      <c r="F1478">
        <v>0.40640303300000002</v>
      </c>
      <c r="G1478">
        <v>0.76430414300000005</v>
      </c>
      <c r="H1478">
        <v>4.0999999999999996</v>
      </c>
      <c r="I1478">
        <v>3.9408870670234699</v>
      </c>
      <c r="J1478">
        <v>4.12818366271489</v>
      </c>
      <c r="K1478">
        <v>3.6793390220948199</v>
      </c>
      <c r="L1478">
        <v>3.6555845992447198</v>
      </c>
      <c r="M1478">
        <v>4.0345353648691802</v>
      </c>
      <c r="N1478">
        <v>4.0334483518065101</v>
      </c>
      <c r="Q1478">
        <f t="shared" si="115"/>
        <v>4.0999999999999996</v>
      </c>
      <c r="R1478">
        <f t="shared" si="117"/>
        <v>4.0825194538622664</v>
      </c>
      <c r="S1478">
        <f t="shared" si="118"/>
        <v>1.7480546137733199E-2</v>
      </c>
      <c r="T1478">
        <f t="shared" si="119"/>
        <v>3.0556949327341907E-4</v>
      </c>
    </row>
    <row r="1479" spans="1:20" hidden="1" x14ac:dyDescent="0.25">
      <c r="A1479" t="str">
        <f t="shared" si="116"/>
        <v>RIP</v>
      </c>
      <c r="B1479" t="s">
        <v>1485</v>
      </c>
      <c r="C1479">
        <v>1.0772686149999999</v>
      </c>
      <c r="D1479">
        <v>0.108713</v>
      </c>
      <c r="E1479">
        <v>0.68250785599999997</v>
      </c>
      <c r="F1479">
        <v>0.43415874700000001</v>
      </c>
      <c r="G1479">
        <v>0.76833598999999997</v>
      </c>
      <c r="H1479">
        <v>4.3899999999999997</v>
      </c>
      <c r="I1479">
        <v>3.7907157830914899</v>
      </c>
      <c r="J1479">
        <v>3.9775270327719099</v>
      </c>
      <c r="K1479">
        <v>3.5117094144233998</v>
      </c>
      <c r="L1479">
        <v>3.56009067803293</v>
      </c>
      <c r="M1479">
        <v>3.8841214079316999</v>
      </c>
      <c r="N1479">
        <v>3.8829981329897101</v>
      </c>
      <c r="Q1479">
        <f t="shared" si="115"/>
        <v>4.3899999999999997</v>
      </c>
      <c r="R1479">
        <f t="shared" si="117"/>
        <v>3.9333342921148473</v>
      </c>
      <c r="S1479">
        <f t="shared" si="118"/>
        <v>0.45666570788515237</v>
      </c>
      <c r="T1479">
        <f t="shared" si="119"/>
        <v>0.20854356875824731</v>
      </c>
    </row>
    <row r="1480" spans="1:20" hidden="1" x14ac:dyDescent="0.25">
      <c r="A1480" t="str">
        <f t="shared" si="116"/>
        <v>RIP</v>
      </c>
      <c r="B1480" t="s">
        <v>1486</v>
      </c>
      <c r="C1480">
        <v>0.92595190299999997</v>
      </c>
      <c r="D1480">
        <v>0.10490427200000001</v>
      </c>
      <c r="E1480">
        <v>0.68282181200000003</v>
      </c>
      <c r="F1480">
        <v>0.44064565</v>
      </c>
      <c r="G1480">
        <v>0.76558559999999998</v>
      </c>
      <c r="H1480">
        <v>4.0999999999999996</v>
      </c>
      <c r="I1480">
        <v>3.8059315190873901</v>
      </c>
      <c r="J1480">
        <v>3.8762523148243599</v>
      </c>
      <c r="K1480">
        <v>3.9435422239308502</v>
      </c>
      <c r="L1480">
        <v>4.0118923558741804</v>
      </c>
      <c r="M1480">
        <v>3.8410919169558699</v>
      </c>
      <c r="N1480">
        <v>3.84093098882621</v>
      </c>
      <c r="Q1480">
        <f t="shared" si="115"/>
        <v>4.0999999999999996</v>
      </c>
      <c r="R1480">
        <f t="shared" si="117"/>
        <v>3.9103018292539882</v>
      </c>
      <c r="S1480">
        <f t="shared" si="118"/>
        <v>0.18969817074601147</v>
      </c>
      <c r="T1480">
        <f t="shared" si="119"/>
        <v>3.5985395984382926E-2</v>
      </c>
    </row>
    <row r="1481" spans="1:20" hidden="1" x14ac:dyDescent="0.25">
      <c r="A1481" t="str">
        <f t="shared" si="116"/>
        <v>RIP</v>
      </c>
      <c r="B1481" t="s">
        <v>1487</v>
      </c>
      <c r="C1481">
        <v>0.72572624799999996</v>
      </c>
      <c r="D1481">
        <v>0.107050639</v>
      </c>
      <c r="E1481">
        <v>0.65694006500000002</v>
      </c>
      <c r="F1481">
        <v>0.31538904699999998</v>
      </c>
      <c r="G1481">
        <v>0.74320455699999999</v>
      </c>
      <c r="H1481">
        <v>3.99</v>
      </c>
      <c r="I1481">
        <v>3.5526428388657099</v>
      </c>
      <c r="J1481">
        <v>3.7183227895303501</v>
      </c>
      <c r="K1481">
        <v>3.3553556984738999</v>
      </c>
      <c r="L1481">
        <v>3.1362492269710298</v>
      </c>
      <c r="M1481">
        <v>3.63548281419803</v>
      </c>
      <c r="N1481">
        <v>3.6345388745776499</v>
      </c>
      <c r="Q1481">
        <f t="shared" si="115"/>
        <v>3.99</v>
      </c>
      <c r="R1481">
        <f t="shared" si="117"/>
        <v>3.695111318798336</v>
      </c>
      <c r="S1481">
        <f t="shared" si="118"/>
        <v>0.29488868120166423</v>
      </c>
      <c r="T1481">
        <f t="shared" si="119"/>
        <v>8.6959334300856755E-2</v>
      </c>
    </row>
    <row r="1482" spans="1:20" hidden="1" x14ac:dyDescent="0.25">
      <c r="A1482" t="str">
        <f t="shared" si="116"/>
        <v>RIP</v>
      </c>
      <c r="B1482" t="s">
        <v>1488</v>
      </c>
      <c r="C1482">
        <v>0.85912534699999998</v>
      </c>
      <c r="D1482">
        <v>0.113100245</v>
      </c>
      <c r="E1482">
        <v>0.68769850200000004</v>
      </c>
      <c r="F1482">
        <v>0.37982324499999998</v>
      </c>
      <c r="G1482">
        <v>0.76916519400000005</v>
      </c>
      <c r="H1482">
        <v>4.18</v>
      </c>
      <c r="I1482">
        <v>4.0547859823478003</v>
      </c>
      <c r="J1482">
        <v>4.4047532559163898</v>
      </c>
      <c r="K1482">
        <v>3.7003275782768901</v>
      </c>
      <c r="L1482">
        <v>3.6074224594409099</v>
      </c>
      <c r="M1482">
        <v>4.2297696191321004</v>
      </c>
      <c r="N1482">
        <v>4.2261485726120203</v>
      </c>
      <c r="Q1482">
        <f t="shared" si="115"/>
        <v>4.18</v>
      </c>
      <c r="R1482">
        <f t="shared" si="117"/>
        <v>4.2999501383570475</v>
      </c>
      <c r="S1482">
        <f t="shared" si="118"/>
        <v>-0.11995013835704782</v>
      </c>
      <c r="T1482">
        <f t="shared" si="119"/>
        <v>1.4388035691874915E-2</v>
      </c>
    </row>
    <row r="1483" spans="1:20" hidden="1" x14ac:dyDescent="0.25">
      <c r="A1483" t="str">
        <f t="shared" si="116"/>
        <v>RIP</v>
      </c>
      <c r="B1483" t="s">
        <v>1489</v>
      </c>
      <c r="C1483">
        <v>0.940774467</v>
      </c>
      <c r="D1483">
        <v>0.108408197</v>
      </c>
      <c r="E1483">
        <v>0.69242186500000003</v>
      </c>
      <c r="F1483">
        <v>0.42057963799999998</v>
      </c>
      <c r="G1483">
        <v>0.77247531599999997</v>
      </c>
      <c r="H1483">
        <v>3.18</v>
      </c>
      <c r="I1483">
        <v>3.8567258120801999</v>
      </c>
      <c r="J1483">
        <v>4.0584978232412601</v>
      </c>
      <c r="K1483">
        <v>3.7457488351507799</v>
      </c>
      <c r="L1483">
        <v>3.7588769968126599</v>
      </c>
      <c r="M1483">
        <v>3.9576118176607298</v>
      </c>
      <c r="N1483">
        <v>3.9563257339564299</v>
      </c>
      <c r="Q1483">
        <f t="shared" si="115"/>
        <v>3.18</v>
      </c>
      <c r="R1483">
        <f t="shared" si="117"/>
        <v>4.0397418829924021</v>
      </c>
      <c r="S1483">
        <f t="shared" si="118"/>
        <v>-0.85974188299240195</v>
      </c>
      <c r="T1483">
        <f t="shared" si="119"/>
        <v>0.73915610537132093</v>
      </c>
    </row>
    <row r="1484" spans="1:20" hidden="1" x14ac:dyDescent="0.25">
      <c r="A1484" t="str">
        <f t="shared" si="116"/>
        <v>RIP</v>
      </c>
      <c r="B1484" t="s">
        <v>1490</v>
      </c>
      <c r="C1484">
        <v>0.93206485699999997</v>
      </c>
      <c r="D1484">
        <v>0.109069876</v>
      </c>
      <c r="E1484">
        <v>0.67274886199999995</v>
      </c>
      <c r="F1484">
        <v>0.38916545400000002</v>
      </c>
      <c r="G1484">
        <v>0.75450709500000002</v>
      </c>
      <c r="H1484">
        <v>2.93</v>
      </c>
      <c r="I1484">
        <v>3.7329519973250598</v>
      </c>
      <c r="J1484">
        <v>3.96795453911465</v>
      </c>
      <c r="K1484">
        <v>3.5431307266112402</v>
      </c>
      <c r="L1484">
        <v>3.45835203869221</v>
      </c>
      <c r="M1484">
        <v>3.85045326821986</v>
      </c>
      <c r="N1484">
        <v>3.84866000344056</v>
      </c>
      <c r="Q1484">
        <f t="shared" si="115"/>
        <v>2.93</v>
      </c>
      <c r="R1484">
        <f t="shared" si="117"/>
        <v>3.9217729648927202</v>
      </c>
      <c r="S1484">
        <f t="shared" si="118"/>
        <v>-0.99177296489272004</v>
      </c>
      <c r="T1484">
        <f t="shared" si="119"/>
        <v>0.98361361389209645</v>
      </c>
    </row>
    <row r="1485" spans="1:20" hidden="1" x14ac:dyDescent="0.25">
      <c r="A1485" t="str">
        <f t="shared" si="116"/>
        <v>RIP</v>
      </c>
      <c r="B1485" t="s">
        <v>1491</v>
      </c>
      <c r="C1485">
        <v>0.97781258500000001</v>
      </c>
      <c r="D1485">
        <v>0.108893751</v>
      </c>
      <c r="E1485">
        <v>0.64899369299999998</v>
      </c>
      <c r="F1485">
        <v>0.39941074799999998</v>
      </c>
      <c r="G1485">
        <v>0.72103375700000005</v>
      </c>
      <c r="H1485">
        <v>4.25</v>
      </c>
      <c r="I1485">
        <v>3.62433431838791</v>
      </c>
      <c r="J1485">
        <v>3.9009704711428199</v>
      </c>
      <c r="K1485">
        <v>3.4879932924418098</v>
      </c>
      <c r="L1485">
        <v>3.4204155373458298</v>
      </c>
      <c r="M1485">
        <v>3.7626523947653698</v>
      </c>
      <c r="N1485">
        <v>3.7601091943693401</v>
      </c>
      <c r="Q1485">
        <f t="shared" si="115"/>
        <v>4.25</v>
      </c>
      <c r="R1485">
        <f t="shared" si="117"/>
        <v>3.8522299536103244</v>
      </c>
      <c r="S1485">
        <f t="shared" si="118"/>
        <v>0.39777004638967561</v>
      </c>
      <c r="T1485">
        <f t="shared" si="119"/>
        <v>0.15822100980484469</v>
      </c>
    </row>
    <row r="1486" spans="1:20" hidden="1" x14ac:dyDescent="0.25">
      <c r="A1486" t="str">
        <f t="shared" si="116"/>
        <v>RIP</v>
      </c>
      <c r="B1486" t="s">
        <v>1492</v>
      </c>
      <c r="C1486">
        <v>0.97564781</v>
      </c>
      <c r="D1486">
        <v>0.10407353499999999</v>
      </c>
      <c r="E1486">
        <v>0.67667514500000003</v>
      </c>
      <c r="F1486">
        <v>0.43048685799999997</v>
      </c>
      <c r="G1486">
        <v>0.75006245599999999</v>
      </c>
      <c r="H1486">
        <v>3.75</v>
      </c>
      <c r="I1486">
        <v>3.6013180706797101</v>
      </c>
      <c r="J1486">
        <v>3.7242160012907002</v>
      </c>
      <c r="K1486">
        <v>3.6418034547163201</v>
      </c>
      <c r="L1486">
        <v>3.6521166308820998</v>
      </c>
      <c r="M1486">
        <v>3.66276703598521</v>
      </c>
      <c r="N1486">
        <v>3.6622515457792799</v>
      </c>
      <c r="Q1486">
        <f t="shared" si="115"/>
        <v>3.75</v>
      </c>
      <c r="R1486">
        <f t="shared" si="117"/>
        <v>3.7482725596311095</v>
      </c>
      <c r="S1486">
        <f t="shared" si="118"/>
        <v>1.7274403688904982E-3</v>
      </c>
      <c r="T1486">
        <f t="shared" si="119"/>
        <v>2.9840502280725406E-6</v>
      </c>
    </row>
    <row r="1487" spans="1:20" hidden="1" x14ac:dyDescent="0.25">
      <c r="A1487" t="str">
        <f t="shared" si="116"/>
        <v>RIP</v>
      </c>
      <c r="B1487" t="s">
        <v>1493</v>
      </c>
      <c r="C1487">
        <v>1.044442493</v>
      </c>
      <c r="D1487">
        <v>0.11030063499999999</v>
      </c>
      <c r="E1487">
        <v>0.68287099299999998</v>
      </c>
      <c r="F1487">
        <v>0.42523228099999999</v>
      </c>
      <c r="G1487">
        <v>0.76239611600000001</v>
      </c>
      <c r="H1487">
        <v>3.7</v>
      </c>
      <c r="I1487">
        <v>3.8173821419915099</v>
      </c>
      <c r="J1487">
        <v>4.1109061846684902</v>
      </c>
      <c r="K1487">
        <v>3.4985981566595301</v>
      </c>
      <c r="L1487">
        <v>3.5086034139260298</v>
      </c>
      <c r="M1487">
        <v>3.9641441633299999</v>
      </c>
      <c r="N1487">
        <v>3.9614264926609399</v>
      </c>
      <c r="Q1487">
        <f t="shared" si="115"/>
        <v>3.7</v>
      </c>
      <c r="R1487">
        <f t="shared" si="117"/>
        <v>4.045380925483248</v>
      </c>
      <c r="S1487">
        <f t="shared" si="118"/>
        <v>-0.34538092548324784</v>
      </c>
      <c r="T1487">
        <f t="shared" si="119"/>
        <v>0.1192879836876648</v>
      </c>
    </row>
    <row r="1488" spans="1:20" hidden="1" x14ac:dyDescent="0.25">
      <c r="A1488" t="str">
        <f t="shared" si="116"/>
        <v>RIP</v>
      </c>
      <c r="B1488" t="s">
        <v>1494</v>
      </c>
      <c r="C1488">
        <v>0.87472146699999997</v>
      </c>
      <c r="D1488">
        <v>0.108486123</v>
      </c>
      <c r="E1488">
        <v>0.686975487</v>
      </c>
      <c r="F1488">
        <v>0.37987932400000002</v>
      </c>
      <c r="G1488">
        <v>0.76949480100000001</v>
      </c>
      <c r="H1488">
        <v>3.55</v>
      </c>
      <c r="I1488">
        <v>3.7714003798482301</v>
      </c>
      <c r="J1488">
        <v>3.9710454816195999</v>
      </c>
      <c r="K1488">
        <v>3.4858144904465398</v>
      </c>
      <c r="L1488">
        <v>3.3487942977330798</v>
      </c>
      <c r="M1488">
        <v>3.8712229307339201</v>
      </c>
      <c r="N1488">
        <v>3.86993571494085</v>
      </c>
      <c r="Q1488">
        <f t="shared" si="115"/>
        <v>3.55</v>
      </c>
      <c r="R1488">
        <f t="shared" si="117"/>
        <v>3.9400951760182634</v>
      </c>
      <c r="S1488">
        <f t="shared" si="118"/>
        <v>-0.3900951760182636</v>
      </c>
      <c r="T1488">
        <f t="shared" si="119"/>
        <v>0.15217424635272006</v>
      </c>
    </row>
    <row r="1489" spans="1:20" hidden="1" x14ac:dyDescent="0.25">
      <c r="A1489" t="str">
        <f t="shared" si="116"/>
        <v>RIP</v>
      </c>
      <c r="B1489" t="s">
        <v>1495</v>
      </c>
      <c r="C1489">
        <v>0.91599529000000002</v>
      </c>
      <c r="D1489">
        <v>0.110466484</v>
      </c>
      <c r="E1489">
        <v>0.69100289400000003</v>
      </c>
      <c r="F1489">
        <v>0.41555038</v>
      </c>
      <c r="G1489">
        <v>0.77540727899999995</v>
      </c>
      <c r="H1489">
        <v>4.2699999999999996</v>
      </c>
      <c r="I1489">
        <v>4.0290478692609701</v>
      </c>
      <c r="J1489">
        <v>4.2338323436601701</v>
      </c>
      <c r="K1489">
        <v>3.6936641632700198</v>
      </c>
      <c r="L1489">
        <v>3.6651415790888602</v>
      </c>
      <c r="M1489">
        <v>4.1314401064605697</v>
      </c>
      <c r="N1489">
        <v>4.1301710839906098</v>
      </c>
      <c r="Q1489">
        <f t="shared" si="115"/>
        <v>4.2699999999999996</v>
      </c>
      <c r="R1489">
        <f t="shared" si="117"/>
        <v>4.1877160192095033</v>
      </c>
      <c r="S1489">
        <f t="shared" si="118"/>
        <v>8.2283980790496258E-2</v>
      </c>
      <c r="T1489">
        <f t="shared" si="119"/>
        <v>6.770653494730757E-3</v>
      </c>
    </row>
    <row r="1490" spans="1:20" hidden="1" x14ac:dyDescent="0.25">
      <c r="A1490" t="str">
        <f t="shared" si="116"/>
        <v>RIP</v>
      </c>
      <c r="B1490" t="s">
        <v>1496</v>
      </c>
      <c r="C1490">
        <v>0.836907709</v>
      </c>
      <c r="D1490">
        <v>0.108183842</v>
      </c>
      <c r="E1490">
        <v>0.68301374199999998</v>
      </c>
      <c r="F1490">
        <v>0.37310716100000002</v>
      </c>
      <c r="G1490">
        <v>0.76274422799999997</v>
      </c>
      <c r="H1490">
        <v>4.17</v>
      </c>
      <c r="I1490">
        <v>3.7402606487831802</v>
      </c>
      <c r="J1490">
        <v>3.95287537796739</v>
      </c>
      <c r="K1490">
        <v>3.6034016977542001</v>
      </c>
      <c r="L1490">
        <v>3.4473982789484499</v>
      </c>
      <c r="M1490">
        <v>3.84656801337528</v>
      </c>
      <c r="N1490">
        <v>3.84509872769938</v>
      </c>
      <c r="Q1490">
        <f t="shared" si="115"/>
        <v>4.17</v>
      </c>
      <c r="R1490">
        <f t="shared" si="117"/>
        <v>3.9294635977866976</v>
      </c>
      <c r="S1490">
        <f t="shared" si="118"/>
        <v>0.2405364022133023</v>
      </c>
      <c r="T1490">
        <f t="shared" si="119"/>
        <v>5.7857760789719541E-2</v>
      </c>
    </row>
    <row r="1491" spans="1:20" hidden="1" x14ac:dyDescent="0.25">
      <c r="A1491" t="str">
        <f t="shared" si="116"/>
        <v>RIP</v>
      </c>
      <c r="B1491" t="s">
        <v>1497</v>
      </c>
      <c r="C1491">
        <v>1.1682911439999999</v>
      </c>
      <c r="D1491">
        <v>0.100779824</v>
      </c>
      <c r="E1491">
        <v>0.690549623</v>
      </c>
      <c r="F1491">
        <v>0.46287759000000001</v>
      </c>
      <c r="G1491">
        <v>0.78111534100000002</v>
      </c>
      <c r="H1491">
        <v>3.58</v>
      </c>
      <c r="I1491">
        <v>3.4541898065805299</v>
      </c>
      <c r="J1491">
        <v>3.4790058693243702</v>
      </c>
      <c r="K1491">
        <v>3.4376640307605699</v>
      </c>
      <c r="L1491">
        <v>3.5670407542514799</v>
      </c>
      <c r="M1491">
        <v>3.4665978379524498</v>
      </c>
      <c r="N1491">
        <v>3.4665756317804601</v>
      </c>
      <c r="Q1491">
        <f t="shared" si="115"/>
        <v>3.58</v>
      </c>
      <c r="R1491">
        <f t="shared" si="117"/>
        <v>3.5062333512862907</v>
      </c>
      <c r="S1491">
        <f t="shared" si="118"/>
        <v>7.3766648713709415E-2</v>
      </c>
      <c r="T1491">
        <f t="shared" si="119"/>
        <v>5.4415184624518071E-3</v>
      </c>
    </row>
    <row r="1492" spans="1:20" hidden="1" x14ac:dyDescent="0.25">
      <c r="A1492" t="str">
        <f t="shared" si="116"/>
        <v>RIP</v>
      </c>
      <c r="B1492" t="s">
        <v>1498</v>
      </c>
      <c r="C1492">
        <v>1.358880632</v>
      </c>
      <c r="D1492">
        <v>0.103232802</v>
      </c>
      <c r="E1492">
        <v>0.69133451800000001</v>
      </c>
      <c r="F1492">
        <v>0.48803950600000001</v>
      </c>
      <c r="G1492">
        <v>0.77504717300000003</v>
      </c>
      <c r="H1492">
        <v>3.86</v>
      </c>
      <c r="I1492">
        <v>3.3795566424094599</v>
      </c>
      <c r="J1492">
        <v>3.5258800302739499</v>
      </c>
      <c r="K1492">
        <v>3.14466893222929</v>
      </c>
      <c r="L1492">
        <v>3.3106403366100801</v>
      </c>
      <c r="M1492">
        <v>3.45271833634171</v>
      </c>
      <c r="N1492">
        <v>3.4519431160798701</v>
      </c>
      <c r="Q1492">
        <f t="shared" si="115"/>
        <v>3.86</v>
      </c>
      <c r="R1492">
        <f t="shared" si="117"/>
        <v>3.5109338028491859</v>
      </c>
      <c r="S1492">
        <f t="shared" si="118"/>
        <v>0.34906619715081399</v>
      </c>
      <c r="T1492">
        <f t="shared" si="119"/>
        <v>0.12184720999333094</v>
      </c>
    </row>
    <row r="1493" spans="1:20" hidden="1" x14ac:dyDescent="0.25">
      <c r="A1493" t="str">
        <f t="shared" si="116"/>
        <v>RIP</v>
      </c>
      <c r="B1493" t="s">
        <v>1499</v>
      </c>
      <c r="C1493">
        <v>1.276189601</v>
      </c>
      <c r="D1493">
        <v>0.104414348</v>
      </c>
      <c r="E1493">
        <v>0.67607959500000003</v>
      </c>
      <c r="F1493">
        <v>0.456495131</v>
      </c>
      <c r="G1493">
        <v>0.76226254000000004</v>
      </c>
      <c r="H1493">
        <v>4.37</v>
      </c>
      <c r="I1493">
        <v>3.40107736206622</v>
      </c>
      <c r="J1493">
        <v>3.5399935811058798</v>
      </c>
      <c r="K1493">
        <v>3.19539943760652</v>
      </c>
      <c r="L1493">
        <v>3.30944334747449</v>
      </c>
      <c r="M1493">
        <v>3.4705354715860501</v>
      </c>
      <c r="N1493">
        <v>3.4698403465518299</v>
      </c>
      <c r="Q1493">
        <f t="shared" si="115"/>
        <v>4.37</v>
      </c>
      <c r="R1493">
        <f t="shared" si="117"/>
        <v>3.5128198077903052</v>
      </c>
      <c r="S1493">
        <f t="shared" si="118"/>
        <v>0.85718019220969488</v>
      </c>
      <c r="T1493">
        <f t="shared" si="119"/>
        <v>0.73475788191664948</v>
      </c>
    </row>
    <row r="1494" spans="1:20" hidden="1" x14ac:dyDescent="0.25">
      <c r="A1494" t="str">
        <f t="shared" si="116"/>
        <v>RIP</v>
      </c>
      <c r="B1494" t="s">
        <v>1500</v>
      </c>
      <c r="C1494">
        <v>1.2604988429999999</v>
      </c>
      <c r="D1494">
        <v>0.105492718</v>
      </c>
      <c r="E1494">
        <v>0.67360240999999998</v>
      </c>
      <c r="F1494">
        <v>0.45039364700000001</v>
      </c>
      <c r="G1494">
        <v>0.75834254499999998</v>
      </c>
      <c r="H1494">
        <v>3.29</v>
      </c>
      <c r="I1494">
        <v>3.4304971939837099</v>
      </c>
      <c r="J1494">
        <v>3.60025159286393</v>
      </c>
      <c r="K1494">
        <v>3.3227209378532199</v>
      </c>
      <c r="L1494">
        <v>3.4544472302181002</v>
      </c>
      <c r="M1494">
        <v>3.5153743934238202</v>
      </c>
      <c r="N1494">
        <v>3.5143495823487898</v>
      </c>
      <c r="Q1494">
        <f t="shared" si="115"/>
        <v>3.29</v>
      </c>
      <c r="R1494">
        <f t="shared" si="117"/>
        <v>3.562718662216029</v>
      </c>
      <c r="S1494">
        <f t="shared" si="118"/>
        <v>-0.27271866221602892</v>
      </c>
      <c r="T1494">
        <f t="shared" si="119"/>
        <v>7.4375468720900478E-2</v>
      </c>
    </row>
    <row r="1495" spans="1:20" hidden="1" x14ac:dyDescent="0.25">
      <c r="A1495" t="str">
        <f t="shared" si="116"/>
        <v>RIP</v>
      </c>
      <c r="B1495" t="s">
        <v>1501</v>
      </c>
      <c r="C1495">
        <v>1.3331367249999999</v>
      </c>
      <c r="D1495">
        <v>0.100761423</v>
      </c>
      <c r="E1495">
        <v>0.66925119300000002</v>
      </c>
      <c r="F1495">
        <v>0.40987456</v>
      </c>
      <c r="G1495">
        <v>0.74884926799999996</v>
      </c>
      <c r="H1495">
        <v>3.22</v>
      </c>
      <c r="I1495">
        <v>2.89971623362581</v>
      </c>
      <c r="J1495">
        <v>3.0814737673471799</v>
      </c>
      <c r="K1495">
        <v>2.92509963850712</v>
      </c>
      <c r="L1495">
        <v>2.97981754941731</v>
      </c>
      <c r="M1495">
        <v>2.9905950004864899</v>
      </c>
      <c r="N1495">
        <v>2.9892138609789498</v>
      </c>
      <c r="Q1495">
        <f t="shared" si="115"/>
        <v>3.22</v>
      </c>
      <c r="R1495">
        <f t="shared" si="117"/>
        <v>3.0398238858322904</v>
      </c>
      <c r="S1495">
        <f t="shared" si="118"/>
        <v>0.18017611416770984</v>
      </c>
      <c r="T1495">
        <f t="shared" si="119"/>
        <v>3.2463432116575611E-2</v>
      </c>
    </row>
    <row r="1496" spans="1:20" hidden="1" x14ac:dyDescent="0.25">
      <c r="A1496" t="str">
        <f t="shared" si="116"/>
        <v>RIP</v>
      </c>
      <c r="B1496" t="s">
        <v>1502</v>
      </c>
      <c r="C1496">
        <v>1.2621959920000001</v>
      </c>
      <c r="D1496">
        <v>0.101073707</v>
      </c>
      <c r="E1496">
        <v>0.69325269599999995</v>
      </c>
      <c r="F1496">
        <v>0.47171947199999997</v>
      </c>
      <c r="G1496">
        <v>0.78248983400000005</v>
      </c>
      <c r="H1496">
        <v>4.42</v>
      </c>
      <c r="I1496">
        <v>3.3774289375848001</v>
      </c>
      <c r="J1496">
        <v>3.4387481070690198</v>
      </c>
      <c r="K1496">
        <v>3.1254099571917702</v>
      </c>
      <c r="L1496">
        <v>3.1688375040516399</v>
      </c>
      <c r="M1496">
        <v>3.40808852232691</v>
      </c>
      <c r="N1496">
        <v>3.4079506108334199</v>
      </c>
      <c r="Q1496">
        <f t="shared" si="115"/>
        <v>4.42</v>
      </c>
      <c r="R1496">
        <f t="shared" si="117"/>
        <v>3.449649507576686</v>
      </c>
      <c r="S1496">
        <f t="shared" si="118"/>
        <v>0.97035049242331395</v>
      </c>
      <c r="T1496">
        <f t="shared" si="119"/>
        <v>0.94158007814616784</v>
      </c>
    </row>
    <row r="1497" spans="1:20" hidden="1" x14ac:dyDescent="0.25">
      <c r="A1497" t="str">
        <f t="shared" si="116"/>
        <v>RIP</v>
      </c>
      <c r="B1497" t="s">
        <v>1503</v>
      </c>
      <c r="C1497">
        <v>1.358668419</v>
      </c>
      <c r="D1497">
        <v>0.10006090500000001</v>
      </c>
      <c r="E1497">
        <v>0.68554110199999996</v>
      </c>
      <c r="F1497">
        <v>0.46581992799999999</v>
      </c>
      <c r="G1497">
        <v>0.77756139199999996</v>
      </c>
      <c r="H1497">
        <v>4.17</v>
      </c>
      <c r="I1497">
        <v>3.1906044756690499</v>
      </c>
      <c r="J1497">
        <v>3.2513100168724498</v>
      </c>
      <c r="K1497">
        <v>2.9953010769807999</v>
      </c>
      <c r="L1497">
        <v>3.0938182162088501</v>
      </c>
      <c r="M1497">
        <v>3.2209572462707499</v>
      </c>
      <c r="N1497">
        <v>3.2208142280517902</v>
      </c>
      <c r="Q1497">
        <f t="shared" si="115"/>
        <v>4.17</v>
      </c>
      <c r="R1497">
        <f t="shared" si="117"/>
        <v>3.2436279784222988</v>
      </c>
      <c r="S1497">
        <f t="shared" si="118"/>
        <v>0.92637202157770115</v>
      </c>
      <c r="T1497">
        <f t="shared" si="119"/>
        <v>0.85816512236195686</v>
      </c>
    </row>
    <row r="1498" spans="1:20" hidden="1" x14ac:dyDescent="0.25">
      <c r="A1498" t="str">
        <f t="shared" si="116"/>
        <v>RIP</v>
      </c>
      <c r="B1498" t="s">
        <v>1504</v>
      </c>
      <c r="C1498">
        <v>1.1467149590000001</v>
      </c>
      <c r="D1498">
        <v>0.108703693</v>
      </c>
      <c r="E1498">
        <v>0.67552878699999996</v>
      </c>
      <c r="F1498">
        <v>0.44547110899999998</v>
      </c>
      <c r="G1498">
        <v>0.77073796999999999</v>
      </c>
      <c r="H1498">
        <v>4.1399999999999997</v>
      </c>
      <c r="I1498">
        <v>3.8457170470422399</v>
      </c>
      <c r="J1498">
        <v>3.9358018872043701</v>
      </c>
      <c r="K1498">
        <v>3.46992408068775</v>
      </c>
      <c r="L1498">
        <v>3.5518312733798698</v>
      </c>
      <c r="M1498">
        <v>3.8907594671233099</v>
      </c>
      <c r="N1498">
        <v>3.89049873556114</v>
      </c>
      <c r="Q1498">
        <f t="shared" si="115"/>
        <v>4.1399999999999997</v>
      </c>
      <c r="R1498">
        <f t="shared" si="117"/>
        <v>3.8833963775027209</v>
      </c>
      <c r="S1498">
        <f t="shared" si="118"/>
        <v>0.25660362249727875</v>
      </c>
      <c r="T1498">
        <f t="shared" si="119"/>
        <v>6.5845419078725945E-2</v>
      </c>
    </row>
    <row r="1499" spans="1:20" hidden="1" x14ac:dyDescent="0.25">
      <c r="A1499" t="str">
        <f t="shared" si="116"/>
        <v>RIP</v>
      </c>
      <c r="B1499" t="s">
        <v>1505</v>
      </c>
      <c r="C1499">
        <v>1.0311624749999999</v>
      </c>
      <c r="D1499">
        <v>0.10824392100000001</v>
      </c>
      <c r="E1499">
        <v>0.68550065800000004</v>
      </c>
      <c r="F1499">
        <v>0.44803102500000003</v>
      </c>
      <c r="G1499">
        <v>0.77902174499999999</v>
      </c>
      <c r="H1499">
        <v>3.78</v>
      </c>
      <c r="I1499">
        <v>3.9888175999021498</v>
      </c>
      <c r="J1499">
        <v>4.0431097250781001</v>
      </c>
      <c r="K1499">
        <v>3.5424375372247998</v>
      </c>
      <c r="L1499">
        <v>3.57399765880777</v>
      </c>
      <c r="M1499">
        <v>4.0159636624901198</v>
      </c>
      <c r="N1499">
        <v>4.0158719140090904</v>
      </c>
      <c r="Q1499">
        <f t="shared" si="115"/>
        <v>3.78</v>
      </c>
      <c r="R1499">
        <f t="shared" si="117"/>
        <v>4.0235413050168427</v>
      </c>
      <c r="S1499">
        <f t="shared" si="118"/>
        <v>-0.2435413050168429</v>
      </c>
      <c r="T1499">
        <f t="shared" si="119"/>
        <v>5.9312367249306906E-2</v>
      </c>
    </row>
    <row r="1500" spans="1:20" hidden="1" x14ac:dyDescent="0.25">
      <c r="A1500" t="str">
        <f t="shared" si="116"/>
        <v>RIP</v>
      </c>
      <c r="B1500" t="s">
        <v>1506</v>
      </c>
      <c r="C1500">
        <v>1.2295924380000001</v>
      </c>
      <c r="D1500">
        <v>0.10811728499999999</v>
      </c>
      <c r="E1500">
        <v>0.69298853199999999</v>
      </c>
      <c r="F1500">
        <v>0.429449046</v>
      </c>
      <c r="G1500">
        <v>0.78417305500000001</v>
      </c>
      <c r="H1500">
        <v>4.2699999999999996</v>
      </c>
      <c r="I1500">
        <v>3.6244567647107999</v>
      </c>
      <c r="J1500">
        <v>3.78053885309685</v>
      </c>
      <c r="K1500">
        <v>2.9809763747328102</v>
      </c>
      <c r="L1500">
        <v>2.9864328763717398</v>
      </c>
      <c r="M1500">
        <v>3.7024978089038298</v>
      </c>
      <c r="N1500">
        <v>3.7016752451233401</v>
      </c>
      <c r="Q1500">
        <f t="shared" si="115"/>
        <v>4.2699999999999996</v>
      </c>
      <c r="R1500">
        <f t="shared" si="117"/>
        <v>3.7091881226832379</v>
      </c>
      <c r="S1500">
        <f t="shared" si="118"/>
        <v>0.56081187731676163</v>
      </c>
      <c r="T1500">
        <f t="shared" si="119"/>
        <v>0.31450996173955048</v>
      </c>
    </row>
    <row r="1501" spans="1:20" hidden="1" x14ac:dyDescent="0.25">
      <c r="A1501" t="str">
        <f t="shared" si="116"/>
        <v>RIP</v>
      </c>
      <c r="B1501" t="s">
        <v>1507</v>
      </c>
      <c r="C1501">
        <v>1.0895977569999999</v>
      </c>
      <c r="D1501">
        <v>0.106515727</v>
      </c>
      <c r="E1501">
        <v>0.685259065</v>
      </c>
      <c r="F1501">
        <v>0.42058328499999997</v>
      </c>
      <c r="G1501">
        <v>0.76929710900000003</v>
      </c>
      <c r="H1501">
        <v>4</v>
      </c>
      <c r="I1501">
        <v>3.5799954243024801</v>
      </c>
      <c r="J1501">
        <v>3.7542834393464299</v>
      </c>
      <c r="K1501">
        <v>3.3006669605957799</v>
      </c>
      <c r="L1501">
        <v>3.2934030312526499</v>
      </c>
      <c r="M1501">
        <v>3.6671394318244501</v>
      </c>
      <c r="N1501">
        <v>3.6661038630124501</v>
      </c>
      <c r="Q1501">
        <f t="shared" si="115"/>
        <v>4</v>
      </c>
      <c r="R1501">
        <f t="shared" si="117"/>
        <v>3.7253755262386474</v>
      </c>
      <c r="S1501">
        <f t="shared" si="118"/>
        <v>0.27462447376135257</v>
      </c>
      <c r="T1501">
        <f t="shared" si="119"/>
        <v>7.5418601588699827E-2</v>
      </c>
    </row>
    <row r="1502" spans="1:20" hidden="1" x14ac:dyDescent="0.25">
      <c r="A1502" t="str">
        <f t="shared" si="116"/>
        <v>RIP</v>
      </c>
      <c r="B1502" t="s">
        <v>1508</v>
      </c>
      <c r="C1502">
        <v>0.92849442199999999</v>
      </c>
      <c r="D1502">
        <v>0.110132415</v>
      </c>
      <c r="E1502">
        <v>0.69810104500000003</v>
      </c>
      <c r="F1502">
        <v>0.41259664699999998</v>
      </c>
      <c r="G1502">
        <v>0.78763660599999996</v>
      </c>
      <c r="H1502">
        <v>3.96</v>
      </c>
      <c r="I1502">
        <v>4.07465081222119</v>
      </c>
      <c r="J1502">
        <v>4.1947518070884504</v>
      </c>
      <c r="K1502">
        <v>3.6655228088978902</v>
      </c>
      <c r="L1502">
        <v>3.6416438600964498</v>
      </c>
      <c r="M1502">
        <v>4.1347013096548197</v>
      </c>
      <c r="N1502">
        <v>4.1342652137736904</v>
      </c>
      <c r="Q1502">
        <f t="shared" si="115"/>
        <v>3.96</v>
      </c>
      <c r="R1502">
        <f t="shared" si="117"/>
        <v>4.14982611818969</v>
      </c>
      <c r="S1502">
        <f t="shared" si="118"/>
        <v>-0.18982611818969009</v>
      </c>
      <c r="T1502">
        <f t="shared" si="119"/>
        <v>3.6033955146966189E-2</v>
      </c>
    </row>
    <row r="1503" spans="1:20" hidden="1" x14ac:dyDescent="0.25">
      <c r="A1503" t="str">
        <f t="shared" si="116"/>
        <v>RIP</v>
      </c>
      <c r="B1503" t="s">
        <v>1509</v>
      </c>
      <c r="C1503">
        <v>0.84188851399999998</v>
      </c>
      <c r="D1503">
        <v>0.115513717</v>
      </c>
      <c r="E1503">
        <v>0.67202894800000001</v>
      </c>
      <c r="F1503">
        <v>0.40755740699999998</v>
      </c>
      <c r="G1503">
        <v>0.76233631899999998</v>
      </c>
      <c r="H1503">
        <v>3.61</v>
      </c>
      <c r="I1503">
        <v>4.4769353306054001</v>
      </c>
      <c r="J1503">
        <v>4.7636402639360904</v>
      </c>
      <c r="K1503">
        <v>3.92508337798427</v>
      </c>
      <c r="L1503">
        <v>3.9073330284471801</v>
      </c>
      <c r="M1503">
        <v>4.6202877972707501</v>
      </c>
      <c r="N1503">
        <v>4.6180633819719201</v>
      </c>
      <c r="Q1503">
        <f t="shared" si="115"/>
        <v>3.61</v>
      </c>
      <c r="R1503">
        <f t="shared" si="117"/>
        <v>4.6189092807755099</v>
      </c>
      <c r="S1503">
        <f t="shared" si="118"/>
        <v>-1.00890928077551</v>
      </c>
      <c r="T1503">
        <f t="shared" si="119"/>
        <v>1.017897936834957</v>
      </c>
    </row>
    <row r="1504" spans="1:20" hidden="1" x14ac:dyDescent="0.25">
      <c r="A1504" t="str">
        <f t="shared" si="116"/>
        <v>RIP</v>
      </c>
      <c r="B1504" t="s">
        <v>1510</v>
      </c>
      <c r="C1504">
        <v>1.1691172080000001</v>
      </c>
      <c r="D1504">
        <v>0.111945433</v>
      </c>
      <c r="E1504">
        <v>0.68354572199999997</v>
      </c>
      <c r="F1504">
        <v>0.40192391999999999</v>
      </c>
      <c r="G1504">
        <v>0.77345304699999995</v>
      </c>
      <c r="H1504">
        <v>3.48</v>
      </c>
      <c r="I1504">
        <v>3.7738857832560302</v>
      </c>
      <c r="J1504">
        <v>4.0526429818759704</v>
      </c>
      <c r="K1504">
        <v>3.11954611113278</v>
      </c>
      <c r="L1504">
        <v>3.1073651128614999</v>
      </c>
      <c r="M1504">
        <v>3.9132643825660001</v>
      </c>
      <c r="N1504">
        <v>3.9107814735566699</v>
      </c>
      <c r="Q1504">
        <f t="shared" si="115"/>
        <v>3.48</v>
      </c>
      <c r="R1504">
        <f t="shared" si="117"/>
        <v>3.9179832182533243</v>
      </c>
      <c r="S1504">
        <f t="shared" si="118"/>
        <v>-0.43798321825332431</v>
      </c>
      <c r="T1504">
        <f t="shared" si="119"/>
        <v>0.19182929947153912</v>
      </c>
    </row>
    <row r="1505" spans="1:20" hidden="1" x14ac:dyDescent="0.25">
      <c r="A1505" t="str">
        <f t="shared" si="116"/>
        <v>RIP</v>
      </c>
      <c r="B1505" t="s">
        <v>1511</v>
      </c>
      <c r="C1505">
        <v>0.94356125400000002</v>
      </c>
      <c r="D1505">
        <v>0.108442525</v>
      </c>
      <c r="E1505">
        <v>0.69089498999999999</v>
      </c>
      <c r="F1505">
        <v>0.41864030099999999</v>
      </c>
      <c r="G1505">
        <v>0.77128836999999995</v>
      </c>
      <c r="H1505">
        <v>3.71</v>
      </c>
      <c r="I1505">
        <v>3.8461113165593699</v>
      </c>
      <c r="J1505">
        <v>4.0484437121816601</v>
      </c>
      <c r="K1505">
        <v>3.7176673977127801</v>
      </c>
      <c r="L1505">
        <v>3.7214550145164802</v>
      </c>
      <c r="M1505">
        <v>3.9472775143705099</v>
      </c>
      <c r="N1505">
        <v>3.9459808889394701</v>
      </c>
      <c r="Q1505">
        <f t="shared" si="115"/>
        <v>3.71</v>
      </c>
      <c r="R1505">
        <f t="shared" si="117"/>
        <v>4.0273664070823791</v>
      </c>
      <c r="S1505">
        <f t="shared" si="118"/>
        <v>-0.31736640708237918</v>
      </c>
      <c r="T1505">
        <f t="shared" si="119"/>
        <v>0.10072143634437841</v>
      </c>
    </row>
    <row r="1506" spans="1:20" hidden="1" x14ac:dyDescent="0.25">
      <c r="A1506" t="str">
        <f t="shared" si="116"/>
        <v>RIP</v>
      </c>
      <c r="B1506" t="s">
        <v>1512</v>
      </c>
      <c r="C1506">
        <v>1.122486291</v>
      </c>
      <c r="D1506">
        <v>0.10054964</v>
      </c>
      <c r="E1506">
        <v>0.69366347399999995</v>
      </c>
      <c r="F1506">
        <v>0.492293643</v>
      </c>
      <c r="G1506">
        <v>0.77132399299999999</v>
      </c>
      <c r="H1506">
        <v>3.72</v>
      </c>
      <c r="I1506">
        <v>3.5726719223590302</v>
      </c>
      <c r="J1506">
        <v>3.6254805618914099</v>
      </c>
      <c r="K1506">
        <v>3.7022468324810101</v>
      </c>
      <c r="L1506">
        <v>3.8446763590422699</v>
      </c>
      <c r="M1506">
        <v>3.59907624212522</v>
      </c>
      <c r="N1506">
        <v>3.5989793842876998</v>
      </c>
      <c r="Q1506">
        <f t="shared" si="115"/>
        <v>3.72</v>
      </c>
      <c r="R1506">
        <f t="shared" si="117"/>
        <v>3.6821305749781805</v>
      </c>
      <c r="S1506">
        <f t="shared" si="118"/>
        <v>3.7869425021819669E-2</v>
      </c>
      <c r="T1506">
        <f t="shared" si="119"/>
        <v>1.4340933514832217E-3</v>
      </c>
    </row>
    <row r="1507" spans="1:20" hidden="1" x14ac:dyDescent="0.25">
      <c r="A1507" t="str">
        <f t="shared" si="116"/>
        <v>RIP</v>
      </c>
      <c r="B1507" t="s">
        <v>1513</v>
      </c>
      <c r="C1507">
        <v>1.0570695109999999</v>
      </c>
      <c r="D1507">
        <v>0.10297102499999999</v>
      </c>
      <c r="E1507">
        <v>0.69562731600000005</v>
      </c>
      <c r="F1507">
        <v>0.45850875899999999</v>
      </c>
      <c r="G1507">
        <v>0.768210489</v>
      </c>
      <c r="H1507">
        <v>3.35</v>
      </c>
      <c r="I1507">
        <v>3.5799940487261499</v>
      </c>
      <c r="J1507">
        <v>3.7108135095065098</v>
      </c>
      <c r="K1507">
        <v>3.55854869661322</v>
      </c>
      <c r="L1507">
        <v>3.61832728319551</v>
      </c>
      <c r="M1507">
        <v>3.6454037791163301</v>
      </c>
      <c r="N1507">
        <v>3.64481690623355</v>
      </c>
      <c r="Q1507">
        <f t="shared" si="115"/>
        <v>3.35</v>
      </c>
      <c r="R1507">
        <f t="shared" si="117"/>
        <v>3.7445198247397098</v>
      </c>
      <c r="S1507">
        <f t="shared" si="118"/>
        <v>-0.3945198247397097</v>
      </c>
      <c r="T1507">
        <f t="shared" si="119"/>
        <v>0.15564589211265126</v>
      </c>
    </row>
    <row r="1508" spans="1:20" hidden="1" x14ac:dyDescent="0.25">
      <c r="A1508" t="str">
        <f t="shared" si="116"/>
        <v>RIP</v>
      </c>
      <c r="B1508" t="s">
        <v>1514</v>
      </c>
      <c r="C1508">
        <v>1.069350171</v>
      </c>
      <c r="D1508">
        <v>0.11426167800000001</v>
      </c>
      <c r="E1508">
        <v>0.70359455400000004</v>
      </c>
      <c r="F1508">
        <v>0.48581962299999998</v>
      </c>
      <c r="G1508">
        <v>0.79323549599999998</v>
      </c>
      <c r="H1508">
        <v>3.74</v>
      </c>
      <c r="I1508">
        <v>4.56175947076669</v>
      </c>
      <c r="J1508">
        <v>4.7400162146638101</v>
      </c>
      <c r="K1508">
        <v>3.6998960656604201</v>
      </c>
      <c r="L1508">
        <v>3.8120851980652901</v>
      </c>
      <c r="M1508">
        <v>4.6508878427152496</v>
      </c>
      <c r="N1508">
        <v>4.6500337481388598</v>
      </c>
      <c r="Q1508">
        <f t="shared" si="115"/>
        <v>3.74</v>
      </c>
      <c r="R1508">
        <f t="shared" si="117"/>
        <v>4.6297814075672372</v>
      </c>
      <c r="S1508">
        <f t="shared" si="118"/>
        <v>-0.889781407567237</v>
      </c>
      <c r="T1508">
        <f t="shared" si="119"/>
        <v>0.79171095325233354</v>
      </c>
    </row>
    <row r="1509" spans="1:20" hidden="1" x14ac:dyDescent="0.25">
      <c r="A1509" t="str">
        <f t="shared" si="116"/>
        <v>RIP</v>
      </c>
      <c r="B1509" t="s">
        <v>1515</v>
      </c>
      <c r="C1509">
        <v>0.93777558800000005</v>
      </c>
      <c r="D1509">
        <v>0.109932603</v>
      </c>
      <c r="E1509">
        <v>0.70126017100000004</v>
      </c>
      <c r="F1509">
        <v>0.457733524</v>
      </c>
      <c r="G1509">
        <v>0.78326866900000003</v>
      </c>
      <c r="H1509">
        <v>3.8</v>
      </c>
      <c r="I1509">
        <v>4.157817419583</v>
      </c>
      <c r="J1509">
        <v>4.3399945438734298</v>
      </c>
      <c r="K1509">
        <v>3.98070216102355</v>
      </c>
      <c r="L1509">
        <v>4.0943505518257002</v>
      </c>
      <c r="M1509">
        <v>4.2489059817282202</v>
      </c>
      <c r="N1509">
        <v>4.2479294856920697</v>
      </c>
      <c r="Q1509">
        <f t="shared" si="115"/>
        <v>3.8</v>
      </c>
      <c r="R1509">
        <f t="shared" si="117"/>
        <v>4.3240224104261085</v>
      </c>
      <c r="S1509">
        <f t="shared" si="118"/>
        <v>-0.52402241042610864</v>
      </c>
      <c r="T1509">
        <f t="shared" si="119"/>
        <v>0.27459948662878908</v>
      </c>
    </row>
    <row r="1510" spans="1:20" hidden="1" x14ac:dyDescent="0.25">
      <c r="A1510" t="str">
        <f t="shared" si="116"/>
        <v>RIP</v>
      </c>
      <c r="B1510" t="s">
        <v>1516</v>
      </c>
      <c r="C1510">
        <v>1.0285962319999999</v>
      </c>
      <c r="D1510">
        <v>0.10215355199999999</v>
      </c>
      <c r="E1510">
        <v>0.69647551200000002</v>
      </c>
      <c r="F1510">
        <v>0.43135867700000002</v>
      </c>
      <c r="G1510">
        <v>0.76705307499999997</v>
      </c>
      <c r="H1510">
        <v>3.93</v>
      </c>
      <c r="I1510">
        <v>3.4483072351531101</v>
      </c>
      <c r="J1510">
        <v>3.5920370025431598</v>
      </c>
      <c r="K1510">
        <v>3.6234482212679899</v>
      </c>
      <c r="L1510">
        <v>3.6794039976548301</v>
      </c>
      <c r="M1510">
        <v>3.5201721188481301</v>
      </c>
      <c r="N1510">
        <v>3.51943847578094</v>
      </c>
      <c r="Q1510">
        <f t="shared" si="115"/>
        <v>3.93</v>
      </c>
      <c r="R1510">
        <f t="shared" si="117"/>
        <v>3.6211389357081503</v>
      </c>
      <c r="S1510">
        <f t="shared" si="118"/>
        <v>0.3088610642918499</v>
      </c>
      <c r="T1510">
        <f t="shared" si="119"/>
        <v>9.5395157035494241E-2</v>
      </c>
    </row>
    <row r="1511" spans="1:20" hidden="1" x14ac:dyDescent="0.25">
      <c r="A1511" t="str">
        <f t="shared" si="116"/>
        <v>RIP</v>
      </c>
      <c r="B1511" t="s">
        <v>1517</v>
      </c>
      <c r="C1511">
        <v>1.169975494</v>
      </c>
      <c r="D1511">
        <v>9.1622481000000006E-2</v>
      </c>
      <c r="E1511">
        <v>0.68764491800000005</v>
      </c>
      <c r="F1511">
        <v>0.46995389300000001</v>
      </c>
      <c r="G1511">
        <v>0.75744599199999996</v>
      </c>
      <c r="H1511">
        <v>3.09</v>
      </c>
      <c r="I1511">
        <v>3.0907044357155402</v>
      </c>
      <c r="J1511">
        <v>3.0635398079235001</v>
      </c>
      <c r="K1511">
        <v>3.63594487778089</v>
      </c>
      <c r="L1511">
        <v>3.7783310127455798</v>
      </c>
      <c r="M1511">
        <v>3.0771221218195199</v>
      </c>
      <c r="N1511">
        <v>3.0770921457343898</v>
      </c>
      <c r="Q1511">
        <f t="shared" si="115"/>
        <v>3.09</v>
      </c>
      <c r="R1511">
        <f t="shared" si="117"/>
        <v>3.1329940441153141</v>
      </c>
      <c r="S1511">
        <f t="shared" si="118"/>
        <v>-4.2994044115314267E-2</v>
      </c>
      <c r="T1511">
        <f t="shared" si="119"/>
        <v>1.8484878293895893E-3</v>
      </c>
    </row>
    <row r="1512" spans="1:20" hidden="1" x14ac:dyDescent="0.25">
      <c r="A1512" t="str">
        <f t="shared" si="116"/>
        <v>RIP</v>
      </c>
      <c r="B1512" t="s">
        <v>1518</v>
      </c>
      <c r="C1512">
        <v>1.5814118559999999</v>
      </c>
      <c r="D1512">
        <v>9.3124633999999998E-2</v>
      </c>
      <c r="E1512">
        <v>0.698051753</v>
      </c>
      <c r="F1512">
        <v>0.51418610600000003</v>
      </c>
      <c r="G1512">
        <v>0.77450460399999999</v>
      </c>
      <c r="H1512">
        <v>3.1</v>
      </c>
      <c r="I1512">
        <v>2.7935918084318301</v>
      </c>
      <c r="J1512">
        <v>2.8939607796445399</v>
      </c>
      <c r="K1512">
        <v>2.8923851466692301</v>
      </c>
      <c r="L1512">
        <v>2.9289583287921301</v>
      </c>
      <c r="M1512">
        <v>2.8437762940381801</v>
      </c>
      <c r="N1512">
        <v>2.8433334535256298</v>
      </c>
      <c r="Q1512">
        <f t="shared" si="115"/>
        <v>3.1</v>
      </c>
      <c r="R1512">
        <f t="shared" si="117"/>
        <v>2.8987574928593309</v>
      </c>
      <c r="S1512">
        <f t="shared" si="118"/>
        <v>0.20124250714066916</v>
      </c>
      <c r="T1512">
        <f t="shared" si="119"/>
        <v>4.049854668026228E-2</v>
      </c>
    </row>
    <row r="1513" spans="1:20" hidden="1" x14ac:dyDescent="0.25">
      <c r="A1513" t="str">
        <f t="shared" si="116"/>
        <v>RIP</v>
      </c>
      <c r="B1513" t="s">
        <v>1519</v>
      </c>
      <c r="C1513">
        <v>1.492631397</v>
      </c>
      <c r="D1513">
        <v>9.4218565000000004E-2</v>
      </c>
      <c r="E1513">
        <v>0.69147568800000003</v>
      </c>
      <c r="F1513">
        <v>0.50044971900000002</v>
      </c>
      <c r="G1513">
        <v>0.76369091499999997</v>
      </c>
      <c r="H1513">
        <v>3.24</v>
      </c>
      <c r="I1513">
        <v>2.8783039318091999</v>
      </c>
      <c r="J1513">
        <v>2.9692930864874301</v>
      </c>
      <c r="K1513">
        <v>3.14690237588461</v>
      </c>
      <c r="L1513">
        <v>3.2119518328663301</v>
      </c>
      <c r="M1513">
        <v>2.9237985091483099</v>
      </c>
      <c r="N1513">
        <v>2.9234445377893898</v>
      </c>
      <c r="Q1513">
        <f t="shared" si="115"/>
        <v>3.24</v>
      </c>
      <c r="R1513">
        <f t="shared" si="117"/>
        <v>2.9807241245455618</v>
      </c>
      <c r="S1513">
        <f t="shared" si="118"/>
        <v>0.25927587545443842</v>
      </c>
      <c r="T1513">
        <f t="shared" si="119"/>
        <v>6.7223979592665462E-2</v>
      </c>
    </row>
    <row r="1514" spans="1:20" hidden="1" x14ac:dyDescent="0.25">
      <c r="A1514" t="str">
        <f t="shared" si="116"/>
        <v>RIP</v>
      </c>
      <c r="B1514" t="s">
        <v>1520</v>
      </c>
      <c r="C1514">
        <v>1.477327353</v>
      </c>
      <c r="D1514">
        <v>9.6833168999999997E-2</v>
      </c>
      <c r="E1514">
        <v>0.70624285799999997</v>
      </c>
      <c r="F1514">
        <v>0.54804106299999999</v>
      </c>
      <c r="G1514">
        <v>0.78267450100000002</v>
      </c>
      <c r="H1514">
        <v>3.6</v>
      </c>
      <c r="I1514">
        <v>3.2033916816197601</v>
      </c>
      <c r="J1514">
        <v>3.3046852936075801</v>
      </c>
      <c r="K1514">
        <v>3.31969542391895</v>
      </c>
      <c r="L1514">
        <v>3.3287566208911099</v>
      </c>
      <c r="M1514">
        <v>3.2540384876136699</v>
      </c>
      <c r="N1514">
        <v>3.2536443228960499</v>
      </c>
      <c r="Q1514">
        <f t="shared" si="115"/>
        <v>3.6</v>
      </c>
      <c r="R1514">
        <f t="shared" si="117"/>
        <v>3.3393484406977993</v>
      </c>
      <c r="S1514">
        <f t="shared" si="118"/>
        <v>0.26065155930220074</v>
      </c>
      <c r="T1514">
        <f t="shared" si="119"/>
        <v>6.7939235366668668E-2</v>
      </c>
    </row>
    <row r="1515" spans="1:20" hidden="1" x14ac:dyDescent="0.25">
      <c r="A1515" t="str">
        <f t="shared" si="116"/>
        <v>RIP</v>
      </c>
      <c r="B1515" t="s">
        <v>1521</v>
      </c>
      <c r="C1515">
        <v>1.37943203</v>
      </c>
      <c r="D1515">
        <v>9.2617017999999995E-2</v>
      </c>
      <c r="E1515">
        <v>0.70591473999999999</v>
      </c>
      <c r="F1515">
        <v>0.52588975199999999</v>
      </c>
      <c r="G1515">
        <v>0.77660255499999997</v>
      </c>
      <c r="H1515">
        <v>3.59</v>
      </c>
      <c r="I1515">
        <v>3.08410601175397</v>
      </c>
      <c r="J1515">
        <v>3.12988720535941</v>
      </c>
      <c r="K1515">
        <v>3.4651002295993001</v>
      </c>
      <c r="L1515">
        <v>3.5602401758824702</v>
      </c>
      <c r="M1515">
        <v>3.10699660855669</v>
      </c>
      <c r="N1515">
        <v>3.10691228491581</v>
      </c>
      <c r="Q1515">
        <f t="shared" si="115"/>
        <v>3.59</v>
      </c>
      <c r="R1515">
        <f t="shared" si="117"/>
        <v>3.1870073570867565</v>
      </c>
      <c r="S1515">
        <f t="shared" si="118"/>
        <v>0.40299264291324333</v>
      </c>
      <c r="T1515">
        <f t="shared" si="119"/>
        <v>0.16240307024220085</v>
      </c>
    </row>
    <row r="1516" spans="1:20" hidden="1" x14ac:dyDescent="0.25">
      <c r="A1516" t="str">
        <f t="shared" si="116"/>
        <v>RIP</v>
      </c>
      <c r="B1516" t="s">
        <v>1522</v>
      </c>
      <c r="C1516">
        <v>1.1561741569999999</v>
      </c>
      <c r="D1516">
        <v>9.7165337000000004E-2</v>
      </c>
      <c r="E1516">
        <v>0.70244786599999998</v>
      </c>
      <c r="F1516">
        <v>0.48462730900000001</v>
      </c>
      <c r="G1516">
        <v>0.78559511500000001</v>
      </c>
      <c r="H1516">
        <v>2.9</v>
      </c>
      <c r="I1516">
        <v>3.3808693680613402</v>
      </c>
      <c r="J1516">
        <v>3.40276792833843</v>
      </c>
      <c r="K1516">
        <v>3.6804836655919702</v>
      </c>
      <c r="L1516">
        <v>3.7866513162172102</v>
      </c>
      <c r="M1516">
        <v>3.39181864819989</v>
      </c>
      <c r="N1516">
        <v>3.39180097522555</v>
      </c>
      <c r="Q1516">
        <f t="shared" si="115"/>
        <v>2.9</v>
      </c>
      <c r="R1516">
        <f t="shared" si="117"/>
        <v>3.4655218338083249</v>
      </c>
      <c r="S1516">
        <f t="shared" si="118"/>
        <v>-0.56552183380832499</v>
      </c>
      <c r="T1516">
        <f t="shared" si="119"/>
        <v>0.31981494451393078</v>
      </c>
    </row>
    <row r="1517" spans="1:20" hidden="1" x14ac:dyDescent="0.25">
      <c r="A1517" t="str">
        <f t="shared" si="116"/>
        <v>RIP</v>
      </c>
      <c r="B1517" t="s">
        <v>1523</v>
      </c>
      <c r="C1517">
        <v>1.1428912339999999</v>
      </c>
      <c r="D1517">
        <v>9.8681532000000002E-2</v>
      </c>
      <c r="E1517">
        <v>0.70366789799999996</v>
      </c>
      <c r="F1517">
        <v>0.48246536000000001</v>
      </c>
      <c r="G1517">
        <v>0.78657429300000004</v>
      </c>
      <c r="H1517">
        <v>3.94</v>
      </c>
      <c r="I1517">
        <v>3.4482251888263602</v>
      </c>
      <c r="J1517">
        <v>3.4863880563613199</v>
      </c>
      <c r="K1517">
        <v>3.54676569133763</v>
      </c>
      <c r="L1517">
        <v>3.6091817151695298</v>
      </c>
      <c r="M1517">
        <v>3.4673066225938398</v>
      </c>
      <c r="N1517">
        <v>3.467254117305</v>
      </c>
      <c r="Q1517">
        <f t="shared" si="115"/>
        <v>3.94</v>
      </c>
      <c r="R1517">
        <f t="shared" si="117"/>
        <v>3.5435331718129834</v>
      </c>
      <c r="S1517">
        <f t="shared" si="118"/>
        <v>0.39646682818701651</v>
      </c>
      <c r="T1517">
        <f t="shared" si="119"/>
        <v>0.15718594585267326</v>
      </c>
    </row>
    <row r="1518" spans="1:20" hidden="1" x14ac:dyDescent="0.25">
      <c r="A1518" t="str">
        <f t="shared" si="116"/>
        <v>RIP</v>
      </c>
      <c r="B1518" t="s">
        <v>1524</v>
      </c>
      <c r="C1518">
        <v>1.100777549</v>
      </c>
      <c r="D1518">
        <v>0.10286466700000001</v>
      </c>
      <c r="E1518">
        <v>0.71438763800000005</v>
      </c>
      <c r="F1518">
        <v>0.48505763600000001</v>
      </c>
      <c r="G1518">
        <v>0.79809905699999995</v>
      </c>
      <c r="H1518">
        <v>3.24</v>
      </c>
      <c r="I1518">
        <v>3.7163191003957099</v>
      </c>
      <c r="J1518">
        <v>3.7914069848110401</v>
      </c>
      <c r="K1518">
        <v>3.73614638575873</v>
      </c>
      <c r="L1518">
        <v>3.8018892415913301</v>
      </c>
      <c r="M1518">
        <v>3.7538630426033701</v>
      </c>
      <c r="N1518">
        <v>3.7536752916344498</v>
      </c>
      <c r="Q1518">
        <f t="shared" si="115"/>
        <v>3.24</v>
      </c>
      <c r="R1518">
        <f t="shared" si="117"/>
        <v>3.833951512603849</v>
      </c>
      <c r="S1518">
        <f t="shared" si="118"/>
        <v>-0.59395151260384882</v>
      </c>
      <c r="T1518">
        <f t="shared" si="119"/>
        <v>0.35277839932439997</v>
      </c>
    </row>
    <row r="1519" spans="1:20" hidden="1" x14ac:dyDescent="0.25">
      <c r="A1519" t="str">
        <f t="shared" si="116"/>
        <v>RIP</v>
      </c>
      <c r="B1519" t="s">
        <v>1525</v>
      </c>
      <c r="C1519">
        <v>1.1699554729999999</v>
      </c>
      <c r="D1519">
        <v>0.103286594</v>
      </c>
      <c r="E1519">
        <v>0.71098151600000004</v>
      </c>
      <c r="F1519">
        <v>0.51067292799999997</v>
      </c>
      <c r="G1519">
        <v>0.78733978500000001</v>
      </c>
      <c r="H1519">
        <v>3.58</v>
      </c>
      <c r="I1519">
        <v>3.7026967178307002</v>
      </c>
      <c r="J1519">
        <v>3.8362367767666101</v>
      </c>
      <c r="K1519">
        <v>3.8150471334805198</v>
      </c>
      <c r="L1519">
        <v>3.9286321851952901</v>
      </c>
      <c r="M1519">
        <v>3.7694667472986598</v>
      </c>
      <c r="N1519">
        <v>3.7688753391635501</v>
      </c>
      <c r="Q1519">
        <f t="shared" si="115"/>
        <v>3.58</v>
      </c>
      <c r="R1519">
        <f t="shared" si="117"/>
        <v>3.8763092873179357</v>
      </c>
      <c r="S1519">
        <f t="shared" si="118"/>
        <v>-0.2963092873179356</v>
      </c>
      <c r="T1519">
        <f t="shared" si="119"/>
        <v>8.7799193750862911E-2</v>
      </c>
    </row>
    <row r="1520" spans="1:20" hidden="1" x14ac:dyDescent="0.25">
      <c r="A1520" t="str">
        <f t="shared" si="116"/>
        <v>RIP</v>
      </c>
      <c r="B1520" t="s">
        <v>1526</v>
      </c>
      <c r="C1520">
        <v>1.2551268820000001</v>
      </c>
      <c r="D1520">
        <v>0.100941292</v>
      </c>
      <c r="E1520">
        <v>0.71406037200000005</v>
      </c>
      <c r="F1520">
        <v>0.50599206600000002</v>
      </c>
      <c r="G1520">
        <v>0.79232958499999995</v>
      </c>
      <c r="H1520">
        <v>3.55</v>
      </c>
      <c r="I1520">
        <v>3.47778578767088</v>
      </c>
      <c r="J1520">
        <v>3.6004535214175699</v>
      </c>
      <c r="K1520">
        <v>3.6284592584409299</v>
      </c>
      <c r="L1520">
        <v>3.7428160371540198</v>
      </c>
      <c r="M1520">
        <v>3.5391196545442298</v>
      </c>
      <c r="N1520">
        <v>3.5385881486767601</v>
      </c>
      <c r="Q1520">
        <f t="shared" si="115"/>
        <v>3.55</v>
      </c>
      <c r="R1520">
        <f t="shared" si="117"/>
        <v>3.6359204924301176</v>
      </c>
      <c r="S1520">
        <f t="shared" si="118"/>
        <v>-8.592049243011779E-2</v>
      </c>
      <c r="T1520">
        <f t="shared" si="119"/>
        <v>7.3823310194339282E-3</v>
      </c>
    </row>
    <row r="1521" spans="1:20" hidden="1" x14ac:dyDescent="0.25">
      <c r="A1521" t="str">
        <f t="shared" si="116"/>
        <v>RIP</v>
      </c>
      <c r="B1521" t="s">
        <v>1527</v>
      </c>
      <c r="C1521">
        <v>1.2170526699999999</v>
      </c>
      <c r="D1521">
        <v>0.103907636</v>
      </c>
      <c r="E1521">
        <v>0.72732829399999999</v>
      </c>
      <c r="F1521">
        <v>0.51464948300000002</v>
      </c>
      <c r="G1521">
        <v>0.80464531500000003</v>
      </c>
      <c r="H1521">
        <v>3.35</v>
      </c>
      <c r="I1521">
        <v>3.7047314780734899</v>
      </c>
      <c r="J1521">
        <v>3.8721293856523902</v>
      </c>
      <c r="K1521">
        <v>3.6816917574538999</v>
      </c>
      <c r="L1521">
        <v>3.7397684053916702</v>
      </c>
      <c r="M1521">
        <v>3.78843043186294</v>
      </c>
      <c r="N1521">
        <v>3.78750572569861</v>
      </c>
      <c r="Q1521">
        <f t="shared" si="115"/>
        <v>3.35</v>
      </c>
      <c r="R1521">
        <f t="shared" si="117"/>
        <v>3.9005826089485907</v>
      </c>
      <c r="S1521">
        <f t="shared" si="118"/>
        <v>-0.55058260894859057</v>
      </c>
      <c r="T1521">
        <f t="shared" si="119"/>
        <v>0.30314120927663663</v>
      </c>
    </row>
    <row r="1522" spans="1:20" hidden="1" x14ac:dyDescent="0.25">
      <c r="A1522" t="str">
        <f t="shared" si="116"/>
        <v>RIP</v>
      </c>
      <c r="B1522" t="s">
        <v>1528</v>
      </c>
      <c r="C1522">
        <v>1.3476355980000001</v>
      </c>
      <c r="D1522">
        <v>9.8319002000000003E-2</v>
      </c>
      <c r="E1522">
        <v>0.71164701100000005</v>
      </c>
      <c r="F1522">
        <v>0.52371632999999995</v>
      </c>
      <c r="G1522">
        <v>0.78626643900000004</v>
      </c>
      <c r="H1522">
        <v>3.5</v>
      </c>
      <c r="I1522">
        <v>3.31281376254777</v>
      </c>
      <c r="J1522">
        <v>3.42806464144609</v>
      </c>
      <c r="K1522">
        <v>3.3794803343070901</v>
      </c>
      <c r="L1522">
        <v>3.4250785335346698</v>
      </c>
      <c r="M1522">
        <v>3.37043920199693</v>
      </c>
      <c r="N1522">
        <v>3.36994654602799</v>
      </c>
      <c r="Q1522">
        <f t="shared" si="115"/>
        <v>3.5</v>
      </c>
      <c r="R1522">
        <f t="shared" si="117"/>
        <v>3.4690025364916659</v>
      </c>
      <c r="S1522">
        <f t="shared" si="118"/>
        <v>3.09974635083341E-2</v>
      </c>
      <c r="T1522">
        <f t="shared" si="119"/>
        <v>9.6084274395050412E-4</v>
      </c>
    </row>
    <row r="1523" spans="1:20" hidden="1" x14ac:dyDescent="0.25">
      <c r="A1523" t="str">
        <f t="shared" si="116"/>
        <v>RIP</v>
      </c>
      <c r="B1523" t="s">
        <v>1529</v>
      </c>
      <c r="C1523">
        <v>1.2676476480000001</v>
      </c>
      <c r="D1523">
        <v>0.106444124</v>
      </c>
      <c r="E1523">
        <v>0.72438662700000001</v>
      </c>
      <c r="F1523">
        <v>0.520815641</v>
      </c>
      <c r="G1523">
        <v>0.79878356699999997</v>
      </c>
      <c r="H1523">
        <v>3.38</v>
      </c>
      <c r="I1523">
        <v>3.7617971372805199</v>
      </c>
      <c r="J1523">
        <v>4.0110458854716899</v>
      </c>
      <c r="K1523">
        <v>3.6125644815531399</v>
      </c>
      <c r="L1523">
        <v>3.6860350187818298</v>
      </c>
      <c r="M1523">
        <v>3.8864215113761098</v>
      </c>
      <c r="N1523">
        <v>3.8844228566761698</v>
      </c>
      <c r="Q1523">
        <f t="shared" si="115"/>
        <v>3.38</v>
      </c>
      <c r="R1523">
        <f t="shared" si="117"/>
        <v>4.0086996571161411</v>
      </c>
      <c r="S1523">
        <f t="shared" si="118"/>
        <v>-0.62869965711614118</v>
      </c>
      <c r="T1523">
        <f t="shared" si="119"/>
        <v>0.39526325885795349</v>
      </c>
    </row>
    <row r="1524" spans="1:20" hidden="1" x14ac:dyDescent="0.25">
      <c r="A1524" t="str">
        <f t="shared" si="116"/>
        <v>RIP</v>
      </c>
      <c r="B1524" t="s">
        <v>1530</v>
      </c>
      <c r="C1524">
        <v>1.182954482</v>
      </c>
      <c r="D1524">
        <v>0.10195275099999999</v>
      </c>
      <c r="E1524">
        <v>0.72667126999999998</v>
      </c>
      <c r="F1524">
        <v>0.51526928599999999</v>
      </c>
      <c r="G1524">
        <v>0.79598043500000004</v>
      </c>
      <c r="H1524">
        <v>3.43</v>
      </c>
      <c r="I1524">
        <v>3.61477945848487</v>
      </c>
      <c r="J1524">
        <v>3.7871366953232499</v>
      </c>
      <c r="K1524">
        <v>3.8161496411853699</v>
      </c>
      <c r="L1524">
        <v>3.9116143220861299</v>
      </c>
      <c r="M1524">
        <v>3.70095807690406</v>
      </c>
      <c r="N1524">
        <v>3.6999545852251701</v>
      </c>
      <c r="Q1524">
        <f t="shared" si="115"/>
        <v>3.43</v>
      </c>
      <c r="R1524">
        <f t="shared" si="117"/>
        <v>3.8378629549752388</v>
      </c>
      <c r="S1524">
        <f t="shared" si="118"/>
        <v>-0.40786295497523861</v>
      </c>
      <c r="T1524">
        <f t="shared" si="119"/>
        <v>0.16635219004113352</v>
      </c>
    </row>
    <row r="1525" spans="1:20" hidden="1" x14ac:dyDescent="0.25">
      <c r="A1525" t="str">
        <f t="shared" si="116"/>
        <v>RIP</v>
      </c>
      <c r="B1525" t="s">
        <v>1531</v>
      </c>
      <c r="C1525">
        <v>1.006275875</v>
      </c>
      <c r="D1525">
        <v>0.104366847</v>
      </c>
      <c r="E1525">
        <v>0.73288188099999996</v>
      </c>
      <c r="F1525">
        <v>0.485731409</v>
      </c>
      <c r="G1525">
        <v>0.80462873300000004</v>
      </c>
      <c r="H1525">
        <v>3.05</v>
      </c>
      <c r="I1525">
        <v>3.8452835605081099</v>
      </c>
      <c r="J1525">
        <v>4.0164272691359502</v>
      </c>
      <c r="K1525">
        <v>3.9889682103163202</v>
      </c>
      <c r="L1525">
        <v>4.0775710510363199</v>
      </c>
      <c r="M1525">
        <v>3.9308554148220298</v>
      </c>
      <c r="N1525">
        <v>3.9299238860294698</v>
      </c>
      <c r="Q1525">
        <f t="shared" si="115"/>
        <v>3.05</v>
      </c>
      <c r="R1525">
        <f t="shared" si="117"/>
        <v>4.0686768775739832</v>
      </c>
      <c r="S1525">
        <f t="shared" si="118"/>
        <v>-1.0186768775739834</v>
      </c>
      <c r="T1525">
        <f t="shared" si="119"/>
        <v>1.0377025809038805</v>
      </c>
    </row>
    <row r="1526" spans="1:20" hidden="1" x14ac:dyDescent="0.25">
      <c r="A1526" t="str">
        <f t="shared" si="116"/>
        <v>RIP</v>
      </c>
      <c r="B1526" t="s">
        <v>1532</v>
      </c>
      <c r="C1526">
        <v>1.4026712779999999</v>
      </c>
      <c r="D1526">
        <v>0.102348995</v>
      </c>
      <c r="E1526">
        <v>0.73366426399999995</v>
      </c>
      <c r="F1526">
        <v>0.56043277899999999</v>
      </c>
      <c r="G1526">
        <v>0.80678811100000003</v>
      </c>
      <c r="H1526">
        <v>3.51</v>
      </c>
      <c r="I1526">
        <v>3.5563680753590399</v>
      </c>
      <c r="J1526">
        <v>3.7692018232373501</v>
      </c>
      <c r="K1526">
        <v>3.5581814158038698</v>
      </c>
      <c r="L1526">
        <v>3.5335362697783101</v>
      </c>
      <c r="M1526">
        <v>3.6627849492981999</v>
      </c>
      <c r="N1526">
        <v>3.6612387294120001</v>
      </c>
      <c r="Q1526">
        <f t="shared" si="115"/>
        <v>3.51</v>
      </c>
      <c r="R1526">
        <f t="shared" si="117"/>
        <v>3.798319001084332</v>
      </c>
      <c r="S1526">
        <f t="shared" si="118"/>
        <v>-0.28831900108433217</v>
      </c>
      <c r="T1526">
        <f t="shared" si="119"/>
        <v>8.3127846386267135E-2</v>
      </c>
    </row>
    <row r="1527" spans="1:20" hidden="1" x14ac:dyDescent="0.25">
      <c r="A1527" t="str">
        <f t="shared" si="116"/>
        <v>RIP</v>
      </c>
      <c r="B1527" t="s">
        <v>1533</v>
      </c>
      <c r="C1527">
        <v>1.3390530169999999</v>
      </c>
      <c r="D1527">
        <v>0.102149638</v>
      </c>
      <c r="E1527">
        <v>0.72251139200000003</v>
      </c>
      <c r="F1527">
        <v>0.52097271099999998</v>
      </c>
      <c r="G1527">
        <v>0.797188601</v>
      </c>
      <c r="H1527">
        <v>3.43</v>
      </c>
      <c r="I1527">
        <v>3.4665642993116799</v>
      </c>
      <c r="J1527">
        <v>3.6563233522693199</v>
      </c>
      <c r="K1527">
        <v>3.4857706586619601</v>
      </c>
      <c r="L1527">
        <v>3.55534429824572</v>
      </c>
      <c r="M1527">
        <v>3.5614438257905001</v>
      </c>
      <c r="N1527">
        <v>3.5601797707021001</v>
      </c>
      <c r="Q1527">
        <f t="shared" si="115"/>
        <v>3.43</v>
      </c>
      <c r="R1527">
        <f t="shared" si="117"/>
        <v>3.6755777600738258</v>
      </c>
      <c r="S1527">
        <f t="shared" si="118"/>
        <v>-0.24557776007382559</v>
      </c>
      <c r="T1527">
        <f t="shared" si="119"/>
        <v>6.0308436242877447E-2</v>
      </c>
    </row>
    <row r="1528" spans="1:20" hidden="1" x14ac:dyDescent="0.25">
      <c r="A1528" t="str">
        <f t="shared" si="116"/>
        <v>RIP</v>
      </c>
      <c r="B1528" t="s">
        <v>1534</v>
      </c>
      <c r="C1528">
        <v>0.96569353099999999</v>
      </c>
      <c r="D1528">
        <v>0.103839844</v>
      </c>
      <c r="E1528">
        <v>0.72371806100000002</v>
      </c>
      <c r="F1528">
        <v>0.43865215800000001</v>
      </c>
      <c r="G1528">
        <v>0.79914776799999998</v>
      </c>
      <c r="H1528">
        <v>3.58</v>
      </c>
      <c r="I1528">
        <v>3.68671860850101</v>
      </c>
      <c r="J1528">
        <v>3.8335767882119498</v>
      </c>
      <c r="K1528">
        <v>3.8638488708012901</v>
      </c>
      <c r="L1528">
        <v>3.9321418545057498</v>
      </c>
      <c r="M1528">
        <v>3.7601476983564801</v>
      </c>
      <c r="N1528">
        <v>3.75943065931778</v>
      </c>
      <c r="Q1528">
        <f t="shared" si="115"/>
        <v>3.58</v>
      </c>
      <c r="R1528">
        <f t="shared" si="117"/>
        <v>3.8694754875039692</v>
      </c>
      <c r="S1528">
        <f t="shared" si="118"/>
        <v>-0.28947548750396912</v>
      </c>
      <c r="T1528">
        <f t="shared" si="119"/>
        <v>8.3796057865660578E-2</v>
      </c>
    </row>
    <row r="1529" spans="1:20" hidden="1" x14ac:dyDescent="0.25">
      <c r="A1529" t="str">
        <f t="shared" si="116"/>
        <v>RIP</v>
      </c>
      <c r="B1529" t="s">
        <v>1535</v>
      </c>
      <c r="C1529">
        <v>1.0818294669999999</v>
      </c>
      <c r="D1529">
        <v>9.9185349000000006E-2</v>
      </c>
      <c r="E1529">
        <v>0.72066609400000003</v>
      </c>
      <c r="F1529">
        <v>0.49056989200000001</v>
      </c>
      <c r="G1529">
        <v>0.78785892400000002</v>
      </c>
      <c r="H1529">
        <v>4.2300000000000004</v>
      </c>
      <c r="I1529">
        <v>3.52702845494577</v>
      </c>
      <c r="J1529">
        <v>3.6325510654117399</v>
      </c>
      <c r="K1529">
        <v>3.9701323407384601</v>
      </c>
      <c r="L1529">
        <v>4.0701894832372103</v>
      </c>
      <c r="M1529">
        <v>3.5797897601787501</v>
      </c>
      <c r="N1529">
        <v>3.5794009235835502</v>
      </c>
      <c r="Q1529">
        <f t="shared" si="115"/>
        <v>4.2300000000000004</v>
      </c>
      <c r="R1529">
        <f t="shared" si="117"/>
        <v>3.7060680023449057</v>
      </c>
      <c r="S1529">
        <f t="shared" si="118"/>
        <v>0.52393199765509468</v>
      </c>
      <c r="T1529">
        <f t="shared" si="119"/>
        <v>0.27450473816685816</v>
      </c>
    </row>
    <row r="1530" spans="1:20" hidden="1" x14ac:dyDescent="0.25">
      <c r="A1530" t="str">
        <f t="shared" si="116"/>
        <v>RIP</v>
      </c>
      <c r="B1530" t="s">
        <v>1536</v>
      </c>
      <c r="C1530">
        <v>1.014014652</v>
      </c>
      <c r="D1530">
        <v>9.8947872000000006E-2</v>
      </c>
      <c r="E1530">
        <v>0.71431193100000001</v>
      </c>
      <c r="F1530">
        <v>0.51445537900000005</v>
      </c>
      <c r="G1530">
        <v>0.78441685500000002</v>
      </c>
      <c r="H1530">
        <v>4.16</v>
      </c>
      <c r="I1530">
        <v>3.7282172371703202</v>
      </c>
      <c r="J1530">
        <v>3.76473630147607</v>
      </c>
      <c r="K1530">
        <v>4.1769541088166902</v>
      </c>
      <c r="L1530">
        <v>4.2914963459437097</v>
      </c>
      <c r="M1530">
        <v>3.74647676932319</v>
      </c>
      <c r="N1530">
        <v>3.74643227251793</v>
      </c>
      <c r="Q1530">
        <f t="shared" si="115"/>
        <v>4.16</v>
      </c>
      <c r="R1530">
        <f t="shared" si="117"/>
        <v>3.8682990940836515</v>
      </c>
      <c r="S1530">
        <f t="shared" si="118"/>
        <v>0.29170090591634867</v>
      </c>
      <c r="T1530">
        <f t="shared" si="119"/>
        <v>8.5089418512418497E-2</v>
      </c>
    </row>
    <row r="1531" spans="1:20" hidden="1" x14ac:dyDescent="0.25">
      <c r="A1531" t="str">
        <f t="shared" si="116"/>
        <v>RIP</v>
      </c>
      <c r="B1531" t="s">
        <v>1537</v>
      </c>
      <c r="C1531">
        <v>1.2256556839999999</v>
      </c>
      <c r="D1531">
        <v>9.9857138999999998E-2</v>
      </c>
      <c r="E1531">
        <v>0.71706538500000006</v>
      </c>
      <c r="F1531">
        <v>0.49690605500000001</v>
      </c>
      <c r="G1531">
        <v>0.78677204999999995</v>
      </c>
      <c r="H1531">
        <v>2.82</v>
      </c>
      <c r="I1531">
        <v>3.3950826927842801</v>
      </c>
      <c r="J1531">
        <v>3.5417910091475799</v>
      </c>
      <c r="K1531">
        <v>3.5155905116330102</v>
      </c>
      <c r="L1531">
        <v>3.6230662400038001</v>
      </c>
      <c r="M1531">
        <v>3.4684368509659298</v>
      </c>
      <c r="N1531">
        <v>3.4676610786834301</v>
      </c>
      <c r="Q1531">
        <f t="shared" si="115"/>
        <v>2.82</v>
      </c>
      <c r="R1531">
        <f t="shared" si="117"/>
        <v>3.5845725462554361</v>
      </c>
      <c r="S1531">
        <f t="shared" si="118"/>
        <v>-0.76457254625543625</v>
      </c>
      <c r="T1531">
        <f t="shared" si="119"/>
        <v>0.58457117848752116</v>
      </c>
    </row>
    <row r="1532" spans="1:20" hidden="1" x14ac:dyDescent="0.25">
      <c r="A1532" t="str">
        <f t="shared" si="116"/>
        <v>RIP</v>
      </c>
      <c r="B1532" t="s">
        <v>1538</v>
      </c>
      <c r="C1532">
        <v>1.2911664780000001</v>
      </c>
      <c r="D1532">
        <v>9.5210879999999998E-2</v>
      </c>
      <c r="E1532">
        <v>0.70777336800000001</v>
      </c>
      <c r="F1532">
        <v>0.51884449200000005</v>
      </c>
      <c r="G1532">
        <v>0.773888825</v>
      </c>
      <c r="H1532">
        <v>3.47</v>
      </c>
      <c r="I1532">
        <v>3.24602724742675</v>
      </c>
      <c r="J1532">
        <v>3.3096473655809699</v>
      </c>
      <c r="K1532">
        <v>3.5601755424289498</v>
      </c>
      <c r="L1532">
        <v>3.6730396273213199</v>
      </c>
      <c r="M1532">
        <v>3.27783730650386</v>
      </c>
      <c r="N1532">
        <v>3.2776829511180599</v>
      </c>
      <c r="Q1532">
        <f t="shared" si="115"/>
        <v>3.47</v>
      </c>
      <c r="R1532">
        <f t="shared" si="117"/>
        <v>3.3727743107095671</v>
      </c>
      <c r="S1532">
        <f t="shared" si="118"/>
        <v>9.7225689290433071E-2</v>
      </c>
      <c r="T1532">
        <f t="shared" si="119"/>
        <v>9.4528346579998319E-3</v>
      </c>
    </row>
    <row r="1533" spans="1:20" hidden="1" x14ac:dyDescent="0.25">
      <c r="A1533" t="str">
        <f t="shared" si="116"/>
        <v>RIP</v>
      </c>
      <c r="B1533" t="s">
        <v>1539</v>
      </c>
      <c r="C1533">
        <v>1.2512071039999999</v>
      </c>
      <c r="D1533">
        <v>9.8931874000000003E-2</v>
      </c>
      <c r="E1533">
        <v>0.71582312699999995</v>
      </c>
      <c r="F1533">
        <v>0.52620552499999995</v>
      </c>
      <c r="G1533">
        <v>0.78436573300000001</v>
      </c>
      <c r="H1533">
        <v>3.18</v>
      </c>
      <c r="I1533">
        <v>3.4566856104741102</v>
      </c>
      <c r="J1533">
        <v>3.5724382287247298</v>
      </c>
      <c r="K1533">
        <v>3.66022606059214</v>
      </c>
      <c r="L1533">
        <v>3.7691559422355101</v>
      </c>
      <c r="M1533">
        <v>3.5145619195994202</v>
      </c>
      <c r="N1533">
        <v>3.5140853460808801</v>
      </c>
      <c r="Q1533">
        <f t="shared" si="115"/>
        <v>3.18</v>
      </c>
      <c r="R1533">
        <f t="shared" si="117"/>
        <v>3.6326656887755453</v>
      </c>
      <c r="S1533">
        <f t="shared" si="118"/>
        <v>-0.45266568877554514</v>
      </c>
      <c r="T1533">
        <f t="shared" si="119"/>
        <v>0.20490622579463869</v>
      </c>
    </row>
    <row r="1534" spans="1:20" hidden="1" x14ac:dyDescent="0.25">
      <c r="A1534" t="str">
        <f t="shared" si="116"/>
        <v>RIP</v>
      </c>
      <c r="B1534" t="s">
        <v>1540</v>
      </c>
      <c r="C1534">
        <v>1.2643566310000001</v>
      </c>
      <c r="D1534">
        <v>0.101197536</v>
      </c>
      <c r="E1534">
        <v>0.73660659100000003</v>
      </c>
      <c r="F1534">
        <v>0.53800078500000004</v>
      </c>
      <c r="G1534">
        <v>0.80032281900000002</v>
      </c>
      <c r="H1534">
        <v>3.61</v>
      </c>
      <c r="I1534">
        <v>3.5510712154531698</v>
      </c>
      <c r="J1534">
        <v>3.7626594520783399</v>
      </c>
      <c r="K1534">
        <v>3.7302893719922401</v>
      </c>
      <c r="L1534">
        <v>3.8426082836145499</v>
      </c>
      <c r="M1534">
        <v>3.65686533376575</v>
      </c>
      <c r="N1534">
        <v>3.6553346869785002</v>
      </c>
      <c r="Q1534">
        <f t="shared" si="115"/>
        <v>3.61</v>
      </c>
      <c r="R1534">
        <f t="shared" si="117"/>
        <v>3.815477598711726</v>
      </c>
      <c r="S1534">
        <f t="shared" si="118"/>
        <v>-0.20547759871172611</v>
      </c>
      <c r="T1534">
        <f t="shared" si="119"/>
        <v>4.2221043572337143E-2</v>
      </c>
    </row>
    <row r="1535" spans="1:20" hidden="1" x14ac:dyDescent="0.25">
      <c r="A1535" t="str">
        <f t="shared" si="116"/>
        <v>RIP</v>
      </c>
      <c r="B1535" t="s">
        <v>1541</v>
      </c>
      <c r="C1535">
        <v>1.294245093</v>
      </c>
      <c r="D1535">
        <v>0.100072087</v>
      </c>
      <c r="E1535">
        <v>0.72439826500000004</v>
      </c>
      <c r="F1535">
        <v>0.51060096600000004</v>
      </c>
      <c r="G1535">
        <v>0.79111804100000005</v>
      </c>
      <c r="H1535">
        <v>3.77</v>
      </c>
      <c r="I1535">
        <v>3.36029908436414</v>
      </c>
      <c r="J1535">
        <v>3.5478471466864598</v>
      </c>
      <c r="K1535">
        <v>3.5519281361497699</v>
      </c>
      <c r="L1535">
        <v>3.6551487659278998</v>
      </c>
      <c r="M1535">
        <v>3.4540731155253002</v>
      </c>
      <c r="N1535">
        <v>3.4527999534398801</v>
      </c>
      <c r="Q1535">
        <f t="shared" si="115"/>
        <v>3.77</v>
      </c>
      <c r="R1535">
        <f t="shared" si="117"/>
        <v>3.5835618603807089</v>
      </c>
      <c r="S1535">
        <f t="shared" si="118"/>
        <v>0.18643813961929112</v>
      </c>
      <c r="T1535">
        <f t="shared" si="119"/>
        <v>3.4759179904702286E-2</v>
      </c>
    </row>
    <row r="1536" spans="1:20" hidden="1" x14ac:dyDescent="0.25">
      <c r="A1536" t="str">
        <f t="shared" si="116"/>
        <v>RIP</v>
      </c>
      <c r="B1536" t="s">
        <v>1542</v>
      </c>
      <c r="C1536">
        <v>1.3192425729999999</v>
      </c>
      <c r="D1536">
        <v>9.4735999000000001E-2</v>
      </c>
      <c r="E1536">
        <v>0.71891089699999999</v>
      </c>
      <c r="F1536">
        <v>0.49710082799999999</v>
      </c>
      <c r="G1536">
        <v>0.79147219499999999</v>
      </c>
      <c r="H1536">
        <v>2.63</v>
      </c>
      <c r="I1536">
        <v>3.0974401788791202</v>
      </c>
      <c r="J1536">
        <v>3.19826432113401</v>
      </c>
      <c r="K1536">
        <v>3.3466587674663999</v>
      </c>
      <c r="L1536">
        <v>3.3781222476651598</v>
      </c>
      <c r="M1536">
        <v>3.1478522500065602</v>
      </c>
      <c r="N1536">
        <v>3.1474485557282801</v>
      </c>
      <c r="Q1536">
        <f t="shared" si="115"/>
        <v>2.63</v>
      </c>
      <c r="R1536">
        <f t="shared" si="117"/>
        <v>3.2443745299592863</v>
      </c>
      <c r="S1536">
        <f t="shared" si="118"/>
        <v>-0.61437452995928643</v>
      </c>
      <c r="T1536">
        <f t="shared" si="119"/>
        <v>0.37745606306269414</v>
      </c>
    </row>
    <row r="1537" spans="1:20" hidden="1" x14ac:dyDescent="0.25">
      <c r="A1537" t="str">
        <f t="shared" si="116"/>
        <v>RIP</v>
      </c>
      <c r="B1537" t="s">
        <v>1543</v>
      </c>
      <c r="C1537">
        <v>1.11518557</v>
      </c>
      <c r="D1537">
        <v>9.6348662000000002E-2</v>
      </c>
      <c r="E1537">
        <v>0.74163361299999997</v>
      </c>
      <c r="F1537">
        <v>0.46736280099999999</v>
      </c>
      <c r="G1537">
        <v>0.81277113599999995</v>
      </c>
      <c r="H1537">
        <v>2.33</v>
      </c>
      <c r="I1537">
        <v>3.2924079335371599</v>
      </c>
      <c r="J1537">
        <v>3.40604163679517</v>
      </c>
      <c r="K1537">
        <v>3.6012138786255901</v>
      </c>
      <c r="L1537">
        <v>3.6521889138354702</v>
      </c>
      <c r="M1537">
        <v>3.3492247851661698</v>
      </c>
      <c r="N1537">
        <v>3.3487428248437201</v>
      </c>
      <c r="Q1537">
        <f t="shared" ref="Q1537:Q1600" si="120">H1537</f>
        <v>2.33</v>
      </c>
      <c r="R1537">
        <f t="shared" si="117"/>
        <v>3.4725940421653227</v>
      </c>
      <c r="S1537">
        <f t="shared" si="118"/>
        <v>-1.1425940421653227</v>
      </c>
      <c r="T1537">
        <f t="shared" si="119"/>
        <v>1.3055211451916913</v>
      </c>
    </row>
    <row r="1538" spans="1:20" hidden="1" x14ac:dyDescent="0.25">
      <c r="A1538" t="str">
        <f t="shared" si="116"/>
        <v>RIP</v>
      </c>
      <c r="B1538" t="s">
        <v>1544</v>
      </c>
      <c r="C1538">
        <v>1.072587596</v>
      </c>
      <c r="D1538">
        <v>9.6721013999999994E-2</v>
      </c>
      <c r="E1538">
        <v>0.73590641700000003</v>
      </c>
      <c r="F1538">
        <v>0.51776639400000002</v>
      </c>
      <c r="G1538">
        <v>0.81407148799999995</v>
      </c>
      <c r="H1538">
        <v>3.68</v>
      </c>
      <c r="I1538">
        <v>3.5990703256295098</v>
      </c>
      <c r="J1538">
        <v>3.6422838239135999</v>
      </c>
      <c r="K1538">
        <v>4.0626286840033004</v>
      </c>
      <c r="L1538">
        <v>4.1477441743144698</v>
      </c>
      <c r="M1538">
        <v>3.6206770747715602</v>
      </c>
      <c r="N1538">
        <v>3.6206126039895299</v>
      </c>
      <c r="Q1538">
        <f t="shared" si="120"/>
        <v>3.68</v>
      </c>
      <c r="R1538">
        <f t="shared" si="117"/>
        <v>3.747011285197543</v>
      </c>
      <c r="S1538">
        <f t="shared" si="118"/>
        <v>-6.7011285197542847E-2</v>
      </c>
      <c r="T1538">
        <f t="shared" si="119"/>
        <v>4.4905123438264251E-3</v>
      </c>
    </row>
    <row r="1539" spans="1:20" hidden="1" x14ac:dyDescent="0.25">
      <c r="A1539" t="str">
        <f t="shared" ref="A1539:A1602" si="121">LEFT(B1539,3)</f>
        <v>RIP</v>
      </c>
      <c r="B1539" t="s">
        <v>1545</v>
      </c>
      <c r="C1539">
        <v>1.1872197769999999</v>
      </c>
      <c r="D1539">
        <v>0.10257780599999999</v>
      </c>
      <c r="E1539">
        <v>0.73741389700000004</v>
      </c>
      <c r="F1539">
        <v>0.55339405100000005</v>
      </c>
      <c r="G1539">
        <v>0.81574195500000002</v>
      </c>
      <c r="H1539">
        <v>3.95</v>
      </c>
      <c r="I1539">
        <v>3.86139007099109</v>
      </c>
      <c r="J1539">
        <v>3.9792506910918601</v>
      </c>
      <c r="K1539">
        <v>3.98422854438531</v>
      </c>
      <c r="L1539">
        <v>4.0375808601060497</v>
      </c>
      <c r="M1539">
        <v>3.9203203810414702</v>
      </c>
      <c r="N1539">
        <v>3.9198774354010801</v>
      </c>
      <c r="Q1539">
        <f t="shared" si="120"/>
        <v>3.95</v>
      </c>
      <c r="R1539">
        <f t="shared" ref="R1539:R1602" si="122">$X$2*F1539+$X$3*D1539*E1539+($X$4/(D1539-$X$5))-$X$6*C1539</f>
        <v>4.0486953652070223</v>
      </c>
      <c r="S1539">
        <f t="shared" ref="S1539:S1602" si="123">Q1539-R1539</f>
        <v>-9.8695365207022157E-2</v>
      </c>
      <c r="T1539">
        <f t="shared" ref="T1539:T1602" si="124">S1539^2</f>
        <v>9.7407751133474791E-3</v>
      </c>
    </row>
    <row r="1540" spans="1:20" hidden="1" x14ac:dyDescent="0.25">
      <c r="A1540" t="str">
        <f t="shared" si="121"/>
        <v>RIP</v>
      </c>
      <c r="B1540" t="s">
        <v>1546</v>
      </c>
      <c r="C1540">
        <v>1.2912480070000001</v>
      </c>
      <c r="D1540">
        <v>9.9112071999999996E-2</v>
      </c>
      <c r="E1540">
        <v>0.73825325799999997</v>
      </c>
      <c r="F1540">
        <v>0.56415210100000002</v>
      </c>
      <c r="G1540">
        <v>0.82106715699999999</v>
      </c>
      <c r="H1540">
        <v>3.88</v>
      </c>
      <c r="I1540">
        <v>3.6419287864466101</v>
      </c>
      <c r="J1540">
        <v>3.7195540607840298</v>
      </c>
      <c r="K1540">
        <v>3.5222549249327502</v>
      </c>
      <c r="L1540">
        <v>3.4776775516121599</v>
      </c>
      <c r="M1540">
        <v>3.68074142361532</v>
      </c>
      <c r="N1540">
        <v>3.6805367824155399</v>
      </c>
      <c r="Q1540">
        <f t="shared" si="120"/>
        <v>3.88</v>
      </c>
      <c r="R1540">
        <f t="shared" si="122"/>
        <v>3.7948276671650829</v>
      </c>
      <c r="S1540">
        <f t="shared" si="123"/>
        <v>8.5172332834916986E-2</v>
      </c>
      <c r="T1540">
        <f t="shared" si="124"/>
        <v>7.2543262805418781E-3</v>
      </c>
    </row>
    <row r="1541" spans="1:20" hidden="1" x14ac:dyDescent="0.25">
      <c r="A1541" t="str">
        <f t="shared" si="121"/>
        <v>RIP</v>
      </c>
      <c r="B1541" t="s">
        <v>1547</v>
      </c>
      <c r="C1541">
        <v>0.78573923800000001</v>
      </c>
      <c r="D1541">
        <v>9.4852888999999996E-2</v>
      </c>
      <c r="E1541">
        <v>0.69041155399999998</v>
      </c>
      <c r="F1541">
        <v>0.389194237</v>
      </c>
      <c r="G1541">
        <v>0.75465380999999998</v>
      </c>
      <c r="H1541">
        <v>1.83</v>
      </c>
      <c r="I1541">
        <v>3.3120466154922998</v>
      </c>
      <c r="J1541">
        <v>3.2941781609112102</v>
      </c>
      <c r="K1541">
        <v>3.80805803081401</v>
      </c>
      <c r="L1541">
        <v>3.7886140982770802</v>
      </c>
      <c r="M1541">
        <v>3.3031123882017601</v>
      </c>
      <c r="N1541">
        <v>3.3031003055727299</v>
      </c>
      <c r="Q1541">
        <f t="shared" si="120"/>
        <v>1.83</v>
      </c>
      <c r="R1541">
        <f t="shared" si="122"/>
        <v>3.3861829148657443</v>
      </c>
      <c r="S1541">
        <f t="shared" si="123"/>
        <v>-1.5561829148657442</v>
      </c>
      <c r="T1541">
        <f t="shared" si="124"/>
        <v>2.4217052645200443</v>
      </c>
    </row>
    <row r="1542" spans="1:20" hidden="1" x14ac:dyDescent="0.25">
      <c r="A1542" t="str">
        <f t="shared" si="121"/>
        <v>RIP</v>
      </c>
      <c r="B1542" t="s">
        <v>1548</v>
      </c>
      <c r="C1542">
        <v>0.855581017</v>
      </c>
      <c r="D1542">
        <v>9.2699585000000001E-2</v>
      </c>
      <c r="E1542">
        <v>0.67416801000000004</v>
      </c>
      <c r="F1542">
        <v>0.37856729</v>
      </c>
      <c r="G1542">
        <v>0.73936659400000004</v>
      </c>
      <c r="H1542">
        <v>2.77</v>
      </c>
      <c r="I1542">
        <v>3.1014469411437302</v>
      </c>
      <c r="J1542">
        <v>3.0654387519734398</v>
      </c>
      <c r="K1542">
        <v>3.6612337301336799</v>
      </c>
      <c r="L1542">
        <v>3.6053554089469002</v>
      </c>
      <c r="M1542">
        <v>3.0834428465585901</v>
      </c>
      <c r="N1542">
        <v>3.0833902835306901</v>
      </c>
      <c r="Q1542">
        <f t="shared" si="120"/>
        <v>2.77</v>
      </c>
      <c r="R1542">
        <f t="shared" si="122"/>
        <v>3.1422373072671475</v>
      </c>
      <c r="S1542">
        <f t="shared" si="123"/>
        <v>-0.37223730726714743</v>
      </c>
      <c r="T1542">
        <f t="shared" si="124"/>
        <v>0.13856061292149674</v>
      </c>
    </row>
    <row r="1543" spans="1:20" hidden="1" x14ac:dyDescent="0.25">
      <c r="A1543" t="str">
        <f t="shared" si="121"/>
        <v>RIP</v>
      </c>
      <c r="B1543" t="s">
        <v>1549</v>
      </c>
      <c r="C1543">
        <v>1.0323638530000001</v>
      </c>
      <c r="D1543">
        <v>9.8954872999999999E-2</v>
      </c>
      <c r="E1543">
        <v>0.71444540000000001</v>
      </c>
      <c r="F1543">
        <v>0.436729753</v>
      </c>
      <c r="G1543">
        <v>0.786150232</v>
      </c>
      <c r="H1543">
        <v>3.38</v>
      </c>
      <c r="I1543">
        <v>3.3565535094608201</v>
      </c>
      <c r="J1543">
        <v>3.4615246991080002</v>
      </c>
      <c r="K1543">
        <v>3.6472867799906101</v>
      </c>
      <c r="L1543">
        <v>3.6997851471441501</v>
      </c>
      <c r="M1543">
        <v>3.4090391042844099</v>
      </c>
      <c r="N1543">
        <v>3.4086350460083401</v>
      </c>
      <c r="Q1543">
        <f t="shared" si="120"/>
        <v>3.38</v>
      </c>
      <c r="R1543">
        <f t="shared" si="122"/>
        <v>3.5134353374648768</v>
      </c>
      <c r="S1543">
        <f t="shared" si="123"/>
        <v>-0.1334353374648769</v>
      </c>
      <c r="T1543">
        <f t="shared" si="124"/>
        <v>1.780498928436558E-2</v>
      </c>
    </row>
    <row r="1544" spans="1:20" hidden="1" x14ac:dyDescent="0.25">
      <c r="A1544" t="str">
        <f t="shared" si="121"/>
        <v>RIP</v>
      </c>
      <c r="B1544" t="s">
        <v>1550</v>
      </c>
      <c r="C1544">
        <v>0.90856853900000001</v>
      </c>
      <c r="D1544">
        <v>9.9283825000000006E-2</v>
      </c>
      <c r="E1544">
        <v>0.70332118099999996</v>
      </c>
      <c r="F1544">
        <v>0.45587491099999999</v>
      </c>
      <c r="G1544">
        <v>0.77254709799999999</v>
      </c>
      <c r="H1544">
        <v>2.98</v>
      </c>
      <c r="I1544">
        <v>3.6171047997572798</v>
      </c>
      <c r="J1544">
        <v>3.6539191915173101</v>
      </c>
      <c r="K1544">
        <v>4.00886001466779</v>
      </c>
      <c r="L1544">
        <v>4.0828870123931598</v>
      </c>
      <c r="M1544">
        <v>3.6355119956372901</v>
      </c>
      <c r="N1544">
        <v>3.63546539600675</v>
      </c>
      <c r="Q1544">
        <f t="shared" si="120"/>
        <v>2.98</v>
      </c>
      <c r="R1544">
        <f t="shared" si="122"/>
        <v>3.7416884593091964</v>
      </c>
      <c r="S1544">
        <f t="shared" si="123"/>
        <v>-0.76168845930919638</v>
      </c>
      <c r="T1544">
        <f t="shared" si="124"/>
        <v>0.58016930904481734</v>
      </c>
    </row>
    <row r="1545" spans="1:20" hidden="1" x14ac:dyDescent="0.25">
      <c r="A1545" t="str">
        <f t="shared" si="121"/>
        <v>RIP</v>
      </c>
      <c r="B1545" t="s">
        <v>1551</v>
      </c>
      <c r="C1545">
        <v>1.180318325</v>
      </c>
      <c r="D1545">
        <v>9.7814692999999994E-2</v>
      </c>
      <c r="E1545">
        <v>0.72246895099999997</v>
      </c>
      <c r="F1545">
        <v>0.48297907699999998</v>
      </c>
      <c r="G1545">
        <v>0.79021371399999996</v>
      </c>
      <c r="H1545">
        <v>3</v>
      </c>
      <c r="I1545">
        <v>3.3115980264480598</v>
      </c>
      <c r="J1545">
        <v>3.4384707809848498</v>
      </c>
      <c r="K1545">
        <v>3.5508045690377399</v>
      </c>
      <c r="L1545">
        <v>3.6187990986483798</v>
      </c>
      <c r="M1545">
        <v>3.3750344037164499</v>
      </c>
      <c r="N1545">
        <v>3.3744381832104602</v>
      </c>
      <c r="Q1545">
        <f t="shared" si="120"/>
        <v>3</v>
      </c>
      <c r="R1545">
        <f t="shared" si="122"/>
        <v>3.4932005997630089</v>
      </c>
      <c r="S1545">
        <f t="shared" si="123"/>
        <v>-0.4932005997630089</v>
      </c>
      <c r="T1545">
        <f t="shared" si="124"/>
        <v>0.24324683160659169</v>
      </c>
    </row>
    <row r="1546" spans="1:20" hidden="1" x14ac:dyDescent="0.25">
      <c r="A1546" t="str">
        <f t="shared" si="121"/>
        <v>RIP</v>
      </c>
      <c r="B1546" t="s">
        <v>1552</v>
      </c>
      <c r="C1546">
        <v>1.405612206</v>
      </c>
      <c r="D1546">
        <v>9.3455016000000002E-2</v>
      </c>
      <c r="E1546">
        <v>0.71446438000000001</v>
      </c>
      <c r="F1546">
        <v>0.49323514800000001</v>
      </c>
      <c r="G1546">
        <v>0.77769719100000001</v>
      </c>
      <c r="H1546">
        <v>3.43</v>
      </c>
      <c r="I1546">
        <v>2.9092074913068999</v>
      </c>
      <c r="J1546">
        <v>3.0334942547541202</v>
      </c>
      <c r="K1546">
        <v>3.11410715544524</v>
      </c>
      <c r="L1546">
        <v>3.1741814205798899</v>
      </c>
      <c r="M1546">
        <v>2.9713508730305098</v>
      </c>
      <c r="N1546">
        <v>2.9707009628650201</v>
      </c>
      <c r="Q1546">
        <f t="shared" si="120"/>
        <v>3.43</v>
      </c>
      <c r="R1546">
        <f t="shared" si="122"/>
        <v>3.0628493692532053</v>
      </c>
      <c r="S1546">
        <f t="shared" si="123"/>
        <v>0.36715063074679488</v>
      </c>
      <c r="T1546">
        <f t="shared" si="124"/>
        <v>0.13479958565776931</v>
      </c>
    </row>
    <row r="1547" spans="1:20" hidden="1" x14ac:dyDescent="0.25">
      <c r="A1547" t="str">
        <f t="shared" si="121"/>
        <v>RIP</v>
      </c>
      <c r="B1547" t="s">
        <v>1553</v>
      </c>
      <c r="C1547">
        <v>1.256523584</v>
      </c>
      <c r="D1547">
        <v>9.6064675000000002E-2</v>
      </c>
      <c r="E1547">
        <v>0.71440527700000001</v>
      </c>
      <c r="F1547">
        <v>0.499061647</v>
      </c>
      <c r="G1547">
        <v>0.78176264200000001</v>
      </c>
      <c r="H1547">
        <v>3.3</v>
      </c>
      <c r="I1547">
        <v>3.2246988150540901</v>
      </c>
      <c r="J1547">
        <v>3.3223808136390902</v>
      </c>
      <c r="K1547">
        <v>3.50119052524684</v>
      </c>
      <c r="L1547">
        <v>3.5902358182201599</v>
      </c>
      <c r="M1547">
        <v>3.2735398143465901</v>
      </c>
      <c r="N1547">
        <v>3.2731754418149399</v>
      </c>
      <c r="Q1547">
        <f t="shared" si="120"/>
        <v>3.3</v>
      </c>
      <c r="R1547">
        <f t="shared" si="122"/>
        <v>3.3778333384363792</v>
      </c>
      <c r="S1547">
        <f t="shared" si="123"/>
        <v>-7.7833338436379407E-2</v>
      </c>
      <c r="T1547">
        <f t="shared" si="124"/>
        <v>6.058028572151976E-3</v>
      </c>
    </row>
    <row r="1548" spans="1:20" hidden="1" x14ac:dyDescent="0.25">
      <c r="A1548" t="str">
        <f t="shared" si="121"/>
        <v>RIP</v>
      </c>
      <c r="B1548" t="s">
        <v>1554</v>
      </c>
      <c r="C1548">
        <v>1.229926383</v>
      </c>
      <c r="D1548">
        <v>9.760257E-2</v>
      </c>
      <c r="E1548">
        <v>0.72160038699999995</v>
      </c>
      <c r="F1548">
        <v>0.54393961000000002</v>
      </c>
      <c r="G1548">
        <v>0.78957914699999998</v>
      </c>
      <c r="H1548">
        <v>3.87</v>
      </c>
      <c r="I1548">
        <v>3.5115247356608701</v>
      </c>
      <c r="J1548">
        <v>3.6006348728925901</v>
      </c>
      <c r="K1548">
        <v>3.8907783671611198</v>
      </c>
      <c r="L1548">
        <v>3.9735284798957302</v>
      </c>
      <c r="M1548">
        <v>3.5560798042767301</v>
      </c>
      <c r="N1548">
        <v>3.55580067217574</v>
      </c>
      <c r="Q1548">
        <f t="shared" si="120"/>
        <v>3.87</v>
      </c>
      <c r="R1548">
        <f t="shared" si="122"/>
        <v>3.6831049618139766</v>
      </c>
      <c r="S1548">
        <f t="shared" si="123"/>
        <v>0.18689503818602349</v>
      </c>
      <c r="T1548">
        <f t="shared" si="124"/>
        <v>3.492975529855518E-2</v>
      </c>
    </row>
    <row r="1549" spans="1:20" hidden="1" x14ac:dyDescent="0.25">
      <c r="A1549" t="str">
        <f t="shared" si="121"/>
        <v>RIP</v>
      </c>
      <c r="B1549" t="s">
        <v>1555</v>
      </c>
      <c r="C1549">
        <v>1.2844222830000001</v>
      </c>
      <c r="D1549">
        <v>0.101839739</v>
      </c>
      <c r="E1549">
        <v>0.72551518999999998</v>
      </c>
      <c r="F1549">
        <v>0.526088624</v>
      </c>
      <c r="G1549">
        <v>0.79328427000000001</v>
      </c>
      <c r="H1549">
        <v>3.97</v>
      </c>
      <c r="I1549">
        <v>3.51505366085008</v>
      </c>
      <c r="J1549">
        <v>3.7167205479038201</v>
      </c>
      <c r="K1549">
        <v>3.7331015069992799</v>
      </c>
      <c r="L1549">
        <v>3.8989806635769599</v>
      </c>
      <c r="M1549">
        <v>3.61588710437695</v>
      </c>
      <c r="N1549">
        <v>3.6144808988658501</v>
      </c>
      <c r="Q1549">
        <f t="shared" si="120"/>
        <v>3.97</v>
      </c>
      <c r="R1549">
        <f t="shared" si="122"/>
        <v>3.7530920607430671</v>
      </c>
      <c r="S1549">
        <f t="shared" si="123"/>
        <v>0.21690793925693308</v>
      </c>
      <c r="T1549">
        <f t="shared" si="124"/>
        <v>4.7049054112689372E-2</v>
      </c>
    </row>
    <row r="1550" spans="1:20" hidden="1" x14ac:dyDescent="0.25">
      <c r="A1550" t="str">
        <f t="shared" si="121"/>
        <v>RIP</v>
      </c>
      <c r="B1550" t="s">
        <v>1556</v>
      </c>
      <c r="C1550">
        <v>1.340593691</v>
      </c>
      <c r="D1550">
        <v>9.5328633999999995E-2</v>
      </c>
      <c r="E1550">
        <v>0.71115317199999994</v>
      </c>
      <c r="F1550">
        <v>0.51760609700000004</v>
      </c>
      <c r="G1550">
        <v>0.78394251699999995</v>
      </c>
      <c r="H1550">
        <v>3.62</v>
      </c>
      <c r="I1550">
        <v>3.18400080758689</v>
      </c>
      <c r="J1550">
        <v>3.26664523955208</v>
      </c>
      <c r="K1550">
        <v>3.45464455242591</v>
      </c>
      <c r="L1550">
        <v>3.5298574991220999</v>
      </c>
      <c r="M1550">
        <v>3.2253230235694801</v>
      </c>
      <c r="N1550">
        <v>3.2250583065789198</v>
      </c>
      <c r="Q1550">
        <f t="shared" si="120"/>
        <v>3.62</v>
      </c>
      <c r="R1550">
        <f t="shared" si="122"/>
        <v>3.3181860889475598</v>
      </c>
      <c r="S1550">
        <f t="shared" si="123"/>
        <v>0.30181391105244026</v>
      </c>
      <c r="T1550">
        <f t="shared" si="124"/>
        <v>9.1091636904770318E-2</v>
      </c>
    </row>
    <row r="1551" spans="1:20" hidden="1" x14ac:dyDescent="0.25">
      <c r="A1551" t="str">
        <f t="shared" si="121"/>
        <v>RIP</v>
      </c>
      <c r="B1551" t="s">
        <v>1557</v>
      </c>
      <c r="C1551">
        <v>1.4115833760000001</v>
      </c>
      <c r="D1551">
        <v>9.9672951999999995E-2</v>
      </c>
      <c r="E1551">
        <v>0.72896305900000002</v>
      </c>
      <c r="F1551">
        <v>0.53426716200000002</v>
      </c>
      <c r="G1551">
        <v>0.79068321900000005</v>
      </c>
      <c r="H1551">
        <v>3.61</v>
      </c>
      <c r="I1551">
        <v>3.2765012565958398</v>
      </c>
      <c r="J1551">
        <v>3.5035755087501501</v>
      </c>
      <c r="K1551">
        <v>3.45776323343321</v>
      </c>
      <c r="L1551">
        <v>3.62037424101183</v>
      </c>
      <c r="M1551">
        <v>3.3900383826729898</v>
      </c>
      <c r="N1551">
        <v>3.3881365906642902</v>
      </c>
      <c r="Q1551">
        <f t="shared" si="120"/>
        <v>3.61</v>
      </c>
      <c r="R1551">
        <f t="shared" si="122"/>
        <v>3.5312332746633421</v>
      </c>
      <c r="S1551">
        <f t="shared" si="123"/>
        <v>7.8766725336657739E-2</v>
      </c>
      <c r="T1551">
        <f t="shared" si="124"/>
        <v>6.2041970202604806E-3</v>
      </c>
    </row>
    <row r="1552" spans="1:20" hidden="1" x14ac:dyDescent="0.25">
      <c r="A1552" t="str">
        <f t="shared" si="121"/>
        <v>RIP</v>
      </c>
      <c r="B1552" t="s">
        <v>1558</v>
      </c>
      <c r="C1552">
        <v>1.440005226</v>
      </c>
      <c r="D1552">
        <v>9.8792330999999997E-2</v>
      </c>
      <c r="E1552">
        <v>0.71895514100000002</v>
      </c>
      <c r="F1552">
        <v>0.52531892199999997</v>
      </c>
      <c r="G1552">
        <v>0.78608127100000003</v>
      </c>
      <c r="H1552">
        <v>3.51</v>
      </c>
      <c r="I1552">
        <v>3.18672496685301</v>
      </c>
      <c r="J1552">
        <v>3.3784336565327</v>
      </c>
      <c r="K1552">
        <v>3.2731549952794401</v>
      </c>
      <c r="L1552">
        <v>3.4132343655413702</v>
      </c>
      <c r="M1552">
        <v>3.2825793116928601</v>
      </c>
      <c r="N1552">
        <v>3.28117949556699</v>
      </c>
      <c r="Q1552">
        <f t="shared" si="120"/>
        <v>3.51</v>
      </c>
      <c r="R1552">
        <f t="shared" si="122"/>
        <v>3.3986437393367028</v>
      </c>
      <c r="S1552">
        <f t="shared" si="123"/>
        <v>0.11135626066329696</v>
      </c>
      <c r="T1552">
        <f t="shared" si="124"/>
        <v>1.2400216788912137E-2</v>
      </c>
    </row>
    <row r="1553" spans="1:20" hidden="1" x14ac:dyDescent="0.25">
      <c r="A1553" t="str">
        <f t="shared" si="121"/>
        <v>RIP</v>
      </c>
      <c r="B1553" t="s">
        <v>1559</v>
      </c>
      <c r="C1553">
        <v>1.384465872</v>
      </c>
      <c r="D1553">
        <v>0.10267643899999999</v>
      </c>
      <c r="E1553">
        <v>0.73360159000000003</v>
      </c>
      <c r="F1553">
        <v>0.54104789399999997</v>
      </c>
      <c r="G1553">
        <v>0.79943736200000004</v>
      </c>
      <c r="H1553">
        <v>3.25</v>
      </c>
      <c r="I1553">
        <v>3.4700728115078898</v>
      </c>
      <c r="J1553">
        <v>3.7359154052260499</v>
      </c>
      <c r="K1553">
        <v>3.6204347199081899</v>
      </c>
      <c r="L1553">
        <v>3.7147331715450198</v>
      </c>
      <c r="M1553">
        <v>3.6029941083669699</v>
      </c>
      <c r="N1553">
        <v>3.6005414139776799</v>
      </c>
      <c r="Q1553">
        <f t="shared" si="120"/>
        <v>3.25</v>
      </c>
      <c r="R1553">
        <f t="shared" si="122"/>
        <v>3.7546720451393623</v>
      </c>
      <c r="S1553">
        <f t="shared" si="123"/>
        <v>-0.50467204513936226</v>
      </c>
      <c r="T1553">
        <f t="shared" si="124"/>
        <v>0.25469387314514652</v>
      </c>
    </row>
    <row r="1554" spans="1:20" hidden="1" x14ac:dyDescent="0.25">
      <c r="A1554" t="str">
        <f t="shared" si="121"/>
        <v>RIP</v>
      </c>
      <c r="B1554" t="s">
        <v>1560</v>
      </c>
      <c r="C1554">
        <v>1.4894855810000001</v>
      </c>
      <c r="D1554">
        <v>0.103065615</v>
      </c>
      <c r="E1554">
        <v>0.70727989499999999</v>
      </c>
      <c r="F1554">
        <v>0.52408101799999995</v>
      </c>
      <c r="G1554">
        <v>0.77452450799999994</v>
      </c>
      <c r="H1554">
        <v>3.54</v>
      </c>
      <c r="I1554">
        <v>3.27783289167958</v>
      </c>
      <c r="J1554">
        <v>3.5457100316763901</v>
      </c>
      <c r="K1554">
        <v>3.2916725268726599</v>
      </c>
      <c r="L1554">
        <v>3.47437220043438</v>
      </c>
      <c r="M1554">
        <v>3.4117714616779899</v>
      </c>
      <c r="N1554">
        <v>3.4091413825459198</v>
      </c>
      <c r="Q1554">
        <f t="shared" si="120"/>
        <v>3.54</v>
      </c>
      <c r="R1554">
        <f t="shared" si="122"/>
        <v>3.5271692395053211</v>
      </c>
      <c r="S1554">
        <f t="shared" si="123"/>
        <v>1.2830760494678906E-2</v>
      </c>
      <c r="T1554">
        <f t="shared" si="124"/>
        <v>1.6462841487181287E-4</v>
      </c>
    </row>
    <row r="1555" spans="1:20" hidden="1" x14ac:dyDescent="0.25">
      <c r="A1555" t="str">
        <f t="shared" si="121"/>
        <v>RIP</v>
      </c>
      <c r="B1555" t="s">
        <v>1561</v>
      </c>
      <c r="C1555">
        <v>1.379564848</v>
      </c>
      <c r="D1555">
        <v>9.6333880999999996E-2</v>
      </c>
      <c r="E1555">
        <v>0.716740249</v>
      </c>
      <c r="F1555">
        <v>0.51889505999999996</v>
      </c>
      <c r="G1555">
        <v>0.77940515099999996</v>
      </c>
      <c r="H1555">
        <v>3.18</v>
      </c>
      <c r="I1555">
        <v>3.14944201212186</v>
      </c>
      <c r="J1555">
        <v>3.28886027668301</v>
      </c>
      <c r="K1555">
        <v>3.4264060066402098</v>
      </c>
      <c r="L1555">
        <v>3.5979302437842802</v>
      </c>
      <c r="M1555">
        <v>3.2191511444024301</v>
      </c>
      <c r="N1555">
        <v>3.21839629744135</v>
      </c>
      <c r="Q1555">
        <f t="shared" si="120"/>
        <v>3.18</v>
      </c>
      <c r="R1555">
        <f t="shared" si="122"/>
        <v>3.3292118851921808</v>
      </c>
      <c r="S1555">
        <f t="shared" si="123"/>
        <v>-0.14921188519218065</v>
      </c>
      <c r="T1555">
        <f t="shared" si="124"/>
        <v>2.2264186682604499E-2</v>
      </c>
    </row>
    <row r="1556" spans="1:20" hidden="1" x14ac:dyDescent="0.25">
      <c r="A1556" t="str">
        <f t="shared" si="121"/>
        <v>RIP</v>
      </c>
      <c r="B1556" t="s">
        <v>1562</v>
      </c>
      <c r="C1556">
        <v>1.2739076949999999</v>
      </c>
      <c r="D1556">
        <v>0.101329314</v>
      </c>
      <c r="E1556">
        <v>0.73292797899999995</v>
      </c>
      <c r="F1556">
        <v>0.52795915500000001</v>
      </c>
      <c r="G1556">
        <v>0.79925655100000004</v>
      </c>
      <c r="H1556">
        <v>3.14</v>
      </c>
      <c r="I1556">
        <v>3.5097969572857601</v>
      </c>
      <c r="J1556">
        <v>3.7173889942888199</v>
      </c>
      <c r="K1556">
        <v>3.6705885604125799</v>
      </c>
      <c r="L1556">
        <v>3.7701940605885</v>
      </c>
      <c r="M1556">
        <v>3.6135929757872902</v>
      </c>
      <c r="N1556">
        <v>3.6121019616287802</v>
      </c>
      <c r="Q1556">
        <f t="shared" si="120"/>
        <v>3.14</v>
      </c>
      <c r="R1556">
        <f t="shared" si="122"/>
        <v>3.7609484927936663</v>
      </c>
      <c r="S1556">
        <f t="shared" si="123"/>
        <v>-0.62094849279366615</v>
      </c>
      <c r="T1556">
        <f t="shared" si="124"/>
        <v>0.38557703070272564</v>
      </c>
    </row>
    <row r="1557" spans="1:20" hidden="1" x14ac:dyDescent="0.25">
      <c r="A1557" t="str">
        <f t="shared" si="121"/>
        <v>RIP</v>
      </c>
      <c r="B1557" t="s">
        <v>1563</v>
      </c>
      <c r="C1557">
        <v>1.1636617520000001</v>
      </c>
      <c r="D1557">
        <v>0.102722914</v>
      </c>
      <c r="E1557">
        <v>0.72838802999999996</v>
      </c>
      <c r="F1557">
        <v>0.53490254999999998</v>
      </c>
      <c r="G1557">
        <v>0.79201406699999999</v>
      </c>
      <c r="H1557">
        <v>3.51</v>
      </c>
      <c r="I1557">
        <v>3.7388442798788901</v>
      </c>
      <c r="J1557">
        <v>3.9277500097345799</v>
      </c>
      <c r="K1557">
        <v>3.88948412665607</v>
      </c>
      <c r="L1557">
        <v>4.0241166799377099</v>
      </c>
      <c r="M1557">
        <v>3.8332971448067301</v>
      </c>
      <c r="N1557">
        <v>3.8321333036169798</v>
      </c>
      <c r="Q1557">
        <f t="shared" si="120"/>
        <v>3.51</v>
      </c>
      <c r="R1557">
        <f t="shared" si="122"/>
        <v>3.9893018170902197</v>
      </c>
      <c r="S1557">
        <f t="shared" si="123"/>
        <v>-0.47930181709021991</v>
      </c>
      <c r="T1557">
        <f t="shared" si="124"/>
        <v>0.22973023186598662</v>
      </c>
    </row>
    <row r="1558" spans="1:20" hidden="1" x14ac:dyDescent="0.25">
      <c r="A1558" t="str">
        <f t="shared" si="121"/>
        <v>RIP</v>
      </c>
      <c r="B1558" t="s">
        <v>1564</v>
      </c>
      <c r="C1558">
        <v>1.402840877</v>
      </c>
      <c r="D1558">
        <v>0.10056586300000001</v>
      </c>
      <c r="E1558">
        <v>0.72895853399999999</v>
      </c>
      <c r="F1558">
        <v>0.53532199700000005</v>
      </c>
      <c r="G1558">
        <v>0.79650355299999998</v>
      </c>
      <c r="H1558">
        <v>3.83</v>
      </c>
      <c r="I1558">
        <v>3.3446108238033401</v>
      </c>
      <c r="J1558">
        <v>3.5652489202962201</v>
      </c>
      <c r="K1558">
        <v>3.4752587560432899</v>
      </c>
      <c r="L1558">
        <v>3.5570845632550898</v>
      </c>
      <c r="M1558">
        <v>3.4549298720497799</v>
      </c>
      <c r="N1558">
        <v>3.4531681291787599</v>
      </c>
      <c r="Q1558">
        <f t="shared" si="120"/>
        <v>3.83</v>
      </c>
      <c r="R1558">
        <f t="shared" si="122"/>
        <v>3.5902777569719184</v>
      </c>
      <c r="S1558">
        <f t="shared" si="123"/>
        <v>0.23972224302808165</v>
      </c>
      <c r="T1558">
        <f t="shared" si="124"/>
        <v>5.7466753802414644E-2</v>
      </c>
    </row>
    <row r="1559" spans="1:20" hidden="1" x14ac:dyDescent="0.25">
      <c r="A1559" t="str">
        <f t="shared" si="121"/>
        <v>RIP</v>
      </c>
      <c r="B1559" t="s">
        <v>1565</v>
      </c>
      <c r="C1559">
        <v>1.3018529830000001</v>
      </c>
      <c r="D1559">
        <v>9.9353063000000005E-2</v>
      </c>
      <c r="E1559">
        <v>0.71603552299999995</v>
      </c>
      <c r="F1559">
        <v>0.52724853999999999</v>
      </c>
      <c r="G1559">
        <v>0.78123220199999999</v>
      </c>
      <c r="H1559">
        <v>4.18</v>
      </c>
      <c r="I1559">
        <v>3.4006728233729402</v>
      </c>
      <c r="J1559">
        <v>3.5482040581470899</v>
      </c>
      <c r="K1559">
        <v>3.58105534072455</v>
      </c>
      <c r="L1559">
        <v>3.6860125470705101</v>
      </c>
      <c r="M1559">
        <v>3.4744384407600202</v>
      </c>
      <c r="N1559">
        <v>3.4736552955528599</v>
      </c>
      <c r="Q1559">
        <f t="shared" si="120"/>
        <v>4.18</v>
      </c>
      <c r="R1559">
        <f t="shared" si="122"/>
        <v>3.5960315369745821</v>
      </c>
      <c r="S1559">
        <f t="shared" si="123"/>
        <v>0.58396846302541761</v>
      </c>
      <c r="T1559">
        <f t="shared" si="124"/>
        <v>0.34101916580826852</v>
      </c>
    </row>
    <row r="1560" spans="1:20" hidden="1" x14ac:dyDescent="0.25">
      <c r="A1560" t="str">
        <f t="shared" si="121"/>
        <v>RIP</v>
      </c>
      <c r="B1560" t="s">
        <v>1566</v>
      </c>
      <c r="C1560">
        <v>1.3009583570000001</v>
      </c>
      <c r="D1560">
        <v>9.3422063E-2</v>
      </c>
      <c r="E1560">
        <v>0.71619107400000004</v>
      </c>
      <c r="F1560">
        <v>0.54093052900000005</v>
      </c>
      <c r="G1560">
        <v>0.78019371900000001</v>
      </c>
      <c r="H1560">
        <v>3.21</v>
      </c>
      <c r="I1560">
        <v>3.2678580246834898</v>
      </c>
      <c r="J1560">
        <v>3.3146610637911902</v>
      </c>
      <c r="K1560">
        <v>3.55380207640005</v>
      </c>
      <c r="L1560">
        <v>3.6364996528587699</v>
      </c>
      <c r="M1560">
        <v>3.2912595442373398</v>
      </c>
      <c r="N1560">
        <v>3.29117634842255</v>
      </c>
      <c r="Q1560">
        <f t="shared" si="120"/>
        <v>3.21</v>
      </c>
      <c r="R1560">
        <f t="shared" si="122"/>
        <v>3.3958591461779557</v>
      </c>
      <c r="S1560">
        <f t="shared" si="123"/>
        <v>-0.18585914617795574</v>
      </c>
      <c r="T1560">
        <f t="shared" si="124"/>
        <v>3.4543622217998719E-2</v>
      </c>
    </row>
    <row r="1561" spans="1:20" hidden="1" x14ac:dyDescent="0.25">
      <c r="A1561" t="str">
        <f t="shared" si="121"/>
        <v>RIP</v>
      </c>
      <c r="B1561" t="s">
        <v>1567</v>
      </c>
      <c r="C1561">
        <v>1.272729886</v>
      </c>
      <c r="D1561">
        <v>9.7965366999999998E-2</v>
      </c>
      <c r="E1561">
        <v>0.71363646000000003</v>
      </c>
      <c r="F1561">
        <v>0.55307366499999999</v>
      </c>
      <c r="G1561">
        <v>0.79246767200000001</v>
      </c>
      <c r="H1561">
        <v>3.26</v>
      </c>
      <c r="I1561">
        <v>3.5413804649157998</v>
      </c>
      <c r="J1561">
        <v>3.5961848652377801</v>
      </c>
      <c r="K1561">
        <v>3.89521814791989</v>
      </c>
      <c r="L1561">
        <v>3.9490773508149899</v>
      </c>
      <c r="M1561">
        <v>3.5687826650767902</v>
      </c>
      <c r="N1561">
        <v>3.5686774623071398</v>
      </c>
      <c r="Q1561">
        <f t="shared" si="120"/>
        <v>3.26</v>
      </c>
      <c r="R1561">
        <f t="shared" si="122"/>
        <v>3.6729723377121548</v>
      </c>
      <c r="S1561">
        <f t="shared" si="123"/>
        <v>-0.41297233771215502</v>
      </c>
      <c r="T1561">
        <f t="shared" si="124"/>
        <v>0.17054615171544221</v>
      </c>
    </row>
    <row r="1562" spans="1:20" hidden="1" x14ac:dyDescent="0.25">
      <c r="A1562" t="str">
        <f t="shared" si="121"/>
        <v>RIP</v>
      </c>
      <c r="B1562" t="s">
        <v>1568</v>
      </c>
      <c r="C1562">
        <v>1.4292528680000001</v>
      </c>
      <c r="D1562">
        <v>9.8349535000000002E-2</v>
      </c>
      <c r="E1562">
        <v>0.71431535999999995</v>
      </c>
      <c r="F1562">
        <v>0.52926774700000001</v>
      </c>
      <c r="G1562">
        <v>0.79275456099999997</v>
      </c>
      <c r="H1562">
        <v>3.62</v>
      </c>
      <c r="I1562">
        <v>3.2453658288936502</v>
      </c>
      <c r="J1562">
        <v>3.37292213139937</v>
      </c>
      <c r="K1562">
        <v>3.4766086086410302</v>
      </c>
      <c r="L1562">
        <v>3.5666250679279998</v>
      </c>
      <c r="M1562">
        <v>3.3091439801465099</v>
      </c>
      <c r="N1562">
        <v>3.3085293150828599</v>
      </c>
      <c r="Q1562">
        <f t="shared" si="120"/>
        <v>3.62</v>
      </c>
      <c r="R1562">
        <f t="shared" si="122"/>
        <v>3.3998152033774236</v>
      </c>
      <c r="S1562">
        <f t="shared" si="123"/>
        <v>0.22018479662257651</v>
      </c>
      <c r="T1562">
        <f t="shared" si="124"/>
        <v>4.8481344663725376E-2</v>
      </c>
    </row>
    <row r="1563" spans="1:20" hidden="1" x14ac:dyDescent="0.25">
      <c r="A1563" t="str">
        <f t="shared" si="121"/>
        <v>RIP</v>
      </c>
      <c r="B1563" t="s">
        <v>1569</v>
      </c>
      <c r="C1563">
        <v>1.6686485150000001</v>
      </c>
      <c r="D1563">
        <v>0.10056828499999999</v>
      </c>
      <c r="E1563">
        <v>0.71553906899999997</v>
      </c>
      <c r="F1563">
        <v>0.52751541999999996</v>
      </c>
      <c r="G1563">
        <v>0.79452408399999996</v>
      </c>
      <c r="H1563">
        <v>3.88</v>
      </c>
      <c r="I1563">
        <v>3.0151586452852999</v>
      </c>
      <c r="J1563">
        <v>3.2476369745325999</v>
      </c>
      <c r="K1563">
        <v>2.8644760819414299</v>
      </c>
      <c r="L1563">
        <v>2.8771138163986301</v>
      </c>
      <c r="M1563">
        <v>3.1313978099089499</v>
      </c>
      <c r="N1563">
        <v>3.12923963615926</v>
      </c>
      <c r="Q1563">
        <f t="shared" si="120"/>
        <v>3.88</v>
      </c>
      <c r="R1563">
        <f t="shared" si="122"/>
        <v>3.2102628555824344</v>
      </c>
      <c r="S1563">
        <f t="shared" si="123"/>
        <v>0.66973714441756549</v>
      </c>
      <c r="T1563">
        <f t="shared" si="124"/>
        <v>0.44854784261259495</v>
      </c>
    </row>
    <row r="1564" spans="1:20" hidden="1" x14ac:dyDescent="0.25">
      <c r="A1564" t="str">
        <f t="shared" si="121"/>
        <v>RIP</v>
      </c>
      <c r="B1564" t="s">
        <v>1570</v>
      </c>
      <c r="C1564">
        <v>1.5378176450000001</v>
      </c>
      <c r="D1564">
        <v>0.103665955</v>
      </c>
      <c r="E1564">
        <v>0.72548239299999995</v>
      </c>
      <c r="F1564">
        <v>0.55104812299999995</v>
      </c>
      <c r="G1564">
        <v>0.80560740900000005</v>
      </c>
      <c r="H1564">
        <v>3.25</v>
      </c>
      <c r="I1564">
        <v>3.4481363400793898</v>
      </c>
      <c r="J1564">
        <v>3.6663341335008401</v>
      </c>
      <c r="K1564">
        <v>3.2383502121292902</v>
      </c>
      <c r="L1564">
        <v>3.2335111800900398</v>
      </c>
      <c r="M1564">
        <v>3.5572352367901199</v>
      </c>
      <c r="N1564">
        <v>3.5555618347312898</v>
      </c>
      <c r="Q1564">
        <f t="shared" si="120"/>
        <v>3.25</v>
      </c>
      <c r="R1564">
        <f t="shared" si="122"/>
        <v>3.6503939703836799</v>
      </c>
      <c r="S1564">
        <f t="shared" si="123"/>
        <v>-0.40039397038367985</v>
      </c>
      <c r="T1564">
        <f t="shared" si="124"/>
        <v>0.16031533151960711</v>
      </c>
    </row>
    <row r="1565" spans="1:20" hidden="1" x14ac:dyDescent="0.25">
      <c r="A1565" t="str">
        <f t="shared" si="121"/>
        <v>RIP</v>
      </c>
      <c r="B1565" t="s">
        <v>1571</v>
      </c>
      <c r="C1565">
        <v>1.645161629</v>
      </c>
      <c r="D1565">
        <v>9.9557601999999995E-2</v>
      </c>
      <c r="E1565">
        <v>0.72527572799999995</v>
      </c>
      <c r="F1565">
        <v>0.53939475699999995</v>
      </c>
      <c r="G1565">
        <v>0.80509663099999995</v>
      </c>
      <c r="H1565">
        <v>3.53</v>
      </c>
      <c r="I1565">
        <v>3.0687562117327198</v>
      </c>
      <c r="J1565">
        <v>3.2762808964489598</v>
      </c>
      <c r="K1565">
        <v>2.9204732148105701</v>
      </c>
      <c r="L1565">
        <v>2.9000604403483199</v>
      </c>
      <c r="M1565">
        <v>3.17251855409084</v>
      </c>
      <c r="N1565">
        <v>3.1708212425740698</v>
      </c>
      <c r="Q1565">
        <f t="shared" si="120"/>
        <v>3.53</v>
      </c>
      <c r="R1565">
        <f t="shared" si="122"/>
        <v>3.2575706508665094</v>
      </c>
      <c r="S1565">
        <f t="shared" si="123"/>
        <v>0.27242934913349037</v>
      </c>
      <c r="T1565">
        <f t="shared" si="124"/>
        <v>7.4217750269297195E-2</v>
      </c>
    </row>
    <row r="1566" spans="1:20" hidden="1" x14ac:dyDescent="0.25">
      <c r="A1566" t="str">
        <f t="shared" si="121"/>
        <v>RIP</v>
      </c>
      <c r="B1566" t="s">
        <v>1572</v>
      </c>
      <c r="C1566">
        <v>1.2382669909999999</v>
      </c>
      <c r="D1566">
        <v>0.108168395</v>
      </c>
      <c r="E1566">
        <v>0.73374534300000005</v>
      </c>
      <c r="F1566">
        <v>0.53460146600000003</v>
      </c>
      <c r="G1566">
        <v>0.81576505499999996</v>
      </c>
      <c r="H1566">
        <v>3.59</v>
      </c>
      <c r="I1566">
        <v>4.0702314124205099</v>
      </c>
      <c r="J1566">
        <v>4.2380377514306504</v>
      </c>
      <c r="K1566">
        <v>3.8078985746661602</v>
      </c>
      <c r="L1566">
        <v>3.8992182885541098</v>
      </c>
      <c r="M1566">
        <v>4.1541345819255797</v>
      </c>
      <c r="N1566">
        <v>4.1532871779949296</v>
      </c>
      <c r="Q1566">
        <f t="shared" si="120"/>
        <v>3.59</v>
      </c>
      <c r="R1566">
        <f t="shared" si="122"/>
        <v>4.2312253248233702</v>
      </c>
      <c r="S1566">
        <f t="shared" si="123"/>
        <v>-0.64122532482337036</v>
      </c>
      <c r="T1566">
        <f t="shared" si="124"/>
        <v>0.41116991719483681</v>
      </c>
    </row>
    <row r="1567" spans="1:20" hidden="1" x14ac:dyDescent="0.25">
      <c r="A1567" t="str">
        <f t="shared" si="121"/>
        <v>RIP</v>
      </c>
      <c r="B1567" t="s">
        <v>1573</v>
      </c>
      <c r="C1567">
        <v>1.315747614</v>
      </c>
      <c r="D1567">
        <v>0.107716381</v>
      </c>
      <c r="E1567">
        <v>0.73240075100000002</v>
      </c>
      <c r="F1567">
        <v>0.51841116600000003</v>
      </c>
      <c r="G1567">
        <v>0.81348910900000004</v>
      </c>
      <c r="H1567">
        <v>3.82</v>
      </c>
      <c r="I1567">
        <v>3.8534544815162199</v>
      </c>
      <c r="J1567">
        <v>4.06347843311727</v>
      </c>
      <c r="K1567">
        <v>3.52703486318212</v>
      </c>
      <c r="L1567">
        <v>3.5685399409841199</v>
      </c>
      <c r="M1567">
        <v>3.9584664573167498</v>
      </c>
      <c r="N1567">
        <v>3.9570733097379298</v>
      </c>
      <c r="Q1567">
        <f t="shared" si="120"/>
        <v>3.82</v>
      </c>
      <c r="R1567">
        <f t="shared" si="122"/>
        <v>4.0356041009059025</v>
      </c>
      <c r="S1567">
        <f t="shared" si="123"/>
        <v>-0.21560410090590265</v>
      </c>
      <c r="T1567">
        <f t="shared" si="124"/>
        <v>4.648512832744265E-2</v>
      </c>
    </row>
    <row r="1568" spans="1:20" hidden="1" x14ac:dyDescent="0.25">
      <c r="A1568" t="str">
        <f t="shared" si="121"/>
        <v>RIP</v>
      </c>
      <c r="B1568" t="s">
        <v>1574</v>
      </c>
      <c r="C1568">
        <v>1.4052104679999999</v>
      </c>
      <c r="D1568">
        <v>0.10664270200000001</v>
      </c>
      <c r="E1568">
        <v>0.72621540900000003</v>
      </c>
      <c r="F1568">
        <v>0.50235485700000004</v>
      </c>
      <c r="G1568">
        <v>0.81121227100000004</v>
      </c>
      <c r="H1568">
        <v>3.76</v>
      </c>
      <c r="I1568">
        <v>3.64201324302589</v>
      </c>
      <c r="J1568">
        <v>3.8234059957698499</v>
      </c>
      <c r="K1568">
        <v>3.2923193110698499</v>
      </c>
      <c r="L1568">
        <v>3.3867215411006701</v>
      </c>
      <c r="M1568">
        <v>3.7327096193978702</v>
      </c>
      <c r="N1568">
        <v>3.7316075986173001</v>
      </c>
      <c r="Q1568">
        <f t="shared" si="120"/>
        <v>3.76</v>
      </c>
      <c r="R1568">
        <f t="shared" si="122"/>
        <v>3.7783214543821284</v>
      </c>
      <c r="S1568">
        <f t="shared" si="123"/>
        <v>-1.8321454382128621E-2</v>
      </c>
      <c r="T1568">
        <f t="shared" si="124"/>
        <v>3.3567569067642004E-4</v>
      </c>
    </row>
    <row r="1569" spans="1:20" hidden="1" x14ac:dyDescent="0.25">
      <c r="A1569" t="str">
        <f t="shared" si="121"/>
        <v>RIP</v>
      </c>
      <c r="B1569" t="s">
        <v>1575</v>
      </c>
      <c r="C1569">
        <v>1.3677595789999999</v>
      </c>
      <c r="D1569">
        <v>0.102500676</v>
      </c>
      <c r="E1569">
        <v>0.72947611899999998</v>
      </c>
      <c r="F1569">
        <v>0.56122240400000001</v>
      </c>
      <c r="G1569">
        <v>0.80832467699999999</v>
      </c>
      <c r="H1569">
        <v>3.3</v>
      </c>
      <c r="I1569">
        <v>3.6508493509522801</v>
      </c>
      <c r="J1569">
        <v>3.8087560620494001</v>
      </c>
      <c r="K1569">
        <v>3.5779320500213698</v>
      </c>
      <c r="L1569">
        <v>3.53668757816782</v>
      </c>
      <c r="M1569">
        <v>3.7298027065008399</v>
      </c>
      <c r="N1569">
        <v>3.7289669611125</v>
      </c>
      <c r="Q1569">
        <f t="shared" si="120"/>
        <v>3.3</v>
      </c>
      <c r="R1569">
        <f t="shared" si="122"/>
        <v>3.8444979210662611</v>
      </c>
      <c r="S1569">
        <f t="shared" si="123"/>
        <v>-0.54449792106626127</v>
      </c>
      <c r="T1569">
        <f t="shared" si="124"/>
        <v>0.29647798604548048</v>
      </c>
    </row>
    <row r="1570" spans="1:20" hidden="1" x14ac:dyDescent="0.25">
      <c r="A1570" t="str">
        <f t="shared" si="121"/>
        <v>RIP</v>
      </c>
      <c r="B1570" t="s">
        <v>1576</v>
      </c>
      <c r="C1570">
        <v>1.2859390020000001</v>
      </c>
      <c r="D1570">
        <v>0.10244347700000001</v>
      </c>
      <c r="E1570">
        <v>0.72868607799999996</v>
      </c>
      <c r="F1570">
        <v>0.56386851299999996</v>
      </c>
      <c r="G1570">
        <v>0.81174499499999997</v>
      </c>
      <c r="H1570">
        <v>3.47</v>
      </c>
      <c r="I1570">
        <v>3.8003018649499198</v>
      </c>
      <c r="J1570">
        <v>3.8954484283173398</v>
      </c>
      <c r="K1570">
        <v>3.6884599144424199</v>
      </c>
      <c r="L1570">
        <v>3.64356860835069</v>
      </c>
      <c r="M1570">
        <v>3.8478751466336298</v>
      </c>
      <c r="N1570">
        <v>3.8475810487825499</v>
      </c>
      <c r="Q1570">
        <f t="shared" si="120"/>
        <v>3.47</v>
      </c>
      <c r="R1570">
        <f t="shared" si="122"/>
        <v>3.9506719194051314</v>
      </c>
      <c r="S1570">
        <f t="shared" si="123"/>
        <v>-0.48067191940513121</v>
      </c>
      <c r="T1570">
        <f t="shared" si="124"/>
        <v>0.23104549410461295</v>
      </c>
    </row>
    <row r="1571" spans="1:20" hidden="1" x14ac:dyDescent="0.25">
      <c r="A1571" t="str">
        <f t="shared" si="121"/>
        <v>RIP</v>
      </c>
      <c r="B1571" t="s">
        <v>1577</v>
      </c>
      <c r="C1571">
        <v>1.154372478</v>
      </c>
      <c r="D1571">
        <v>0.100023417</v>
      </c>
      <c r="E1571">
        <v>0.75836152800000001</v>
      </c>
      <c r="F1571">
        <v>0.51031674699999996</v>
      </c>
      <c r="G1571">
        <v>0.83366716399999996</v>
      </c>
      <c r="H1571">
        <v>4.32</v>
      </c>
      <c r="I1571">
        <v>3.61327788595091</v>
      </c>
      <c r="J1571">
        <v>3.7425855613058401</v>
      </c>
      <c r="K1571">
        <v>3.5285956862203198</v>
      </c>
      <c r="L1571">
        <v>3.55065224844419</v>
      </c>
      <c r="M1571">
        <v>3.6779317236283799</v>
      </c>
      <c r="N1571">
        <v>3.67736340942061</v>
      </c>
      <c r="Q1571">
        <f t="shared" si="120"/>
        <v>4.32</v>
      </c>
      <c r="R1571">
        <f t="shared" si="122"/>
        <v>3.81023686406055</v>
      </c>
      <c r="S1571">
        <f t="shared" si="123"/>
        <v>0.50976313593945033</v>
      </c>
      <c r="T1571">
        <f t="shared" si="124"/>
        <v>0.25985845476282249</v>
      </c>
    </row>
    <row r="1572" spans="1:20" hidden="1" x14ac:dyDescent="0.25">
      <c r="A1572" t="str">
        <f t="shared" si="121"/>
        <v>RIP</v>
      </c>
      <c r="B1572" t="s">
        <v>1578</v>
      </c>
      <c r="C1572">
        <v>1.088779655</v>
      </c>
      <c r="D1572">
        <v>0.100638088</v>
      </c>
      <c r="E1572">
        <v>0.75138930400000004</v>
      </c>
      <c r="F1572">
        <v>0.53558068400000003</v>
      </c>
      <c r="G1572">
        <v>0.82799406200000003</v>
      </c>
      <c r="H1572">
        <v>3.92</v>
      </c>
      <c r="I1572">
        <v>3.8254848002903401</v>
      </c>
      <c r="J1572">
        <v>3.9232242665856099</v>
      </c>
      <c r="K1572">
        <v>3.8167604907556898</v>
      </c>
      <c r="L1572">
        <v>3.8485114737964401</v>
      </c>
      <c r="M1572">
        <v>3.8743545334379799</v>
      </c>
      <c r="N1572">
        <v>3.87404630844205</v>
      </c>
      <c r="Q1572">
        <f t="shared" si="120"/>
        <v>3.92</v>
      </c>
      <c r="R1572">
        <f t="shared" si="122"/>
        <v>4.0164063372178251</v>
      </c>
      <c r="S1572">
        <f t="shared" si="123"/>
        <v>-9.6406337217825211E-2</v>
      </c>
      <c r="T1572">
        <f t="shared" si="124"/>
        <v>9.2941818557570298E-3</v>
      </c>
    </row>
    <row r="1573" spans="1:20" hidden="1" x14ac:dyDescent="0.25">
      <c r="A1573" t="str">
        <f t="shared" si="121"/>
        <v>RIP</v>
      </c>
      <c r="B1573" t="s">
        <v>1579</v>
      </c>
      <c r="C1573">
        <v>1.4659309979999999</v>
      </c>
      <c r="D1573">
        <v>9.9184768000000006E-2</v>
      </c>
      <c r="E1573">
        <v>0.75310566300000004</v>
      </c>
      <c r="F1573">
        <v>0.56338771300000001</v>
      </c>
      <c r="G1573">
        <v>0.83045917000000002</v>
      </c>
      <c r="H1573">
        <v>4.3600000000000003</v>
      </c>
      <c r="I1573">
        <v>3.3947734831446099</v>
      </c>
      <c r="J1573">
        <v>3.5713268137002299</v>
      </c>
      <c r="K1573">
        <v>3.20663855697225</v>
      </c>
      <c r="L1573">
        <v>3.1740337577891502</v>
      </c>
      <c r="M1573">
        <v>3.4830501484224201</v>
      </c>
      <c r="N1573">
        <v>3.4819312984022099</v>
      </c>
      <c r="Q1573">
        <f t="shared" si="120"/>
        <v>4.3600000000000003</v>
      </c>
      <c r="R1573">
        <f t="shared" si="122"/>
        <v>3.6092346344729513</v>
      </c>
      <c r="S1573">
        <f t="shared" si="123"/>
        <v>0.75076536552704898</v>
      </c>
      <c r="T1573">
        <f t="shared" si="124"/>
        <v>0.56364863407496346</v>
      </c>
    </row>
    <row r="1574" spans="1:20" hidden="1" x14ac:dyDescent="0.25">
      <c r="A1574" t="str">
        <f t="shared" si="121"/>
        <v>RIP</v>
      </c>
      <c r="B1574" t="s">
        <v>1580</v>
      </c>
      <c r="C1574">
        <v>1.309947078</v>
      </c>
      <c r="D1574">
        <v>9.8854537000000006E-2</v>
      </c>
      <c r="E1574">
        <v>0.755131997</v>
      </c>
      <c r="F1574">
        <v>0.50473495800000001</v>
      </c>
      <c r="G1574">
        <v>0.82882213299999996</v>
      </c>
      <c r="H1574">
        <v>3.83</v>
      </c>
      <c r="I1574">
        <v>3.32030266240508</v>
      </c>
      <c r="J1574">
        <v>3.4978023108510299</v>
      </c>
      <c r="K1574">
        <v>3.2738307211753499</v>
      </c>
      <c r="L1574">
        <v>3.27421419054357</v>
      </c>
      <c r="M1574">
        <v>3.4090524866280498</v>
      </c>
      <c r="N1574">
        <v>3.4078970532111601</v>
      </c>
      <c r="Q1574">
        <f t="shared" si="120"/>
        <v>3.83</v>
      </c>
      <c r="R1574">
        <f t="shared" si="122"/>
        <v>3.5348965592254187</v>
      </c>
      <c r="S1574">
        <f t="shared" si="123"/>
        <v>0.29510344077458139</v>
      </c>
      <c r="T1574">
        <f t="shared" si="124"/>
        <v>8.7086040756996871E-2</v>
      </c>
    </row>
    <row r="1575" spans="1:20" hidden="1" x14ac:dyDescent="0.25">
      <c r="A1575" t="str">
        <f t="shared" si="121"/>
        <v>RIP</v>
      </c>
      <c r="B1575" t="s">
        <v>1581</v>
      </c>
      <c r="C1575">
        <v>1.0156152730000001</v>
      </c>
      <c r="D1575">
        <v>9.5224044999999993E-2</v>
      </c>
      <c r="E1575">
        <v>0.73842121800000005</v>
      </c>
      <c r="F1575">
        <v>0.51275142699999998</v>
      </c>
      <c r="G1575">
        <v>0.80848473899999995</v>
      </c>
      <c r="H1575">
        <v>2.92</v>
      </c>
      <c r="I1575">
        <v>3.5672494769938901</v>
      </c>
      <c r="J1575">
        <v>3.6137445943310098</v>
      </c>
      <c r="K1575">
        <v>4.06879432881487</v>
      </c>
      <c r="L1575">
        <v>4.1615004643430797</v>
      </c>
      <c r="M1575">
        <v>3.5904970356624499</v>
      </c>
      <c r="N1575">
        <v>3.5904217738473001</v>
      </c>
      <c r="Q1575">
        <f t="shared" si="120"/>
        <v>2.92</v>
      </c>
      <c r="R1575">
        <f t="shared" si="122"/>
        <v>3.7336535280243179</v>
      </c>
      <c r="S1575">
        <f t="shared" si="123"/>
        <v>-0.81365352802431801</v>
      </c>
      <c r="T1575">
        <f t="shared" si="124"/>
        <v>0.66203206366641965</v>
      </c>
    </row>
    <row r="1576" spans="1:20" hidden="1" x14ac:dyDescent="0.25">
      <c r="A1576" t="str">
        <f t="shared" si="121"/>
        <v>RIP</v>
      </c>
      <c r="B1576" t="s">
        <v>1582</v>
      </c>
      <c r="C1576">
        <v>1.2608737489999999</v>
      </c>
      <c r="D1576">
        <v>0.100805988</v>
      </c>
      <c r="E1576">
        <v>0.75619445200000002</v>
      </c>
      <c r="F1576">
        <v>0.53910192999999995</v>
      </c>
      <c r="G1576">
        <v>0.82970273800000005</v>
      </c>
      <c r="H1576">
        <v>3.93</v>
      </c>
      <c r="I1576">
        <v>3.6068404962429201</v>
      </c>
      <c r="J1576">
        <v>3.7819203834267898</v>
      </c>
      <c r="K1576">
        <v>3.5316993466146802</v>
      </c>
      <c r="L1576">
        <v>3.5224203981833302</v>
      </c>
      <c r="M1576">
        <v>3.6943804398348599</v>
      </c>
      <c r="N1576">
        <v>3.6933431457840902</v>
      </c>
      <c r="Q1576">
        <f t="shared" si="120"/>
        <v>3.93</v>
      </c>
      <c r="R1576">
        <f t="shared" si="122"/>
        <v>3.8397227130266973</v>
      </c>
      <c r="S1576">
        <f t="shared" si="123"/>
        <v>9.0277286973302839E-2</v>
      </c>
      <c r="T1576">
        <f t="shared" si="124"/>
        <v>8.1499885432600745E-3</v>
      </c>
    </row>
    <row r="1577" spans="1:20" hidden="1" x14ac:dyDescent="0.25">
      <c r="A1577" t="str">
        <f t="shared" si="121"/>
        <v>RIP</v>
      </c>
      <c r="B1577" t="s">
        <v>1583</v>
      </c>
      <c r="C1577">
        <v>1.046700454</v>
      </c>
      <c r="D1577">
        <v>9.8680080000000003E-2</v>
      </c>
      <c r="E1577">
        <v>0.75179523999999998</v>
      </c>
      <c r="F1577">
        <v>0.55526250300000002</v>
      </c>
      <c r="G1577">
        <v>0.82324271199999999</v>
      </c>
      <c r="H1577">
        <v>3.64</v>
      </c>
      <c r="I1577">
        <v>3.8377782413993802</v>
      </c>
      <c r="J1577">
        <v>3.9317452427288901</v>
      </c>
      <c r="K1577">
        <v>3.96453694835605</v>
      </c>
      <c r="L1577">
        <v>3.9885746112471598</v>
      </c>
      <c r="M1577">
        <v>3.8847617420641298</v>
      </c>
      <c r="N1577">
        <v>3.8844776152361198</v>
      </c>
      <c r="Q1577">
        <f t="shared" si="120"/>
        <v>3.64</v>
      </c>
      <c r="R1577">
        <f t="shared" si="122"/>
        <v>4.056832538482225</v>
      </c>
      <c r="S1577">
        <f t="shared" si="123"/>
        <v>-0.4168325384822249</v>
      </c>
      <c r="T1577">
        <f t="shared" si="124"/>
        <v>0.1737493651375355</v>
      </c>
    </row>
    <row r="1578" spans="1:20" hidden="1" x14ac:dyDescent="0.25">
      <c r="A1578" t="str">
        <f t="shared" si="121"/>
        <v>RIP</v>
      </c>
      <c r="B1578" t="s">
        <v>1584</v>
      </c>
      <c r="C1578">
        <v>1.194844754</v>
      </c>
      <c r="D1578">
        <v>0.101640675</v>
      </c>
      <c r="E1578">
        <v>0.74678327099999997</v>
      </c>
      <c r="F1578">
        <v>0.49799079699999999</v>
      </c>
      <c r="G1578">
        <v>0.82074291799999999</v>
      </c>
      <c r="H1578">
        <v>3.55</v>
      </c>
      <c r="I1578">
        <v>3.5551004066121399</v>
      </c>
      <c r="J1578">
        <v>3.72873480738998</v>
      </c>
      <c r="K1578">
        <v>3.4510589207620801</v>
      </c>
      <c r="L1578">
        <v>3.48194287610636</v>
      </c>
      <c r="M1578">
        <v>3.6419176070010599</v>
      </c>
      <c r="N1578">
        <v>3.64088267181201</v>
      </c>
      <c r="Q1578">
        <f t="shared" si="120"/>
        <v>3.55</v>
      </c>
      <c r="R1578">
        <f t="shared" si="122"/>
        <v>3.7695727513916024</v>
      </c>
      <c r="S1578">
        <f t="shared" si="123"/>
        <v>-0.21957275139160259</v>
      </c>
      <c r="T1578">
        <f t="shared" si="124"/>
        <v>4.8212193153678522E-2</v>
      </c>
    </row>
    <row r="1579" spans="1:20" hidden="1" x14ac:dyDescent="0.25">
      <c r="A1579" t="str">
        <f t="shared" si="121"/>
        <v>RIP</v>
      </c>
      <c r="B1579" t="s">
        <v>1585</v>
      </c>
      <c r="C1579">
        <v>1.048482656</v>
      </c>
      <c r="D1579">
        <v>9.8019954000000006E-2</v>
      </c>
      <c r="E1579">
        <v>0.72575798499999999</v>
      </c>
      <c r="F1579">
        <v>0.49473674200000001</v>
      </c>
      <c r="G1579">
        <v>0.79632019200000004</v>
      </c>
      <c r="H1579">
        <v>2.95</v>
      </c>
      <c r="I1579">
        <v>3.55459590172548</v>
      </c>
      <c r="J1579">
        <v>3.62942875183656</v>
      </c>
      <c r="K1579">
        <v>3.9574429367346702</v>
      </c>
      <c r="L1579">
        <v>4.06702166746099</v>
      </c>
      <c r="M1579">
        <v>3.59201232678102</v>
      </c>
      <c r="N1579">
        <v>3.5918174462078198</v>
      </c>
      <c r="Q1579">
        <f t="shared" si="120"/>
        <v>2.95</v>
      </c>
      <c r="R1579">
        <f t="shared" si="122"/>
        <v>3.7187750449640555</v>
      </c>
      <c r="S1579">
        <f t="shared" si="123"/>
        <v>-0.76877504496405535</v>
      </c>
      <c r="T1579">
        <f t="shared" si="124"/>
        <v>0.59101506975948537</v>
      </c>
    </row>
    <row r="1580" spans="1:20" hidden="1" x14ac:dyDescent="0.25">
      <c r="A1580" t="str">
        <f t="shared" si="121"/>
        <v>RIP</v>
      </c>
      <c r="B1580" t="s">
        <v>1586</v>
      </c>
      <c r="C1580">
        <v>1.153581164</v>
      </c>
      <c r="D1580">
        <v>9.6538955999999995E-2</v>
      </c>
      <c r="E1580">
        <v>0.73443634899999999</v>
      </c>
      <c r="F1580">
        <v>0.53557116000000005</v>
      </c>
      <c r="G1580">
        <v>0.806302195</v>
      </c>
      <c r="H1580">
        <v>3.53</v>
      </c>
      <c r="I1580">
        <v>3.5371943428902899</v>
      </c>
      <c r="J1580">
        <v>3.6153823167688501</v>
      </c>
      <c r="K1580">
        <v>3.86159657600939</v>
      </c>
      <c r="L1580">
        <v>3.9715071320477802</v>
      </c>
      <c r="M1580">
        <v>3.5762883298295698</v>
      </c>
      <c r="N1580">
        <v>3.5760746466286699</v>
      </c>
      <c r="Q1580">
        <f t="shared" si="120"/>
        <v>3.53</v>
      </c>
      <c r="R1580">
        <f t="shared" si="122"/>
        <v>3.714404376918484</v>
      </c>
      <c r="S1580">
        <f t="shared" si="123"/>
        <v>-0.18440437691848421</v>
      </c>
      <c r="T1580">
        <f t="shared" si="124"/>
        <v>3.4004974226694393E-2</v>
      </c>
    </row>
    <row r="1581" spans="1:20" hidden="1" x14ac:dyDescent="0.25">
      <c r="A1581" t="str">
        <f t="shared" si="121"/>
        <v>RIP</v>
      </c>
      <c r="B1581" t="s">
        <v>1587</v>
      </c>
      <c r="C1581">
        <v>1.037854874</v>
      </c>
      <c r="D1581">
        <v>9.9773886000000006E-2</v>
      </c>
      <c r="E1581">
        <v>0.75359982400000003</v>
      </c>
      <c r="F1581">
        <v>0.54781565799999998</v>
      </c>
      <c r="G1581">
        <v>0.82672257900000001</v>
      </c>
      <c r="H1581">
        <v>3.42</v>
      </c>
      <c r="I1581">
        <v>3.87645369590635</v>
      </c>
      <c r="J1581">
        <v>3.9749082517638699</v>
      </c>
      <c r="K1581">
        <v>4.0329264076442302</v>
      </c>
      <c r="L1581">
        <v>4.0734947400127899</v>
      </c>
      <c r="M1581">
        <v>3.9256809738351102</v>
      </c>
      <c r="N1581">
        <v>3.9253723114424099</v>
      </c>
      <c r="Q1581">
        <f t="shared" si="120"/>
        <v>3.42</v>
      </c>
      <c r="R1581">
        <f t="shared" si="122"/>
        <v>4.091620427537026</v>
      </c>
      <c r="S1581">
        <f t="shared" si="123"/>
        <v>-0.67162042753702611</v>
      </c>
      <c r="T1581">
        <f t="shared" si="124"/>
        <v>0.45107399868501774</v>
      </c>
    </row>
    <row r="1582" spans="1:20" hidden="1" x14ac:dyDescent="0.25">
      <c r="A1582" t="str">
        <f t="shared" si="121"/>
        <v>RIP</v>
      </c>
      <c r="B1582" t="s">
        <v>1588</v>
      </c>
      <c r="C1582">
        <v>1.323752837</v>
      </c>
      <c r="D1582">
        <v>9.8463227E-2</v>
      </c>
      <c r="E1582">
        <v>0.74205979099999997</v>
      </c>
      <c r="F1582">
        <v>0.54002514300000004</v>
      </c>
      <c r="G1582">
        <v>0.81205363900000005</v>
      </c>
      <c r="H1582">
        <v>3.83</v>
      </c>
      <c r="I1582">
        <v>3.3977091976473002</v>
      </c>
      <c r="J1582">
        <v>3.5708668706800801</v>
      </c>
      <c r="K1582">
        <v>3.4164771099780502</v>
      </c>
      <c r="L1582">
        <v>3.4170724664185101</v>
      </c>
      <c r="M1582">
        <v>3.4842880341636899</v>
      </c>
      <c r="N1582">
        <v>3.4832121971082599</v>
      </c>
      <c r="Q1582">
        <f t="shared" si="120"/>
        <v>3.83</v>
      </c>
      <c r="R1582">
        <f t="shared" si="122"/>
        <v>3.6279059010382646</v>
      </c>
      <c r="S1582">
        <f t="shared" si="123"/>
        <v>0.20209409896173547</v>
      </c>
      <c r="T1582">
        <f t="shared" si="124"/>
        <v>4.0842024835155727E-2</v>
      </c>
    </row>
    <row r="1583" spans="1:20" hidden="1" x14ac:dyDescent="0.25">
      <c r="A1583" t="str">
        <f t="shared" si="121"/>
        <v>RIP</v>
      </c>
      <c r="B1583" t="s">
        <v>1589</v>
      </c>
      <c r="C1583">
        <v>1.122955334</v>
      </c>
      <c r="D1583">
        <v>9.8294032000000003E-2</v>
      </c>
      <c r="E1583">
        <v>0.733043424</v>
      </c>
      <c r="F1583">
        <v>0.53737591200000001</v>
      </c>
      <c r="G1583">
        <v>0.804533304</v>
      </c>
      <c r="H1583">
        <v>3.75</v>
      </c>
      <c r="I1583">
        <v>3.6513688959771899</v>
      </c>
      <c r="J1583">
        <v>3.7378975070762102</v>
      </c>
      <c r="K1583">
        <v>3.87435618782153</v>
      </c>
      <c r="L1583">
        <v>3.9203653150351698</v>
      </c>
      <c r="M1583">
        <v>3.6946332015266998</v>
      </c>
      <c r="N1583">
        <v>3.6943798794505098</v>
      </c>
      <c r="Q1583">
        <f t="shared" si="120"/>
        <v>3.75</v>
      </c>
      <c r="R1583">
        <f t="shared" si="122"/>
        <v>3.8365718863802583</v>
      </c>
      <c r="S1583">
        <f t="shared" si="123"/>
        <v>-8.6571886380258256E-2</v>
      </c>
      <c r="T1583">
        <f t="shared" si="124"/>
        <v>7.494691511436345E-3</v>
      </c>
    </row>
    <row r="1584" spans="1:20" hidden="1" x14ac:dyDescent="0.25">
      <c r="A1584" t="str">
        <f t="shared" si="121"/>
        <v>RIP</v>
      </c>
      <c r="B1584" t="s">
        <v>1590</v>
      </c>
      <c r="C1584">
        <v>1.112586911</v>
      </c>
      <c r="D1584">
        <v>9.7010369999999999E-2</v>
      </c>
      <c r="E1584">
        <v>0.72597694199999996</v>
      </c>
      <c r="F1584">
        <v>0.51798338099999996</v>
      </c>
      <c r="G1584">
        <v>0.79432451800000003</v>
      </c>
      <c r="H1584">
        <v>3.88</v>
      </c>
      <c r="I1584">
        <v>3.5290657752221799</v>
      </c>
      <c r="J1584">
        <v>3.6006528028657598</v>
      </c>
      <c r="K1584">
        <v>3.86246298838187</v>
      </c>
      <c r="L1584">
        <v>3.93755589900739</v>
      </c>
      <c r="M1584">
        <v>3.5648592890439699</v>
      </c>
      <c r="N1584">
        <v>3.5646795893952898</v>
      </c>
      <c r="Q1584">
        <f t="shared" si="120"/>
        <v>3.88</v>
      </c>
      <c r="R1584">
        <f t="shared" si="122"/>
        <v>3.6951725261310386</v>
      </c>
      <c r="S1584">
        <f t="shared" si="123"/>
        <v>0.18482747386896126</v>
      </c>
      <c r="T1584">
        <f t="shared" si="124"/>
        <v>3.4161195096781553E-2</v>
      </c>
    </row>
    <row r="1585" spans="1:20" hidden="1" x14ac:dyDescent="0.25">
      <c r="A1585" t="str">
        <f t="shared" si="121"/>
        <v>RIP</v>
      </c>
      <c r="B1585" t="s">
        <v>1591</v>
      </c>
      <c r="C1585">
        <v>1.0572731070000001</v>
      </c>
      <c r="D1585">
        <v>9.6246086999999994E-2</v>
      </c>
      <c r="E1585">
        <v>0.73963251500000005</v>
      </c>
      <c r="F1585">
        <v>0.54337696000000002</v>
      </c>
      <c r="G1585">
        <v>0.81349864000000005</v>
      </c>
      <c r="H1585">
        <v>3.66</v>
      </c>
      <c r="I1585">
        <v>3.6881299193564101</v>
      </c>
      <c r="J1585">
        <v>3.7348624529398999</v>
      </c>
      <c r="K1585">
        <v>4.1544435215498696</v>
      </c>
      <c r="L1585">
        <v>4.3149490304860603</v>
      </c>
      <c r="M1585">
        <v>3.7114961861481501</v>
      </c>
      <c r="N1585">
        <v>3.7114226325451698</v>
      </c>
      <c r="Q1585">
        <f t="shared" si="120"/>
        <v>3.66</v>
      </c>
      <c r="R1585">
        <f t="shared" si="122"/>
        <v>3.8607560711112869</v>
      </c>
      <c r="S1585">
        <f t="shared" si="123"/>
        <v>-0.20075607111128679</v>
      </c>
      <c r="T1585">
        <f t="shared" si="124"/>
        <v>4.0303000088040039E-2</v>
      </c>
    </row>
    <row r="1586" spans="1:20" hidden="1" x14ac:dyDescent="0.25">
      <c r="A1586" t="str">
        <f t="shared" si="121"/>
        <v>RIP</v>
      </c>
      <c r="B1586" t="s">
        <v>1592</v>
      </c>
      <c r="C1586">
        <v>1.2733189250000001</v>
      </c>
      <c r="D1586">
        <v>0.10382297</v>
      </c>
      <c r="E1586">
        <v>0.73489844800000004</v>
      </c>
      <c r="F1586">
        <v>0.57701880400000005</v>
      </c>
      <c r="G1586">
        <v>0.80654866999999997</v>
      </c>
      <c r="H1586">
        <v>3.37</v>
      </c>
      <c r="I1586">
        <v>3.8575935278284299</v>
      </c>
      <c r="J1586">
        <v>4.0530565875641198</v>
      </c>
      <c r="K1586">
        <v>3.75604084839039</v>
      </c>
      <c r="L1586">
        <v>3.75086825967787</v>
      </c>
      <c r="M1586">
        <v>3.95532505769628</v>
      </c>
      <c r="N1586">
        <v>3.9541174565394099</v>
      </c>
      <c r="Q1586">
        <f t="shared" si="120"/>
        <v>3.37</v>
      </c>
      <c r="R1586">
        <f t="shared" si="122"/>
        <v>4.1088928962986371</v>
      </c>
      <c r="S1586">
        <f t="shared" si="123"/>
        <v>-0.73889289629863697</v>
      </c>
      <c r="T1586">
        <f t="shared" si="124"/>
        <v>0.54596271220058834</v>
      </c>
    </row>
    <row r="1587" spans="1:20" hidden="1" x14ac:dyDescent="0.25">
      <c r="A1587" t="str">
        <f t="shared" si="121"/>
        <v>RIP</v>
      </c>
      <c r="B1587" t="s">
        <v>1593</v>
      </c>
      <c r="C1587">
        <v>1.0676588730000001</v>
      </c>
      <c r="D1587">
        <v>0.10476460999999999</v>
      </c>
      <c r="E1587">
        <v>0.73099574499999997</v>
      </c>
      <c r="F1587">
        <v>0.539054001</v>
      </c>
      <c r="G1587">
        <v>0.80437767199999999</v>
      </c>
      <c r="H1587">
        <v>3.46</v>
      </c>
      <c r="I1587">
        <v>4.0232892756234602</v>
      </c>
      <c r="J1587">
        <v>4.1737584884860004</v>
      </c>
      <c r="K1587">
        <v>4.1185220124418596</v>
      </c>
      <c r="L1587">
        <v>4.1916738050450801</v>
      </c>
      <c r="M1587">
        <v>4.0985238820547298</v>
      </c>
      <c r="N1587">
        <v>4.09783330136404</v>
      </c>
      <c r="Q1587">
        <f t="shared" si="120"/>
        <v>3.46</v>
      </c>
      <c r="R1587">
        <f t="shared" si="122"/>
        <v>4.2420205054360114</v>
      </c>
      <c r="S1587">
        <f t="shared" si="123"/>
        <v>-0.78202050543601143</v>
      </c>
      <c r="T1587">
        <f t="shared" si="124"/>
        <v>0.61155607092239472</v>
      </c>
    </row>
    <row r="1588" spans="1:20" hidden="1" x14ac:dyDescent="0.25">
      <c r="A1588" t="str">
        <f t="shared" si="121"/>
        <v>RIP</v>
      </c>
      <c r="B1588" t="s">
        <v>1594</v>
      </c>
      <c r="C1588">
        <v>1.1463238120000001</v>
      </c>
      <c r="D1588">
        <v>0.106380056</v>
      </c>
      <c r="E1588">
        <v>0.73019108799999999</v>
      </c>
      <c r="F1588">
        <v>0.50453850499999997</v>
      </c>
      <c r="G1588">
        <v>0.801336932</v>
      </c>
      <c r="H1588">
        <v>3.85</v>
      </c>
      <c r="I1588">
        <v>3.8291261772977698</v>
      </c>
      <c r="J1588">
        <v>4.0786328859898999</v>
      </c>
      <c r="K1588">
        <v>3.7196814184887801</v>
      </c>
      <c r="L1588">
        <v>3.7789254038572002</v>
      </c>
      <c r="M1588">
        <v>3.9538795316438402</v>
      </c>
      <c r="N1588">
        <v>3.9519109240127701</v>
      </c>
      <c r="Q1588">
        <f t="shared" si="120"/>
        <v>3.85</v>
      </c>
      <c r="R1588">
        <f t="shared" si="122"/>
        <v>4.0932587776885505</v>
      </c>
      <c r="S1588">
        <f t="shared" si="123"/>
        <v>-0.24325877768855042</v>
      </c>
      <c r="T1588">
        <f t="shared" si="124"/>
        <v>5.9174832922527593E-2</v>
      </c>
    </row>
    <row r="1589" spans="1:20" hidden="1" x14ac:dyDescent="0.25">
      <c r="A1589" t="str">
        <f t="shared" si="121"/>
        <v>RIP</v>
      </c>
      <c r="B1589" t="s">
        <v>1595</v>
      </c>
      <c r="C1589">
        <v>1.1358267689999999</v>
      </c>
      <c r="D1589">
        <v>0.103604747</v>
      </c>
      <c r="E1589">
        <v>0.721355203</v>
      </c>
      <c r="F1589">
        <v>0.52542857099999996</v>
      </c>
      <c r="G1589">
        <v>0.79184415399999997</v>
      </c>
      <c r="H1589">
        <v>3.75</v>
      </c>
      <c r="I1589">
        <v>3.7997290216895099</v>
      </c>
      <c r="J1589">
        <v>3.9629865651060601</v>
      </c>
      <c r="K1589">
        <v>4.1131554115426798</v>
      </c>
      <c r="L1589">
        <v>4.2605480226544099</v>
      </c>
      <c r="M1589">
        <v>3.8813577933977901</v>
      </c>
      <c r="N1589">
        <v>3.8804993317869698</v>
      </c>
      <c r="Q1589">
        <f t="shared" si="120"/>
        <v>3.75</v>
      </c>
      <c r="R1589">
        <f t="shared" si="122"/>
        <v>4.01752025433625</v>
      </c>
      <c r="S1589">
        <f t="shared" si="123"/>
        <v>-0.26752025433625004</v>
      </c>
      <c r="T1589">
        <f t="shared" si="124"/>
        <v>7.1567086480131908E-2</v>
      </c>
    </row>
    <row r="1590" spans="1:20" hidden="1" x14ac:dyDescent="0.25">
      <c r="A1590" t="str">
        <f t="shared" si="121"/>
        <v>RIP</v>
      </c>
      <c r="B1590" t="s">
        <v>1596</v>
      </c>
      <c r="C1590">
        <v>1.2302666659999999</v>
      </c>
      <c r="D1590">
        <v>9.3852192000000001E-2</v>
      </c>
      <c r="E1590">
        <v>0.69176480900000004</v>
      </c>
      <c r="F1590">
        <v>0.52427614099999997</v>
      </c>
      <c r="G1590">
        <v>0.759726181</v>
      </c>
      <c r="H1590">
        <v>3.13</v>
      </c>
      <c r="I1590">
        <v>3.3333220691527101</v>
      </c>
      <c r="J1590">
        <v>3.30352322939174</v>
      </c>
      <c r="K1590">
        <v>3.7227008107980799</v>
      </c>
      <c r="L1590">
        <v>3.8302323419711901</v>
      </c>
      <c r="M1590">
        <v>3.3184226492722302</v>
      </c>
      <c r="N1590">
        <v>3.3183892005745999</v>
      </c>
      <c r="Q1590">
        <f t="shared" si="120"/>
        <v>3.13</v>
      </c>
      <c r="R1590">
        <f t="shared" si="122"/>
        <v>3.386922039217974</v>
      </c>
      <c r="S1590">
        <f t="shared" si="123"/>
        <v>-0.25692203921797407</v>
      </c>
      <c r="T1590">
        <f t="shared" si="124"/>
        <v>6.6008934235922204E-2</v>
      </c>
    </row>
    <row r="1591" spans="1:20" hidden="1" x14ac:dyDescent="0.25">
      <c r="A1591" t="str">
        <f t="shared" si="121"/>
        <v>RIP</v>
      </c>
      <c r="B1591" t="s">
        <v>1597</v>
      </c>
      <c r="C1591">
        <v>1.272848982</v>
      </c>
      <c r="D1591">
        <v>0.103847275</v>
      </c>
      <c r="E1591">
        <v>0.72402251200000001</v>
      </c>
      <c r="F1591">
        <v>0.51565213399999998</v>
      </c>
      <c r="G1591">
        <v>0.80494158199999999</v>
      </c>
      <c r="H1591">
        <v>3.58</v>
      </c>
      <c r="I1591">
        <v>3.6600603359477901</v>
      </c>
      <c r="J1591">
        <v>3.81023259931741</v>
      </c>
      <c r="K1591">
        <v>3.5766956939016898</v>
      </c>
      <c r="L1591">
        <v>3.6464556137567801</v>
      </c>
      <c r="M1591">
        <v>3.7351464676326001</v>
      </c>
      <c r="N1591">
        <v>3.7343916783723898</v>
      </c>
      <c r="Q1591">
        <f t="shared" si="120"/>
        <v>3.58</v>
      </c>
      <c r="R1591">
        <f t="shared" si="122"/>
        <v>3.8276704739743357</v>
      </c>
      <c r="S1591">
        <f t="shared" si="123"/>
        <v>-0.24767047397433561</v>
      </c>
      <c r="T1591">
        <f t="shared" si="124"/>
        <v>6.1340663678672053E-2</v>
      </c>
    </row>
    <row r="1592" spans="1:20" hidden="1" x14ac:dyDescent="0.25">
      <c r="A1592" t="str">
        <f t="shared" si="121"/>
        <v>RIP</v>
      </c>
      <c r="B1592" t="s">
        <v>1598</v>
      </c>
      <c r="C1592">
        <v>1.2441975329999999</v>
      </c>
      <c r="D1592">
        <v>0.101654068</v>
      </c>
      <c r="E1592">
        <v>0.72205206</v>
      </c>
      <c r="F1592">
        <v>0.56637014900000004</v>
      </c>
      <c r="G1592">
        <v>0.79976940100000005</v>
      </c>
      <c r="H1592">
        <v>3.67</v>
      </c>
      <c r="I1592">
        <v>3.7851019566586599</v>
      </c>
      <c r="J1592">
        <v>3.88795216103513</v>
      </c>
      <c r="K1592">
        <v>3.86708457526696</v>
      </c>
      <c r="L1592">
        <v>3.8936539291360099</v>
      </c>
      <c r="M1592">
        <v>3.8365270588469</v>
      </c>
      <c r="N1592">
        <v>3.8361823903627599</v>
      </c>
      <c r="Q1592">
        <f t="shared" si="120"/>
        <v>3.67</v>
      </c>
      <c r="R1592">
        <f t="shared" si="122"/>
        <v>3.9586881138770025</v>
      </c>
      <c r="S1592">
        <f t="shared" si="123"/>
        <v>-0.28868811387700255</v>
      </c>
      <c r="T1592">
        <f t="shared" si="124"/>
        <v>8.3340827093861189E-2</v>
      </c>
    </row>
    <row r="1593" spans="1:20" hidden="1" x14ac:dyDescent="0.25">
      <c r="A1593" t="str">
        <f t="shared" si="121"/>
        <v>RIP</v>
      </c>
      <c r="B1593" t="s">
        <v>1599</v>
      </c>
      <c r="C1593">
        <v>1.130398477</v>
      </c>
      <c r="D1593">
        <v>0.105637042</v>
      </c>
      <c r="E1593">
        <v>0.72083200999999997</v>
      </c>
      <c r="F1593">
        <v>0.51646571100000005</v>
      </c>
      <c r="G1593">
        <v>0.80275907099999999</v>
      </c>
      <c r="H1593">
        <v>3.53</v>
      </c>
      <c r="I1593">
        <v>3.9499081230036999</v>
      </c>
      <c r="J1593">
        <v>4.0688681956380899</v>
      </c>
      <c r="K1593">
        <v>4.0313372743118796</v>
      </c>
      <c r="L1593">
        <v>4.1345370894978597</v>
      </c>
      <c r="M1593">
        <v>4.0093881593209</v>
      </c>
      <c r="N1593">
        <v>4.0089469362143397</v>
      </c>
      <c r="Q1593">
        <f t="shared" si="120"/>
        <v>3.53</v>
      </c>
      <c r="R1593">
        <f t="shared" si="122"/>
        <v>4.1011346719830044</v>
      </c>
      <c r="S1593">
        <f t="shared" si="123"/>
        <v>-0.5711346719830046</v>
      </c>
      <c r="T1593">
        <f t="shared" si="124"/>
        <v>0.32619481354113428</v>
      </c>
    </row>
    <row r="1594" spans="1:20" hidden="1" x14ac:dyDescent="0.25">
      <c r="A1594" t="str">
        <f t="shared" si="121"/>
        <v>RIP</v>
      </c>
      <c r="B1594" t="s">
        <v>1600</v>
      </c>
      <c r="C1594">
        <v>1.0890125509999999</v>
      </c>
      <c r="D1594">
        <v>0.106629157</v>
      </c>
      <c r="E1594">
        <v>0.72448846499999997</v>
      </c>
      <c r="F1594">
        <v>0.54609339899999998</v>
      </c>
      <c r="G1594">
        <v>0.80444767900000003</v>
      </c>
      <c r="H1594">
        <v>3.79</v>
      </c>
      <c r="I1594">
        <v>4.1726901440043296</v>
      </c>
      <c r="J1594">
        <v>4.2960796273555601</v>
      </c>
      <c r="K1594">
        <v>4.0938240403162798</v>
      </c>
      <c r="L1594">
        <v>4.1106909315055304</v>
      </c>
      <c r="M1594">
        <v>4.2343848856799404</v>
      </c>
      <c r="N1594">
        <v>4.2339354174248296</v>
      </c>
      <c r="Q1594">
        <f t="shared" si="120"/>
        <v>3.79</v>
      </c>
      <c r="R1594">
        <f t="shared" si="122"/>
        <v>4.3454842508774867</v>
      </c>
      <c r="S1594">
        <f t="shared" si="123"/>
        <v>-0.55548425087748665</v>
      </c>
      <c r="T1594">
        <f t="shared" si="124"/>
        <v>0.30856275297292252</v>
      </c>
    </row>
    <row r="1595" spans="1:20" hidden="1" x14ac:dyDescent="0.25">
      <c r="A1595" t="str">
        <f t="shared" si="121"/>
        <v>RIP</v>
      </c>
      <c r="B1595" t="s">
        <v>1601</v>
      </c>
      <c r="C1595">
        <v>1.320527792</v>
      </c>
      <c r="D1595">
        <v>0.10369916799999999</v>
      </c>
      <c r="E1595">
        <v>0.71953146499999998</v>
      </c>
      <c r="F1595">
        <v>0.55738005400000001</v>
      </c>
      <c r="G1595">
        <v>0.79916131700000004</v>
      </c>
      <c r="H1595">
        <v>3.26</v>
      </c>
      <c r="I1595">
        <v>3.7527504820148501</v>
      </c>
      <c r="J1595">
        <v>3.8983456887491501</v>
      </c>
      <c r="K1595">
        <v>3.6621516839247601</v>
      </c>
      <c r="L1595">
        <v>3.6666015893160901</v>
      </c>
      <c r="M1595">
        <v>3.8255480853820001</v>
      </c>
      <c r="N1595">
        <v>3.8248553779867098</v>
      </c>
      <c r="Q1595">
        <f t="shared" si="120"/>
        <v>3.26</v>
      </c>
      <c r="R1595">
        <f t="shared" si="122"/>
        <v>3.9321334889280068</v>
      </c>
      <c r="S1595">
        <f t="shared" si="123"/>
        <v>-0.67213348892800706</v>
      </c>
      <c r="T1595">
        <f t="shared" si="124"/>
        <v>0.45176342693853538</v>
      </c>
    </row>
    <row r="1596" spans="1:20" hidden="1" x14ac:dyDescent="0.25">
      <c r="A1596" t="str">
        <f t="shared" si="121"/>
        <v>RIP</v>
      </c>
      <c r="B1596" t="s">
        <v>1602</v>
      </c>
      <c r="C1596">
        <v>1.2780958710000001</v>
      </c>
      <c r="D1596">
        <v>0.101994294</v>
      </c>
      <c r="E1596">
        <v>0.73137906100000005</v>
      </c>
      <c r="F1596">
        <v>0.54546039599999996</v>
      </c>
      <c r="G1596">
        <v>0.81226517399999998</v>
      </c>
      <c r="H1596">
        <v>3.6</v>
      </c>
      <c r="I1596">
        <v>3.69625911081839</v>
      </c>
      <c r="J1596">
        <v>3.8136082834768001</v>
      </c>
      <c r="K1596">
        <v>3.7850479166472599</v>
      </c>
      <c r="L1596">
        <v>3.9746553581430999</v>
      </c>
      <c r="M1596">
        <v>3.7549336971475999</v>
      </c>
      <c r="N1596">
        <v>3.7544752446771601</v>
      </c>
      <c r="Q1596">
        <f t="shared" si="120"/>
        <v>3.6</v>
      </c>
      <c r="R1596">
        <f t="shared" si="122"/>
        <v>3.8625089149525329</v>
      </c>
      <c r="S1596">
        <f t="shared" si="123"/>
        <v>-0.26250891495253281</v>
      </c>
      <c r="T1596">
        <f t="shared" si="124"/>
        <v>6.8910930429556108E-2</v>
      </c>
    </row>
    <row r="1597" spans="1:20" hidden="1" x14ac:dyDescent="0.25">
      <c r="A1597" t="str">
        <f t="shared" si="121"/>
        <v>RIP</v>
      </c>
      <c r="B1597" t="s">
        <v>1603</v>
      </c>
      <c r="C1597">
        <v>1.3221558739999999</v>
      </c>
      <c r="D1597">
        <v>0.10440722600000001</v>
      </c>
      <c r="E1597">
        <v>0.74124798400000003</v>
      </c>
      <c r="F1597">
        <v>0.557808623</v>
      </c>
      <c r="G1597">
        <v>0.81741382100000004</v>
      </c>
      <c r="H1597">
        <v>3.58</v>
      </c>
      <c r="I1597">
        <v>3.7816204161751901</v>
      </c>
      <c r="J1597">
        <v>3.9829672854471698</v>
      </c>
      <c r="K1597">
        <v>3.6662292737384199</v>
      </c>
      <c r="L1597">
        <v>3.8310770449330098</v>
      </c>
      <c r="M1597">
        <v>3.8822938508111799</v>
      </c>
      <c r="N1597">
        <v>3.88098832819745</v>
      </c>
      <c r="Q1597">
        <f t="shared" si="120"/>
        <v>3.58</v>
      </c>
      <c r="R1597">
        <f t="shared" si="122"/>
        <v>4.0120607626687139</v>
      </c>
      <c r="S1597">
        <f t="shared" si="123"/>
        <v>-0.43206076266871385</v>
      </c>
      <c r="T1597">
        <f t="shared" si="124"/>
        <v>0.18667650263787067</v>
      </c>
    </row>
    <row r="1598" spans="1:20" hidden="1" x14ac:dyDescent="0.25">
      <c r="A1598" t="str">
        <f t="shared" si="121"/>
        <v>RIP</v>
      </c>
      <c r="B1598" t="s">
        <v>1604</v>
      </c>
      <c r="C1598">
        <v>1.2608424659999999</v>
      </c>
      <c r="D1598">
        <v>0.10283922199999999</v>
      </c>
      <c r="E1598">
        <v>0.73844095099999996</v>
      </c>
      <c r="F1598">
        <v>0.552394265</v>
      </c>
      <c r="G1598">
        <v>0.81736333299999997</v>
      </c>
      <c r="H1598">
        <v>3.71</v>
      </c>
      <c r="I1598">
        <v>3.7813902484225301</v>
      </c>
      <c r="J1598">
        <v>3.9197407419080101</v>
      </c>
      <c r="K1598">
        <v>3.6919445935202999</v>
      </c>
      <c r="L1598">
        <v>3.7590057657387099</v>
      </c>
      <c r="M1598">
        <v>3.8505654951652701</v>
      </c>
      <c r="N1598">
        <v>3.8499440798270599</v>
      </c>
      <c r="Q1598">
        <f t="shared" si="120"/>
        <v>3.71</v>
      </c>
      <c r="R1598">
        <f t="shared" si="122"/>
        <v>3.9709777425759363</v>
      </c>
      <c r="S1598">
        <f t="shared" si="123"/>
        <v>-0.26097774257593631</v>
      </c>
      <c r="T1598">
        <f t="shared" si="124"/>
        <v>6.8109382120031675E-2</v>
      </c>
    </row>
    <row r="1599" spans="1:20" hidden="1" x14ac:dyDescent="0.25">
      <c r="A1599" t="str">
        <f t="shared" si="121"/>
        <v>RIP</v>
      </c>
      <c r="B1599" t="s">
        <v>1605</v>
      </c>
      <c r="C1599">
        <v>1.393299804</v>
      </c>
      <c r="D1599">
        <v>0.10153129399999999</v>
      </c>
      <c r="E1599">
        <v>0.73922731399999997</v>
      </c>
      <c r="F1599">
        <v>0.58561321499999996</v>
      </c>
      <c r="G1599">
        <v>0.81896912200000005</v>
      </c>
      <c r="H1599">
        <v>4.2300000000000004</v>
      </c>
      <c r="I1599">
        <v>3.6889664799105999</v>
      </c>
      <c r="J1599">
        <v>3.8324584972182798</v>
      </c>
      <c r="K1599">
        <v>3.60271764344769</v>
      </c>
      <c r="L1599">
        <v>3.6351090858505701</v>
      </c>
      <c r="M1599">
        <v>3.7607124885644398</v>
      </c>
      <c r="N1599">
        <v>3.76002804934841</v>
      </c>
      <c r="Q1599">
        <f t="shared" si="120"/>
        <v>4.2300000000000004</v>
      </c>
      <c r="R1599">
        <f t="shared" si="122"/>
        <v>3.8849235415945449</v>
      </c>
      <c r="S1599">
        <f t="shared" si="123"/>
        <v>0.34507645840545553</v>
      </c>
      <c r="T1599">
        <f t="shared" si="124"/>
        <v>0.11907776214565208</v>
      </c>
    </row>
    <row r="1600" spans="1:20" hidden="1" x14ac:dyDescent="0.25">
      <c r="A1600" t="str">
        <f t="shared" si="121"/>
        <v>RIP</v>
      </c>
      <c r="B1600" t="s">
        <v>1606</v>
      </c>
      <c r="C1600">
        <v>1.3485720489999999</v>
      </c>
      <c r="D1600">
        <v>9.8278818000000004E-2</v>
      </c>
      <c r="E1600">
        <v>0.73624040000000002</v>
      </c>
      <c r="F1600">
        <v>0.57920711000000002</v>
      </c>
      <c r="G1600">
        <v>0.81381244399999997</v>
      </c>
      <c r="H1600">
        <v>3.97</v>
      </c>
      <c r="I1600">
        <v>3.5565979549535398</v>
      </c>
      <c r="J1600">
        <v>3.67054571524447</v>
      </c>
      <c r="K1600">
        <v>3.46068323405358</v>
      </c>
      <c r="L1600">
        <v>3.4401447403221699</v>
      </c>
      <c r="M1600">
        <v>3.613571835099</v>
      </c>
      <c r="N1600">
        <v>3.61312266390195</v>
      </c>
      <c r="Q1600">
        <f t="shared" si="120"/>
        <v>3.97</v>
      </c>
      <c r="R1600">
        <f t="shared" si="122"/>
        <v>3.7469051077228555</v>
      </c>
      <c r="S1600">
        <f t="shared" si="123"/>
        <v>0.22309489227714474</v>
      </c>
      <c r="T1600">
        <f t="shared" si="124"/>
        <v>4.9771330960150816E-2</v>
      </c>
    </row>
    <row r="1601" spans="1:20" hidden="1" x14ac:dyDescent="0.25">
      <c r="A1601" t="str">
        <f t="shared" si="121"/>
        <v>RIP</v>
      </c>
      <c r="B1601" t="s">
        <v>1607</v>
      </c>
      <c r="C1601">
        <v>1.21021595</v>
      </c>
      <c r="D1601">
        <v>0.102381456</v>
      </c>
      <c r="E1601">
        <v>0.73755436500000005</v>
      </c>
      <c r="F1601">
        <v>0.53497661500000004</v>
      </c>
      <c r="G1601">
        <v>0.81267624999999999</v>
      </c>
      <c r="H1601">
        <v>2.93</v>
      </c>
      <c r="I1601">
        <v>3.7202737952907401</v>
      </c>
      <c r="J1601">
        <v>3.8769854478662702</v>
      </c>
      <c r="K1601">
        <v>3.9137333534633201</v>
      </c>
      <c r="L1601">
        <v>4.09152178290012</v>
      </c>
      <c r="M1601">
        <v>3.7986296215784998</v>
      </c>
      <c r="N1601">
        <v>3.7978213973830299</v>
      </c>
      <c r="Q1601">
        <f t="shared" ref="Q1601:Q1664" si="125">H1601</f>
        <v>2.93</v>
      </c>
      <c r="R1601">
        <f t="shared" si="122"/>
        <v>3.9316248685867485</v>
      </c>
      <c r="S1601">
        <f t="shared" si="123"/>
        <v>-1.0016248685867484</v>
      </c>
      <c r="T1601">
        <f t="shared" si="124"/>
        <v>1.003252377371421</v>
      </c>
    </row>
    <row r="1602" spans="1:20" hidden="1" x14ac:dyDescent="0.25">
      <c r="A1602" t="str">
        <f t="shared" si="121"/>
        <v>RIP</v>
      </c>
      <c r="B1602" t="s">
        <v>1608</v>
      </c>
      <c r="C1602">
        <v>1.2851579879999999</v>
      </c>
      <c r="D1602">
        <v>9.6832247999999996E-2</v>
      </c>
      <c r="E1602">
        <v>0.72456690499999998</v>
      </c>
      <c r="F1602">
        <v>0.50322731600000004</v>
      </c>
      <c r="G1602">
        <v>0.80025185399999998</v>
      </c>
      <c r="H1602">
        <v>2.89</v>
      </c>
      <c r="I1602">
        <v>3.2532143033621601</v>
      </c>
      <c r="J1602">
        <v>3.3628194193486598</v>
      </c>
      <c r="K1602">
        <v>3.4771859939904899</v>
      </c>
      <c r="L1602">
        <v>3.6028039475892899</v>
      </c>
      <c r="M1602">
        <v>3.30801686135541</v>
      </c>
      <c r="N1602">
        <v>3.3075628844587501</v>
      </c>
      <c r="Q1602">
        <f t="shared" si="125"/>
        <v>2.89</v>
      </c>
      <c r="R1602">
        <f t="shared" si="122"/>
        <v>3.4120782084823649</v>
      </c>
      <c r="S1602">
        <f t="shared" si="123"/>
        <v>-0.52207820848236475</v>
      </c>
      <c r="T1602">
        <f t="shared" si="124"/>
        <v>0.27256565577215552</v>
      </c>
    </row>
    <row r="1603" spans="1:20" hidden="1" x14ac:dyDescent="0.25">
      <c r="A1603" t="str">
        <f t="shared" ref="A1603:A1666" si="126">LEFT(B1603,3)</f>
        <v>RIP</v>
      </c>
      <c r="B1603" t="s">
        <v>1609</v>
      </c>
      <c r="C1603">
        <v>1.478851618</v>
      </c>
      <c r="D1603">
        <v>9.7468993000000004E-2</v>
      </c>
      <c r="E1603">
        <v>0.71964819099999999</v>
      </c>
      <c r="F1603">
        <v>0.50079010199999996</v>
      </c>
      <c r="G1603">
        <v>0.79851335800000001</v>
      </c>
      <c r="H1603">
        <v>3.38</v>
      </c>
      <c r="I1603">
        <v>3.0275545007048299</v>
      </c>
      <c r="J1603">
        <v>3.18329240510085</v>
      </c>
      <c r="K1603">
        <v>2.8995339734850898</v>
      </c>
      <c r="L1603">
        <v>3.0104817786888098</v>
      </c>
      <c r="M1603">
        <v>3.1054234529028402</v>
      </c>
      <c r="N1603">
        <v>3.1044470116467702</v>
      </c>
      <c r="Q1603">
        <f t="shared" si="125"/>
        <v>3.38</v>
      </c>
      <c r="R1603">
        <f t="shared" ref="R1603:R1666" si="127">$X$2*F1603+$X$3*D1603*E1603+($X$4/(D1603-$X$5))-$X$6*C1603</f>
        <v>3.1865611554996969</v>
      </c>
      <c r="S1603">
        <f t="shared" ref="S1603:S1666" si="128">Q1603-R1603</f>
        <v>0.19343884450030302</v>
      </c>
      <c r="T1603">
        <f t="shared" ref="T1603:T1666" si="129">S1603^2</f>
        <v>3.7418586561612413E-2</v>
      </c>
    </row>
    <row r="1604" spans="1:20" hidden="1" x14ac:dyDescent="0.25">
      <c r="A1604" t="str">
        <f t="shared" si="126"/>
        <v>RIP</v>
      </c>
      <c r="B1604" t="s">
        <v>1610</v>
      </c>
      <c r="C1604">
        <v>1.5851982630000001</v>
      </c>
      <c r="D1604">
        <v>0.103081322</v>
      </c>
      <c r="E1604">
        <v>0.72973835600000003</v>
      </c>
      <c r="F1604">
        <v>0.56766591600000005</v>
      </c>
      <c r="G1604">
        <v>0.80715647300000004</v>
      </c>
      <c r="H1604">
        <v>3.69</v>
      </c>
      <c r="I1604">
        <v>3.4089148600699701</v>
      </c>
      <c r="J1604">
        <v>3.6509496205734702</v>
      </c>
      <c r="K1604">
        <v>3.1154033500140201</v>
      </c>
      <c r="L1604">
        <v>3.2126571099846801</v>
      </c>
      <c r="M1604">
        <v>3.5299322403217199</v>
      </c>
      <c r="N1604">
        <v>3.5278571987737402</v>
      </c>
      <c r="Q1604">
        <f t="shared" si="125"/>
        <v>3.69</v>
      </c>
      <c r="R1604">
        <f t="shared" si="127"/>
        <v>3.6398859016296914</v>
      </c>
      <c r="S1604">
        <f t="shared" si="128"/>
        <v>5.0114098370308557E-2</v>
      </c>
      <c r="T1604">
        <f t="shared" si="129"/>
        <v>2.5114228554689627E-3</v>
      </c>
    </row>
    <row r="1605" spans="1:20" hidden="1" x14ac:dyDescent="0.25">
      <c r="A1605" t="str">
        <f t="shared" si="126"/>
        <v>RIP</v>
      </c>
      <c r="B1605" t="s">
        <v>1611</v>
      </c>
      <c r="C1605">
        <v>1.1857248069999999</v>
      </c>
      <c r="D1605">
        <v>9.9642208999999995E-2</v>
      </c>
      <c r="E1605">
        <v>0.74725174500000002</v>
      </c>
      <c r="F1605">
        <v>0.58029751299999999</v>
      </c>
      <c r="G1605">
        <v>0.81913623099999999</v>
      </c>
      <c r="H1605">
        <v>3.8</v>
      </c>
      <c r="I1605">
        <v>3.8019235932432598</v>
      </c>
      <c r="J1605">
        <v>3.92824634123824</v>
      </c>
      <c r="K1605">
        <v>3.91792821803298</v>
      </c>
      <c r="L1605">
        <v>3.97726959400419</v>
      </c>
      <c r="M1605">
        <v>3.8650849672407501</v>
      </c>
      <c r="N1605">
        <v>3.8645688562665299</v>
      </c>
      <c r="Q1605">
        <f t="shared" si="125"/>
        <v>3.8</v>
      </c>
      <c r="R1605">
        <f t="shared" si="127"/>
        <v>4.0336466821693966</v>
      </c>
      <c r="S1605">
        <f t="shared" si="128"/>
        <v>-0.23364668216939677</v>
      </c>
      <c r="T1605">
        <f t="shared" si="129"/>
        <v>5.4590772088767107E-2</v>
      </c>
    </row>
    <row r="1606" spans="1:20" hidden="1" x14ac:dyDescent="0.25">
      <c r="A1606" t="str">
        <f t="shared" si="126"/>
        <v>RIP</v>
      </c>
      <c r="B1606" t="s">
        <v>1612</v>
      </c>
      <c r="C1606">
        <v>1.5584305979999999</v>
      </c>
      <c r="D1606">
        <v>9.4759644000000004E-2</v>
      </c>
      <c r="E1606">
        <v>0.72249631999999997</v>
      </c>
      <c r="F1606">
        <v>0.54384974900000005</v>
      </c>
      <c r="G1606">
        <v>0.79631609800000003</v>
      </c>
      <c r="H1606">
        <v>3.51</v>
      </c>
      <c r="I1606">
        <v>2.9896076449715898</v>
      </c>
      <c r="J1606">
        <v>3.1376997135316</v>
      </c>
      <c r="K1606">
        <v>3.0294592495930002</v>
      </c>
      <c r="L1606">
        <v>3.1368821166407699</v>
      </c>
      <c r="M1606">
        <v>3.0636536792515998</v>
      </c>
      <c r="N1606">
        <v>3.0627587321235801</v>
      </c>
      <c r="Q1606">
        <f t="shared" si="125"/>
        <v>3.51</v>
      </c>
      <c r="R1606">
        <f t="shared" si="127"/>
        <v>3.1614671309843771</v>
      </c>
      <c r="S1606">
        <f t="shared" si="128"/>
        <v>0.34853286901562264</v>
      </c>
      <c r="T1606">
        <f t="shared" si="129"/>
        <v>0.12147516078426117</v>
      </c>
    </row>
    <row r="1607" spans="1:20" hidden="1" x14ac:dyDescent="0.25">
      <c r="A1607" t="str">
        <f t="shared" si="126"/>
        <v>RIP</v>
      </c>
      <c r="B1607" t="s">
        <v>1613</v>
      </c>
      <c r="C1607">
        <v>1.5439703060000001</v>
      </c>
      <c r="D1607">
        <v>9.5738653000000007E-2</v>
      </c>
      <c r="E1607">
        <v>0.72897890200000004</v>
      </c>
      <c r="F1607">
        <v>0.54746185599999997</v>
      </c>
      <c r="G1607">
        <v>0.80189446799999997</v>
      </c>
      <c r="H1607">
        <v>3.85</v>
      </c>
      <c r="I1607">
        <v>3.05276726776748</v>
      </c>
      <c r="J1607">
        <v>3.2213949803148401</v>
      </c>
      <c r="K1607">
        <v>3.2460966181707902</v>
      </c>
      <c r="L1607">
        <v>3.4234516431120001</v>
      </c>
      <c r="M1607">
        <v>3.1370811240411598</v>
      </c>
      <c r="N1607">
        <v>3.1359478873947499</v>
      </c>
      <c r="Q1607">
        <f t="shared" si="125"/>
        <v>3.85</v>
      </c>
      <c r="R1607">
        <f t="shared" si="127"/>
        <v>3.2471718503629634</v>
      </c>
      <c r="S1607">
        <f t="shared" si="128"/>
        <v>0.60282814963703668</v>
      </c>
      <c r="T1607">
        <f t="shared" si="129"/>
        <v>0.36340177799481349</v>
      </c>
    </row>
    <row r="1608" spans="1:20" hidden="1" x14ac:dyDescent="0.25">
      <c r="A1608" t="str">
        <f t="shared" si="126"/>
        <v>RIP</v>
      </c>
      <c r="B1608" t="s">
        <v>1614</v>
      </c>
      <c r="C1608">
        <v>1.5699398330000001</v>
      </c>
      <c r="D1608">
        <v>9.9110632000000004E-2</v>
      </c>
      <c r="E1608">
        <v>0.73175575599999998</v>
      </c>
      <c r="F1608">
        <v>0.53544617500000002</v>
      </c>
      <c r="G1608">
        <v>0.80228517300000002</v>
      </c>
      <c r="H1608">
        <v>2.98</v>
      </c>
      <c r="I1608">
        <v>3.07962961002782</v>
      </c>
      <c r="J1608">
        <v>3.32425655092774</v>
      </c>
      <c r="K1608">
        <v>3.1127090847789902</v>
      </c>
      <c r="L1608">
        <v>3.36001968561769</v>
      </c>
      <c r="M1608">
        <v>3.20194308047778</v>
      </c>
      <c r="N1608">
        <v>3.1996060547458001</v>
      </c>
      <c r="Q1608">
        <f t="shared" si="125"/>
        <v>2.98</v>
      </c>
      <c r="R1608">
        <f t="shared" si="127"/>
        <v>3.3219688086646921</v>
      </c>
      <c r="S1608">
        <f t="shared" si="128"/>
        <v>-0.34196880866469215</v>
      </c>
      <c r="T1608">
        <f t="shared" si="129"/>
        <v>0.11694266609954883</v>
      </c>
    </row>
    <row r="1609" spans="1:20" hidden="1" x14ac:dyDescent="0.25">
      <c r="A1609" t="str">
        <f t="shared" si="126"/>
        <v>RIP</v>
      </c>
      <c r="B1609" t="s">
        <v>1615</v>
      </c>
      <c r="C1609">
        <v>1.2466251859999999</v>
      </c>
      <c r="D1609">
        <v>9.9473635000000005E-2</v>
      </c>
      <c r="E1609">
        <v>0.74152236000000005</v>
      </c>
      <c r="F1609">
        <v>0.52668176799999999</v>
      </c>
      <c r="G1609">
        <v>0.814049994</v>
      </c>
      <c r="H1609">
        <v>3.14</v>
      </c>
      <c r="I1609">
        <v>3.4961178546367999</v>
      </c>
      <c r="J1609">
        <v>3.65148757340337</v>
      </c>
      <c r="K1609">
        <v>3.7163944462896099</v>
      </c>
      <c r="L1609">
        <v>3.8893444490929099</v>
      </c>
      <c r="M1609">
        <v>3.5738027140200801</v>
      </c>
      <c r="N1609">
        <v>3.5729582843016598</v>
      </c>
      <c r="Q1609">
        <f t="shared" si="125"/>
        <v>3.14</v>
      </c>
      <c r="R1609">
        <f t="shared" si="127"/>
        <v>3.7115607558109218</v>
      </c>
      <c r="S1609">
        <f t="shared" si="128"/>
        <v>-0.57156075581092169</v>
      </c>
      <c r="T1609">
        <f t="shared" si="129"/>
        <v>0.32668169758315208</v>
      </c>
    </row>
    <row r="1610" spans="1:20" hidden="1" x14ac:dyDescent="0.25">
      <c r="A1610" t="str">
        <f t="shared" si="126"/>
        <v>RIP</v>
      </c>
      <c r="B1610" t="s">
        <v>1616</v>
      </c>
      <c r="C1610">
        <v>1.3662500790000001</v>
      </c>
      <c r="D1610">
        <v>9.9869701000000005E-2</v>
      </c>
      <c r="E1610">
        <v>0.74456221099999997</v>
      </c>
      <c r="F1610">
        <v>0.56937072799999999</v>
      </c>
      <c r="G1610">
        <v>0.81376668600000002</v>
      </c>
      <c r="H1610">
        <v>3.4</v>
      </c>
      <c r="I1610">
        <v>3.5169523367428401</v>
      </c>
      <c r="J1610">
        <v>3.71536064345357</v>
      </c>
      <c r="K1610">
        <v>3.5278725479866799</v>
      </c>
      <c r="L1610">
        <v>3.6646373572581199</v>
      </c>
      <c r="M1610">
        <v>3.6161564900981999</v>
      </c>
      <c r="N1610">
        <v>3.6147954709549501</v>
      </c>
      <c r="Q1610">
        <f t="shared" si="125"/>
        <v>3.4</v>
      </c>
      <c r="R1610">
        <f t="shared" si="127"/>
        <v>3.7740393931120972</v>
      </c>
      <c r="S1610">
        <f t="shared" si="128"/>
        <v>-0.37403939311209733</v>
      </c>
      <c r="T1610">
        <f t="shared" si="129"/>
        <v>0.13990546759966607</v>
      </c>
    </row>
    <row r="1611" spans="1:20" hidden="1" x14ac:dyDescent="0.25">
      <c r="A1611" t="str">
        <f t="shared" si="126"/>
        <v>RIP</v>
      </c>
      <c r="B1611" t="s">
        <v>1617</v>
      </c>
      <c r="C1611">
        <v>1.3537283609999999</v>
      </c>
      <c r="D1611">
        <v>0.24945825099999999</v>
      </c>
      <c r="E1611">
        <v>0.63609700199999997</v>
      </c>
      <c r="F1611">
        <v>0.53029493500000002</v>
      </c>
      <c r="G1611">
        <v>0.80056559400000005</v>
      </c>
      <c r="H1611">
        <v>2.4300000000000002</v>
      </c>
      <c r="I1611">
        <v>2.74584539718377</v>
      </c>
      <c r="J1611">
        <v>2.6887275194250799</v>
      </c>
      <c r="K1611">
        <v>3.3183246593834999</v>
      </c>
      <c r="L1611">
        <v>3.35823597711456</v>
      </c>
      <c r="M1611">
        <v>2.7172864583044301</v>
      </c>
      <c r="N1611">
        <v>2.7171363755790199</v>
      </c>
      <c r="Q1611">
        <f t="shared" si="125"/>
        <v>2.4300000000000002</v>
      </c>
      <c r="R1611">
        <f t="shared" si="127"/>
        <v>2.7020228159102961</v>
      </c>
      <c r="S1611">
        <f t="shared" si="128"/>
        <v>-0.27202281591029598</v>
      </c>
      <c r="T1611">
        <f t="shared" si="129"/>
        <v>7.3996412375766776E-2</v>
      </c>
    </row>
    <row r="1612" spans="1:20" hidden="1" x14ac:dyDescent="0.25">
      <c r="A1612" t="str">
        <f t="shared" si="126"/>
        <v>RIP</v>
      </c>
      <c r="B1612" t="s">
        <v>1618</v>
      </c>
      <c r="C1612">
        <v>1.184281905</v>
      </c>
      <c r="D1612">
        <v>0.26588004100000001</v>
      </c>
      <c r="E1612">
        <v>0.66748598400000003</v>
      </c>
      <c r="F1612">
        <v>0.53270734900000005</v>
      </c>
      <c r="G1612">
        <v>0.83190251100000001</v>
      </c>
      <c r="H1612">
        <v>2.31</v>
      </c>
      <c r="I1612">
        <v>3.2354517373568301</v>
      </c>
      <c r="J1612">
        <v>3.2751206641973898</v>
      </c>
      <c r="K1612">
        <v>3.6746581185987401</v>
      </c>
      <c r="L1612">
        <v>3.7202967257086801</v>
      </c>
      <c r="M1612">
        <v>3.25528620077711</v>
      </c>
      <c r="N1612">
        <v>3.2552257745094599</v>
      </c>
      <c r="Q1612">
        <f t="shared" si="125"/>
        <v>2.31</v>
      </c>
      <c r="R1612">
        <f t="shared" si="127"/>
        <v>3.3563190369050631</v>
      </c>
      <c r="S1612">
        <f t="shared" si="128"/>
        <v>-1.046319036905063</v>
      </c>
      <c r="T1612">
        <f t="shared" si="129"/>
        <v>1.0947835269899386</v>
      </c>
    </row>
    <row r="1613" spans="1:20" hidden="1" x14ac:dyDescent="0.25">
      <c r="A1613" t="str">
        <f t="shared" si="126"/>
        <v>RIP</v>
      </c>
      <c r="B1613" t="s">
        <v>1619</v>
      </c>
      <c r="C1613">
        <v>1.3142474770000001</v>
      </c>
      <c r="D1613">
        <v>0.26100870500000001</v>
      </c>
      <c r="E1613">
        <v>0.66577287100000004</v>
      </c>
      <c r="F1613">
        <v>0.53774664299999997</v>
      </c>
      <c r="G1613">
        <v>0.828733846</v>
      </c>
      <c r="H1613">
        <v>3.41</v>
      </c>
      <c r="I1613">
        <v>2.9753407261874001</v>
      </c>
      <c r="J1613">
        <v>3.0773416700731899</v>
      </c>
      <c r="K1613">
        <v>3.36127075432089</v>
      </c>
      <c r="L1613">
        <v>3.38899035102019</v>
      </c>
      <c r="M1613">
        <v>3.0263411981302899</v>
      </c>
      <c r="N1613">
        <v>3.02591143283512</v>
      </c>
      <c r="Q1613">
        <f t="shared" si="125"/>
        <v>3.41</v>
      </c>
      <c r="R1613">
        <f t="shared" si="127"/>
        <v>3.126656159345484</v>
      </c>
      <c r="S1613">
        <f t="shared" si="128"/>
        <v>0.28334384065451612</v>
      </c>
      <c r="T1613">
        <f t="shared" si="129"/>
        <v>8.0283732036851824E-2</v>
      </c>
    </row>
    <row r="1614" spans="1:20" hidden="1" x14ac:dyDescent="0.25">
      <c r="A1614" t="str">
        <f t="shared" si="126"/>
        <v>RIP</v>
      </c>
      <c r="B1614" t="s">
        <v>1620</v>
      </c>
      <c r="C1614">
        <v>1.291902447</v>
      </c>
      <c r="D1614">
        <v>0.27698055100000002</v>
      </c>
      <c r="E1614">
        <v>0.67845352299999995</v>
      </c>
      <c r="F1614">
        <v>0.57255415499999995</v>
      </c>
      <c r="G1614">
        <v>0.84510830999999997</v>
      </c>
      <c r="H1614">
        <v>4.09</v>
      </c>
      <c r="I1614">
        <v>3.3838179584032502</v>
      </c>
      <c r="J1614">
        <v>3.5393331309909501</v>
      </c>
      <c r="K1614">
        <v>3.5495377646671802</v>
      </c>
      <c r="L1614">
        <v>3.5698735835091999</v>
      </c>
      <c r="M1614">
        <v>3.4615755446971002</v>
      </c>
      <c r="N1614">
        <v>3.4607020977568599</v>
      </c>
      <c r="Q1614">
        <f t="shared" si="125"/>
        <v>4.09</v>
      </c>
      <c r="R1614">
        <f t="shared" si="127"/>
        <v>3.6378160555882841</v>
      </c>
      <c r="S1614">
        <f t="shared" si="128"/>
        <v>0.45218394441171572</v>
      </c>
      <c r="T1614">
        <f t="shared" si="129"/>
        <v>0.20447031958373763</v>
      </c>
    </row>
    <row r="1615" spans="1:20" hidden="1" x14ac:dyDescent="0.25">
      <c r="A1615" t="str">
        <f t="shared" si="126"/>
        <v>RIP</v>
      </c>
      <c r="B1615" t="s">
        <v>1621</v>
      </c>
      <c r="C1615">
        <v>1.371461958</v>
      </c>
      <c r="D1615">
        <v>0.27546879499999999</v>
      </c>
      <c r="E1615">
        <v>0.68496494299999999</v>
      </c>
      <c r="F1615">
        <v>0.59244303200000004</v>
      </c>
      <c r="G1615">
        <v>0.85048100199999999</v>
      </c>
      <c r="H1615">
        <v>4.0999999999999996</v>
      </c>
      <c r="I1615">
        <v>3.3083174335838401</v>
      </c>
      <c r="J1615">
        <v>3.5403221084500398</v>
      </c>
      <c r="K1615">
        <v>3.2116277554370001</v>
      </c>
      <c r="L1615">
        <v>3.20620612606765</v>
      </c>
      <c r="M1615">
        <v>3.4243197710169402</v>
      </c>
      <c r="N1615">
        <v>3.4223543580242501</v>
      </c>
      <c r="Q1615">
        <f t="shared" si="125"/>
        <v>4.0999999999999996</v>
      </c>
      <c r="R1615">
        <f t="shared" si="127"/>
        <v>3.6332050020272924</v>
      </c>
      <c r="S1615">
        <f t="shared" si="128"/>
        <v>0.46679499797270729</v>
      </c>
      <c r="T1615">
        <f t="shared" si="129"/>
        <v>0.21789757013233982</v>
      </c>
    </row>
    <row r="1616" spans="1:20" hidden="1" x14ac:dyDescent="0.25">
      <c r="A1616" t="str">
        <f t="shared" si="126"/>
        <v>RIP</v>
      </c>
      <c r="B1616" t="s">
        <v>1622</v>
      </c>
      <c r="C1616">
        <v>1.382941108</v>
      </c>
      <c r="D1616">
        <v>0.242343905</v>
      </c>
      <c r="E1616">
        <v>0.59939825000000002</v>
      </c>
      <c r="F1616">
        <v>0.488407653</v>
      </c>
      <c r="G1616">
        <v>0.75790214300000003</v>
      </c>
      <c r="H1616">
        <v>3.2</v>
      </c>
      <c r="I1616">
        <v>2.4023494781461001</v>
      </c>
      <c r="J1616">
        <v>2.2294461327133801</v>
      </c>
      <c r="K1616">
        <v>3.1497752162028299</v>
      </c>
      <c r="L1616">
        <v>3.2877404899881801</v>
      </c>
      <c r="M1616">
        <v>2.3158978054297399</v>
      </c>
      <c r="N1616">
        <v>2.3142836372145101</v>
      </c>
      <c r="Q1616">
        <f t="shared" si="125"/>
        <v>3.2</v>
      </c>
      <c r="R1616">
        <f t="shared" si="127"/>
        <v>2.1921333622842063</v>
      </c>
      <c r="S1616">
        <f t="shared" si="128"/>
        <v>1.0078666377157939</v>
      </c>
      <c r="T1616">
        <f t="shared" si="129"/>
        <v>1.0157951594205392</v>
      </c>
    </row>
    <row r="1617" spans="1:20" hidden="1" x14ac:dyDescent="0.25">
      <c r="A1617" t="str">
        <f t="shared" si="126"/>
        <v>RIP</v>
      </c>
      <c r="B1617" t="s">
        <v>1623</v>
      </c>
      <c r="C1617">
        <v>1.2401217410000001</v>
      </c>
      <c r="D1617">
        <v>0.25571019299999997</v>
      </c>
      <c r="E1617">
        <v>0.60842586700000001</v>
      </c>
      <c r="F1617">
        <v>0.52647307099999996</v>
      </c>
      <c r="G1617">
        <v>0.784938621</v>
      </c>
      <c r="H1617">
        <v>3.03</v>
      </c>
      <c r="I1617">
        <v>3.0460366602277702</v>
      </c>
      <c r="J1617">
        <v>2.7697087501791402</v>
      </c>
      <c r="K1617">
        <v>3.3234606855590498</v>
      </c>
      <c r="L1617">
        <v>3.3689702572826898</v>
      </c>
      <c r="M1617">
        <v>2.9078727052034599</v>
      </c>
      <c r="N1617">
        <v>2.9045885063463501</v>
      </c>
      <c r="Q1617">
        <f t="shared" si="125"/>
        <v>3.03</v>
      </c>
      <c r="R1617">
        <f t="shared" si="127"/>
        <v>2.8114713047726179</v>
      </c>
      <c r="S1617">
        <f t="shared" si="128"/>
        <v>0.21852869522738194</v>
      </c>
      <c r="T1617">
        <f t="shared" si="129"/>
        <v>4.7754790637781985E-2</v>
      </c>
    </row>
    <row r="1618" spans="1:20" hidden="1" x14ac:dyDescent="0.25">
      <c r="A1618" t="str">
        <f t="shared" si="126"/>
        <v>RIP</v>
      </c>
      <c r="B1618" t="s">
        <v>1624</v>
      </c>
      <c r="C1618">
        <v>1.3233773230000001</v>
      </c>
      <c r="D1618">
        <v>0.26791762800000002</v>
      </c>
      <c r="E1618">
        <v>0.61469106100000004</v>
      </c>
      <c r="F1618">
        <v>0.52178862699999995</v>
      </c>
      <c r="G1618">
        <v>0.79902441000000002</v>
      </c>
      <c r="H1618">
        <v>3.33</v>
      </c>
      <c r="I1618">
        <v>3.0152447775569602</v>
      </c>
      <c r="J1618">
        <v>2.88441368019827</v>
      </c>
      <c r="K1618">
        <v>3.3367990939272101</v>
      </c>
      <c r="L1618">
        <v>3.4187364508386699</v>
      </c>
      <c r="M1618">
        <v>2.9498292288776198</v>
      </c>
      <c r="N1618">
        <v>2.94910381057224</v>
      </c>
      <c r="Q1618">
        <f t="shared" si="125"/>
        <v>3.33</v>
      </c>
      <c r="R1618">
        <f t="shared" si="127"/>
        <v>2.9239066363998836</v>
      </c>
      <c r="S1618">
        <f t="shared" si="128"/>
        <v>0.4060933636001165</v>
      </c>
      <c r="T1618">
        <f t="shared" si="129"/>
        <v>0.16491181996005641</v>
      </c>
    </row>
    <row r="1619" spans="1:20" hidden="1" x14ac:dyDescent="0.25">
      <c r="A1619" t="str">
        <f t="shared" si="126"/>
        <v>RIP</v>
      </c>
      <c r="B1619" t="s">
        <v>1625</v>
      </c>
      <c r="C1619">
        <v>1.378520846</v>
      </c>
      <c r="D1619">
        <v>0.25077651499999998</v>
      </c>
      <c r="E1619">
        <v>0.60535100399999997</v>
      </c>
      <c r="F1619">
        <v>0.51757916599999998</v>
      </c>
      <c r="G1619">
        <v>0.76589442200000002</v>
      </c>
      <c r="H1619">
        <v>3.28</v>
      </c>
      <c r="I1619">
        <v>2.7296234213832502</v>
      </c>
      <c r="J1619">
        <v>2.50642774692807</v>
      </c>
      <c r="K1619">
        <v>3.1492171175365198</v>
      </c>
      <c r="L1619">
        <v>3.1964380644120598</v>
      </c>
      <c r="M1619">
        <v>2.6180255841556601</v>
      </c>
      <c r="N1619">
        <v>2.6156459779602699</v>
      </c>
      <c r="Q1619">
        <f t="shared" si="125"/>
        <v>3.28</v>
      </c>
      <c r="R1619">
        <f t="shared" si="127"/>
        <v>2.5045686778976961</v>
      </c>
      <c r="S1619">
        <f t="shared" si="128"/>
        <v>0.7754313221023037</v>
      </c>
      <c r="T1619">
        <f t="shared" si="129"/>
        <v>0.60129373529732666</v>
      </c>
    </row>
    <row r="1620" spans="1:20" hidden="1" x14ac:dyDescent="0.25">
      <c r="A1620" t="str">
        <f t="shared" si="126"/>
        <v>RIP</v>
      </c>
      <c r="B1620" t="s">
        <v>1626</v>
      </c>
      <c r="C1620">
        <v>1.2227861170000001</v>
      </c>
      <c r="D1620">
        <v>0.24913919800000001</v>
      </c>
      <c r="E1620">
        <v>0.62310066399999997</v>
      </c>
      <c r="F1620">
        <v>0.52656371999999996</v>
      </c>
      <c r="G1620">
        <v>0.781552409</v>
      </c>
      <c r="H1620">
        <v>3.42</v>
      </c>
      <c r="I1620">
        <v>3.0058954736222101</v>
      </c>
      <c r="J1620">
        <v>2.7447540253856899</v>
      </c>
      <c r="K1620">
        <v>3.60567422746051</v>
      </c>
      <c r="L1620">
        <v>3.6897006676039799</v>
      </c>
      <c r="M1620">
        <v>2.87532474950395</v>
      </c>
      <c r="N1620">
        <v>2.8723585606802602</v>
      </c>
      <c r="Q1620">
        <f t="shared" si="125"/>
        <v>3.42</v>
      </c>
      <c r="R1620">
        <f t="shared" si="127"/>
        <v>2.781349650337094</v>
      </c>
      <c r="S1620">
        <f t="shared" si="128"/>
        <v>0.6386503496629059</v>
      </c>
      <c r="T1620">
        <f t="shared" si="129"/>
        <v>0.40787426912455199</v>
      </c>
    </row>
    <row r="1621" spans="1:20" hidden="1" x14ac:dyDescent="0.25">
      <c r="A1621" t="str">
        <f t="shared" si="126"/>
        <v>RIP</v>
      </c>
      <c r="B1621" t="s">
        <v>1627</v>
      </c>
      <c r="C1621">
        <v>1.0748373819999999</v>
      </c>
      <c r="D1621">
        <v>0.244455125</v>
      </c>
      <c r="E1621">
        <v>0.63683103200000002</v>
      </c>
      <c r="F1621">
        <v>0.49162911999999998</v>
      </c>
      <c r="G1621">
        <v>0.79719987999999997</v>
      </c>
      <c r="H1621">
        <v>3.13</v>
      </c>
      <c r="I1621">
        <v>2.9369072448431299</v>
      </c>
      <c r="J1621">
        <v>2.7429287901801298</v>
      </c>
      <c r="K1621">
        <v>3.76458093251461</v>
      </c>
      <c r="L1621">
        <v>3.8294383610710798</v>
      </c>
      <c r="M1621">
        <v>2.8399180175116299</v>
      </c>
      <c r="N1621">
        <v>2.8382613403224202</v>
      </c>
      <c r="Q1621">
        <f t="shared" si="125"/>
        <v>3.13</v>
      </c>
      <c r="R1621">
        <f t="shared" si="127"/>
        <v>2.7828578999089455</v>
      </c>
      <c r="S1621">
        <f t="shared" si="128"/>
        <v>0.3471421000910544</v>
      </c>
      <c r="T1621">
        <f t="shared" si="129"/>
        <v>0.12050763765562762</v>
      </c>
    </row>
    <row r="1622" spans="1:20" hidden="1" x14ac:dyDescent="0.25">
      <c r="A1622" t="str">
        <f t="shared" si="126"/>
        <v>RIP</v>
      </c>
      <c r="B1622" t="s">
        <v>1628</v>
      </c>
      <c r="C1622">
        <v>1.002332673</v>
      </c>
      <c r="D1622">
        <v>0.24951103399999999</v>
      </c>
      <c r="E1622">
        <v>0.64100197000000003</v>
      </c>
      <c r="F1622">
        <v>0.50070646799999996</v>
      </c>
      <c r="G1622">
        <v>0.80483373499999999</v>
      </c>
      <c r="H1622">
        <v>3.66</v>
      </c>
      <c r="I1622">
        <v>3.1774794904535999</v>
      </c>
      <c r="J1622">
        <v>2.9534471706605898</v>
      </c>
      <c r="K1622">
        <v>3.8628474260969399</v>
      </c>
      <c r="L1622">
        <v>3.9242384279314</v>
      </c>
      <c r="M1622">
        <v>3.06546333055709</v>
      </c>
      <c r="N1622">
        <v>3.0634160362105902</v>
      </c>
      <c r="Q1622">
        <f t="shared" si="125"/>
        <v>3.66</v>
      </c>
      <c r="R1622">
        <f t="shared" si="127"/>
        <v>3.024503948035635</v>
      </c>
      <c r="S1622">
        <f t="shared" si="128"/>
        <v>0.63549605196436509</v>
      </c>
      <c r="T1622">
        <f t="shared" si="129"/>
        <v>0.40385523206229501</v>
      </c>
    </row>
    <row r="1623" spans="1:20" hidden="1" x14ac:dyDescent="0.25">
      <c r="A1623" t="str">
        <f t="shared" si="126"/>
        <v>RIP</v>
      </c>
      <c r="B1623" t="s">
        <v>1629</v>
      </c>
      <c r="C1623">
        <v>1.1558745340000001</v>
      </c>
      <c r="D1623">
        <v>0.255573789</v>
      </c>
      <c r="E1623">
        <v>0.63872292500000005</v>
      </c>
      <c r="F1623">
        <v>0.49685161500000002</v>
      </c>
      <c r="G1623">
        <v>0.81539331900000001</v>
      </c>
      <c r="H1623">
        <v>3.19</v>
      </c>
      <c r="I1623">
        <v>2.94911454669406</v>
      </c>
      <c r="J1623">
        <v>2.8765229775302998</v>
      </c>
      <c r="K1623">
        <v>3.4713649221637302</v>
      </c>
      <c r="L1623">
        <v>3.5175826796672802</v>
      </c>
      <c r="M1623">
        <v>2.9128187621121802</v>
      </c>
      <c r="N1623">
        <v>2.9125926177435701</v>
      </c>
      <c r="Q1623">
        <f t="shared" si="125"/>
        <v>3.19</v>
      </c>
      <c r="R1623">
        <f t="shared" si="127"/>
        <v>2.9222947191272768</v>
      </c>
      <c r="S1623">
        <f t="shared" si="128"/>
        <v>0.26770528087272316</v>
      </c>
      <c r="T1623">
        <f t="shared" si="129"/>
        <v>7.1666117407143598E-2</v>
      </c>
    </row>
    <row r="1624" spans="1:20" hidden="1" x14ac:dyDescent="0.25">
      <c r="A1624" t="str">
        <f t="shared" si="126"/>
        <v>RIP</v>
      </c>
      <c r="B1624" t="s">
        <v>1630</v>
      </c>
      <c r="C1624">
        <v>0.99567188799999995</v>
      </c>
      <c r="D1624">
        <v>0.25546435299999998</v>
      </c>
      <c r="E1624">
        <v>0.63361555599999997</v>
      </c>
      <c r="F1624">
        <v>0.49327393600000002</v>
      </c>
      <c r="G1624">
        <v>0.801467508</v>
      </c>
      <c r="H1624">
        <v>3.48</v>
      </c>
      <c r="I1624">
        <v>3.2517191282820002</v>
      </c>
      <c r="J1624">
        <v>2.9993059851938502</v>
      </c>
      <c r="K1624">
        <v>3.8474903944070902</v>
      </c>
      <c r="L1624">
        <v>3.9023945260583899</v>
      </c>
      <c r="M1624">
        <v>3.12551255673793</v>
      </c>
      <c r="N1624">
        <v>3.1229634393674099</v>
      </c>
      <c r="Q1624">
        <f t="shared" si="125"/>
        <v>3.48</v>
      </c>
      <c r="R1624">
        <f t="shared" si="127"/>
        <v>3.0762201122624995</v>
      </c>
      <c r="S1624">
        <f t="shared" si="128"/>
        <v>0.40377988773750051</v>
      </c>
      <c r="T1624">
        <f t="shared" si="129"/>
        <v>0.16303819774130851</v>
      </c>
    </row>
    <row r="1625" spans="1:20" hidden="1" x14ac:dyDescent="0.25">
      <c r="A1625" t="str">
        <f t="shared" si="126"/>
        <v>RIP</v>
      </c>
      <c r="B1625" t="s">
        <v>1631</v>
      </c>
      <c r="C1625">
        <v>1.1958621540000001</v>
      </c>
      <c r="D1625">
        <v>0.25622153600000003</v>
      </c>
      <c r="E1625">
        <v>0.647953373</v>
      </c>
      <c r="F1625">
        <v>0.52004080200000002</v>
      </c>
      <c r="G1625">
        <v>0.81944058099999995</v>
      </c>
      <c r="H1625">
        <v>3.43</v>
      </c>
      <c r="I1625">
        <v>3.0146386448460301</v>
      </c>
      <c r="J1625">
        <v>2.9730142303355702</v>
      </c>
      <c r="K1625">
        <v>3.5941824483023899</v>
      </c>
      <c r="L1625">
        <v>3.6561778547128601</v>
      </c>
      <c r="M1625">
        <v>2.9938264375907999</v>
      </c>
      <c r="N1625">
        <v>2.99375409652276</v>
      </c>
      <c r="Q1625">
        <f t="shared" si="125"/>
        <v>3.43</v>
      </c>
      <c r="R1625">
        <f t="shared" si="127"/>
        <v>3.0268380898428733</v>
      </c>
      <c r="S1625">
        <f t="shared" si="128"/>
        <v>0.40316191015712688</v>
      </c>
      <c r="T1625">
        <f t="shared" si="129"/>
        <v>0.16253952580154324</v>
      </c>
    </row>
    <row r="1626" spans="1:20" hidden="1" x14ac:dyDescent="0.25">
      <c r="A1626" t="str">
        <f t="shared" si="126"/>
        <v>RIP</v>
      </c>
      <c r="B1626" t="s">
        <v>1632</v>
      </c>
      <c r="C1626">
        <v>1.056591399</v>
      </c>
      <c r="D1626">
        <v>0.238226717</v>
      </c>
      <c r="E1626">
        <v>0.61308053399999995</v>
      </c>
      <c r="F1626">
        <v>0.47104504899999999</v>
      </c>
      <c r="G1626">
        <v>0.75824161999999995</v>
      </c>
      <c r="H1626">
        <v>1.69</v>
      </c>
      <c r="I1626">
        <v>2.82612799037146</v>
      </c>
      <c r="J1626">
        <v>2.4767274497278899</v>
      </c>
      <c r="K1626">
        <v>3.5856657250962698</v>
      </c>
      <c r="L1626">
        <v>3.6184467988084901</v>
      </c>
      <c r="M1626">
        <v>2.6514277200496799</v>
      </c>
      <c r="N1626">
        <v>2.6456660352730301</v>
      </c>
      <c r="Q1626">
        <f t="shared" si="125"/>
        <v>1.69</v>
      </c>
      <c r="R1626">
        <f t="shared" si="127"/>
        <v>2.4916221964227692</v>
      </c>
      <c r="S1626">
        <f t="shared" si="128"/>
        <v>-0.80162219642276922</v>
      </c>
      <c r="T1626">
        <f t="shared" si="129"/>
        <v>0.64259814579766483</v>
      </c>
    </row>
    <row r="1627" spans="1:20" hidden="1" x14ac:dyDescent="0.25">
      <c r="A1627" t="str">
        <f t="shared" si="126"/>
        <v>RIP</v>
      </c>
      <c r="B1627" t="s">
        <v>1633</v>
      </c>
      <c r="C1627">
        <v>1.0152219680000001</v>
      </c>
      <c r="D1627">
        <v>0.23936353099999999</v>
      </c>
      <c r="E1627">
        <v>0.59485529400000003</v>
      </c>
      <c r="F1627">
        <v>0.43143118200000002</v>
      </c>
      <c r="G1627">
        <v>0.73759746000000004</v>
      </c>
      <c r="H1627">
        <v>2.92</v>
      </c>
      <c r="I1627">
        <v>2.6905536852374401</v>
      </c>
      <c r="J1627">
        <v>2.3176456028892001</v>
      </c>
      <c r="K1627">
        <v>3.6149197530411401</v>
      </c>
      <c r="L1627">
        <v>3.6062272318262698</v>
      </c>
      <c r="M1627">
        <v>2.5040996440633201</v>
      </c>
      <c r="N1627">
        <v>2.4971483572122599</v>
      </c>
      <c r="Q1627">
        <f t="shared" si="125"/>
        <v>2.92</v>
      </c>
      <c r="R1627">
        <f t="shared" si="127"/>
        <v>2.3171093359024102</v>
      </c>
      <c r="S1627">
        <f t="shared" si="128"/>
        <v>0.60289066409758973</v>
      </c>
      <c r="T1627">
        <f t="shared" si="129"/>
        <v>0.36347715285603277</v>
      </c>
    </row>
    <row r="1628" spans="1:20" hidden="1" x14ac:dyDescent="0.25">
      <c r="A1628" t="str">
        <f t="shared" si="126"/>
        <v>RIP</v>
      </c>
      <c r="B1628" t="s">
        <v>1634</v>
      </c>
      <c r="C1628">
        <v>1.1513314800000001</v>
      </c>
      <c r="D1628">
        <v>0.25746612000000002</v>
      </c>
      <c r="E1628">
        <v>0.64236807399999996</v>
      </c>
      <c r="F1628">
        <v>0.48051200300000002</v>
      </c>
      <c r="G1628">
        <v>0.80968094899999998</v>
      </c>
      <c r="H1628">
        <v>2.78</v>
      </c>
      <c r="I1628">
        <v>2.9243240338374998</v>
      </c>
      <c r="J1628">
        <v>2.8679127716544799</v>
      </c>
      <c r="K1628">
        <v>3.5013323133835401</v>
      </c>
      <c r="L1628">
        <v>3.5441447126040799</v>
      </c>
      <c r="M1628">
        <v>2.8961184027459899</v>
      </c>
      <c r="N1628">
        <v>2.8959810505420598</v>
      </c>
      <c r="Q1628">
        <f t="shared" si="125"/>
        <v>2.78</v>
      </c>
      <c r="R1628">
        <f t="shared" si="127"/>
        <v>2.9081370977240066</v>
      </c>
      <c r="S1628">
        <f t="shared" si="128"/>
        <v>-0.12813709772400683</v>
      </c>
      <c r="T1628">
        <f t="shared" si="129"/>
        <v>1.6419115813131678E-2</v>
      </c>
    </row>
    <row r="1629" spans="1:20" hidden="1" x14ac:dyDescent="0.25">
      <c r="A1629" t="str">
        <f t="shared" si="126"/>
        <v>RIP</v>
      </c>
      <c r="B1629" t="s">
        <v>1635</v>
      </c>
      <c r="C1629">
        <v>1.0818329229999999</v>
      </c>
      <c r="D1629">
        <v>0.24600465799999999</v>
      </c>
      <c r="E1629">
        <v>0.61953091100000002</v>
      </c>
      <c r="F1629">
        <v>0.46151838899999997</v>
      </c>
      <c r="G1629">
        <v>0.77955975300000002</v>
      </c>
      <c r="H1629">
        <v>2.74</v>
      </c>
      <c r="I1629">
        <v>2.8077069102779202</v>
      </c>
      <c r="J1629">
        <v>2.5788684656939802</v>
      </c>
      <c r="K1629">
        <v>3.5126678792422799</v>
      </c>
      <c r="L1629">
        <v>3.54129088950492</v>
      </c>
      <c r="M1629">
        <v>2.6932876879859502</v>
      </c>
      <c r="N1629">
        <v>2.6908561484826299</v>
      </c>
      <c r="Q1629">
        <f t="shared" si="125"/>
        <v>2.74</v>
      </c>
      <c r="R1629">
        <f t="shared" si="127"/>
        <v>2.5994113980442495</v>
      </c>
      <c r="S1629">
        <f t="shared" si="128"/>
        <v>0.14058860195575074</v>
      </c>
      <c r="T1629">
        <f t="shared" si="129"/>
        <v>1.9765154999872518E-2</v>
      </c>
    </row>
    <row r="1630" spans="1:20" hidden="1" x14ac:dyDescent="0.25">
      <c r="A1630" t="str">
        <f t="shared" si="126"/>
        <v>RIP</v>
      </c>
      <c r="B1630" t="s">
        <v>1636</v>
      </c>
      <c r="C1630">
        <v>1.0922808550000001</v>
      </c>
      <c r="D1630">
        <v>0.243178169</v>
      </c>
      <c r="E1630">
        <v>0.63321731299999995</v>
      </c>
      <c r="F1630">
        <v>0.48236840199999997</v>
      </c>
      <c r="G1630">
        <v>0.78407465099999996</v>
      </c>
      <c r="H1630">
        <v>2.75</v>
      </c>
      <c r="I1630">
        <v>2.8702591013496899</v>
      </c>
      <c r="J1630">
        <v>2.6539295041620701</v>
      </c>
      <c r="K1630">
        <v>3.5462489719519601</v>
      </c>
      <c r="L1630">
        <v>3.5871385924518502</v>
      </c>
      <c r="M1630">
        <v>2.7620943027558802</v>
      </c>
      <c r="N1630">
        <v>2.7599756001931701</v>
      </c>
      <c r="Q1630">
        <f t="shared" si="125"/>
        <v>2.75</v>
      </c>
      <c r="R1630">
        <f t="shared" si="127"/>
        <v>2.6814017916968975</v>
      </c>
      <c r="S1630">
        <f t="shared" si="128"/>
        <v>6.8598208303102481E-2</v>
      </c>
      <c r="T1630">
        <f t="shared" si="129"/>
        <v>4.7057141823958386E-3</v>
      </c>
    </row>
    <row r="1631" spans="1:20" hidden="1" x14ac:dyDescent="0.25">
      <c r="A1631" t="str">
        <f t="shared" si="126"/>
        <v>RIP</v>
      </c>
      <c r="B1631" t="s">
        <v>1637</v>
      </c>
      <c r="C1631">
        <v>1.169934064</v>
      </c>
      <c r="D1631">
        <v>0.252001582</v>
      </c>
      <c r="E1631">
        <v>0.62994194100000001</v>
      </c>
      <c r="F1631">
        <v>0.50139336899999998</v>
      </c>
      <c r="G1631">
        <v>0.791536358</v>
      </c>
      <c r="H1631">
        <v>3.17</v>
      </c>
      <c r="I1631">
        <v>2.9686302514399801</v>
      </c>
      <c r="J1631">
        <v>2.7821741140691998</v>
      </c>
      <c r="K1631">
        <v>3.4214603723831098</v>
      </c>
      <c r="L1631">
        <v>3.46268768330299</v>
      </c>
      <c r="M1631">
        <v>2.8754021827545899</v>
      </c>
      <c r="N1631">
        <v>2.8738904362899902</v>
      </c>
      <c r="Q1631">
        <f t="shared" si="125"/>
        <v>3.17</v>
      </c>
      <c r="R1631">
        <f t="shared" si="127"/>
        <v>2.8205796956481199</v>
      </c>
      <c r="S1631">
        <f t="shared" si="128"/>
        <v>0.34942030435187998</v>
      </c>
      <c r="T1631">
        <f t="shared" si="129"/>
        <v>0.12209454909336044</v>
      </c>
    </row>
    <row r="1632" spans="1:20" hidden="1" x14ac:dyDescent="0.25">
      <c r="A1632" t="str">
        <f t="shared" si="126"/>
        <v>RIP</v>
      </c>
      <c r="B1632" t="s">
        <v>1638</v>
      </c>
      <c r="C1632">
        <v>1.2164974900000001</v>
      </c>
      <c r="D1632">
        <v>0.25578419200000002</v>
      </c>
      <c r="E1632">
        <v>0.63797360800000003</v>
      </c>
      <c r="F1632">
        <v>0.50823501400000004</v>
      </c>
      <c r="G1632">
        <v>0.79976403299999999</v>
      </c>
      <c r="H1632">
        <v>3.14</v>
      </c>
      <c r="I1632">
        <v>2.9708908036104398</v>
      </c>
      <c r="J1632">
        <v>2.8578288659761801</v>
      </c>
      <c r="K1632">
        <v>3.3151837159659099</v>
      </c>
      <c r="L1632">
        <v>3.3541017805464599</v>
      </c>
      <c r="M1632">
        <v>2.9143598347933102</v>
      </c>
      <c r="N1632">
        <v>2.9138115066388699</v>
      </c>
      <c r="Q1632">
        <f t="shared" si="125"/>
        <v>3.14</v>
      </c>
      <c r="R1632">
        <f t="shared" si="127"/>
        <v>2.897851841877177</v>
      </c>
      <c r="S1632">
        <f t="shared" si="128"/>
        <v>0.24214815812282309</v>
      </c>
      <c r="T1632">
        <f t="shared" si="129"/>
        <v>5.863573048227573E-2</v>
      </c>
    </row>
    <row r="1633" spans="1:20" hidden="1" x14ac:dyDescent="0.25">
      <c r="A1633" t="str">
        <f t="shared" si="126"/>
        <v>RIP</v>
      </c>
      <c r="B1633" t="s">
        <v>1639</v>
      </c>
      <c r="C1633">
        <v>1.1475064180000001</v>
      </c>
      <c r="D1633">
        <v>0.27017554900000001</v>
      </c>
      <c r="E1633">
        <v>0.65933921799999995</v>
      </c>
      <c r="F1633">
        <v>0.55043387099999996</v>
      </c>
      <c r="G1633">
        <v>0.82454512700000004</v>
      </c>
      <c r="H1633">
        <v>3.7</v>
      </c>
      <c r="I1633">
        <v>3.4883620420555101</v>
      </c>
      <c r="J1633">
        <v>3.40695996182603</v>
      </c>
      <c r="K1633">
        <v>3.7859029584521999</v>
      </c>
      <c r="L1633">
        <v>3.85844891264736</v>
      </c>
      <c r="M1633">
        <v>3.4476610019407699</v>
      </c>
      <c r="N1633">
        <v>3.44742074740476</v>
      </c>
      <c r="Q1633">
        <f t="shared" si="125"/>
        <v>3.7</v>
      </c>
      <c r="R1633">
        <f t="shared" si="127"/>
        <v>3.5113693048660952</v>
      </c>
      <c r="S1633">
        <f t="shared" si="128"/>
        <v>0.18863069513390496</v>
      </c>
      <c r="T1633">
        <f t="shared" si="129"/>
        <v>3.5581539146700196E-2</v>
      </c>
    </row>
    <row r="1634" spans="1:20" hidden="1" x14ac:dyDescent="0.25">
      <c r="A1634" t="str">
        <f t="shared" si="126"/>
        <v>RIP</v>
      </c>
      <c r="B1634" t="s">
        <v>1640</v>
      </c>
      <c r="C1634">
        <v>1.1089024810000001</v>
      </c>
      <c r="D1634">
        <v>0.27392445500000001</v>
      </c>
      <c r="E1634">
        <v>0.67104867199999996</v>
      </c>
      <c r="F1634">
        <v>0.515418441</v>
      </c>
      <c r="G1634">
        <v>0.83026077700000001</v>
      </c>
      <c r="H1634">
        <v>4.08</v>
      </c>
      <c r="I1634">
        <v>3.4248467109309999</v>
      </c>
      <c r="J1634">
        <v>3.43003843471267</v>
      </c>
      <c r="K1634">
        <v>3.8316035314091099</v>
      </c>
      <c r="L1634">
        <v>3.9069968205446299</v>
      </c>
      <c r="M1634">
        <v>3.4274425728218398</v>
      </c>
      <c r="N1634">
        <v>3.4274415898002699</v>
      </c>
      <c r="Q1634">
        <f t="shared" si="125"/>
        <v>4.08</v>
      </c>
      <c r="R1634">
        <f t="shared" si="127"/>
        <v>3.5277346736753792</v>
      </c>
      <c r="S1634">
        <f t="shared" si="128"/>
        <v>0.55226532632462089</v>
      </c>
      <c r="T1634">
        <f t="shared" si="129"/>
        <v>0.30499699066044</v>
      </c>
    </row>
    <row r="1635" spans="1:20" hidden="1" x14ac:dyDescent="0.25">
      <c r="A1635" t="str">
        <f t="shared" si="126"/>
        <v>RIP</v>
      </c>
      <c r="B1635" t="s">
        <v>1641</v>
      </c>
      <c r="C1635">
        <v>0.987457268</v>
      </c>
      <c r="D1635">
        <v>0.25670913499999998</v>
      </c>
      <c r="E1635">
        <v>0.65345484899999995</v>
      </c>
      <c r="F1635">
        <v>0.49249308800000002</v>
      </c>
      <c r="G1635">
        <v>0.80398190300000005</v>
      </c>
      <c r="H1635">
        <v>3.31</v>
      </c>
      <c r="I1635">
        <v>3.3185740068582401</v>
      </c>
      <c r="J1635">
        <v>3.1125808993770798</v>
      </c>
      <c r="K1635">
        <v>3.8275966887120401</v>
      </c>
      <c r="L1635">
        <v>3.8778463782340298</v>
      </c>
      <c r="M1635">
        <v>3.21557745311766</v>
      </c>
      <c r="N1635">
        <v>3.2139275142598098</v>
      </c>
      <c r="Q1635">
        <f t="shared" si="125"/>
        <v>3.31</v>
      </c>
      <c r="R1635">
        <f t="shared" si="127"/>
        <v>3.1956287742081519</v>
      </c>
      <c r="S1635">
        <f t="shared" si="128"/>
        <v>0.11437122579184811</v>
      </c>
      <c r="T1635">
        <f t="shared" si="129"/>
        <v>1.3080777289129902E-2</v>
      </c>
    </row>
    <row r="1636" spans="1:20" hidden="1" x14ac:dyDescent="0.25">
      <c r="A1636" t="str">
        <f t="shared" si="126"/>
        <v>RIP</v>
      </c>
      <c r="B1636" t="s">
        <v>1642</v>
      </c>
      <c r="C1636">
        <v>1.2288978909999999</v>
      </c>
      <c r="D1636">
        <v>0.27181630099999998</v>
      </c>
      <c r="E1636">
        <v>0.65136257500000005</v>
      </c>
      <c r="F1636">
        <v>0.53109989599999996</v>
      </c>
      <c r="G1636">
        <v>0.81795151899999996</v>
      </c>
      <c r="H1636">
        <v>3.29</v>
      </c>
      <c r="I1636">
        <v>3.2842392128098599</v>
      </c>
      <c r="J1636">
        <v>3.2425687811961099</v>
      </c>
      <c r="K1636">
        <v>3.5588723816128098</v>
      </c>
      <c r="L1636">
        <v>3.6481523727943599</v>
      </c>
      <c r="M1636">
        <v>3.2634039970029902</v>
      </c>
      <c r="N1636">
        <v>3.2633374850660699</v>
      </c>
      <c r="Q1636">
        <f t="shared" si="125"/>
        <v>3.29</v>
      </c>
      <c r="R1636">
        <f t="shared" si="127"/>
        <v>3.3185688463094234</v>
      </c>
      <c r="S1636">
        <f t="shared" si="128"/>
        <v>-2.8568846309423357E-2</v>
      </c>
      <c r="T1636">
        <f t="shared" si="129"/>
        <v>8.1617897945145254E-4</v>
      </c>
    </row>
    <row r="1637" spans="1:20" hidden="1" x14ac:dyDescent="0.25">
      <c r="A1637" t="str">
        <f t="shared" si="126"/>
        <v>RIP</v>
      </c>
      <c r="B1637" t="s">
        <v>1643</v>
      </c>
      <c r="C1637">
        <v>1.1681540610000001</v>
      </c>
      <c r="D1637">
        <v>0.26798438400000002</v>
      </c>
      <c r="E1637">
        <v>0.64675486299999996</v>
      </c>
      <c r="F1637">
        <v>0.52311082799999997</v>
      </c>
      <c r="G1637">
        <v>0.81199935099999998</v>
      </c>
      <c r="H1637">
        <v>3.19</v>
      </c>
      <c r="I1637">
        <v>3.3061835938850899</v>
      </c>
      <c r="J1637">
        <v>3.1936401350617198</v>
      </c>
      <c r="K1637">
        <v>3.6718541895549399</v>
      </c>
      <c r="L1637">
        <v>3.7562278936482301</v>
      </c>
      <c r="M1637">
        <v>3.2499118644734</v>
      </c>
      <c r="N1637">
        <v>3.2494246597380898</v>
      </c>
      <c r="Q1637">
        <f t="shared" si="125"/>
        <v>3.19</v>
      </c>
      <c r="R1637">
        <f t="shared" si="127"/>
        <v>3.2720917423051952</v>
      </c>
      <c r="S1637">
        <f t="shared" si="128"/>
        <v>-8.2091742305195226E-2</v>
      </c>
      <c r="T1637">
        <f t="shared" si="129"/>
        <v>6.7390541547025793E-3</v>
      </c>
    </row>
    <row r="1638" spans="1:20" hidden="1" x14ac:dyDescent="0.25">
      <c r="A1638" t="str">
        <f t="shared" si="126"/>
        <v>RIP</v>
      </c>
      <c r="B1638" t="s">
        <v>1644</v>
      </c>
      <c r="C1638">
        <v>1.132883649</v>
      </c>
      <c r="D1638">
        <v>0.28660028199999998</v>
      </c>
      <c r="E1638">
        <v>0.669418929</v>
      </c>
      <c r="F1638">
        <v>0.53573552499999999</v>
      </c>
      <c r="G1638">
        <v>0.83248495</v>
      </c>
      <c r="H1638">
        <v>3.28</v>
      </c>
      <c r="I1638">
        <v>3.6872461756307402</v>
      </c>
      <c r="J1638">
        <v>3.66474418807804</v>
      </c>
      <c r="K1638">
        <v>3.8545411463641002</v>
      </c>
      <c r="L1638">
        <v>3.9404126166164501</v>
      </c>
      <c r="M1638">
        <v>3.6759951818543901</v>
      </c>
      <c r="N1638">
        <v>3.67597796404654</v>
      </c>
      <c r="Q1638">
        <f t="shared" si="125"/>
        <v>3.28</v>
      </c>
      <c r="R1638">
        <f t="shared" si="127"/>
        <v>3.7839587810128523</v>
      </c>
      <c r="S1638">
        <f t="shared" si="128"/>
        <v>-0.50395878101285252</v>
      </c>
      <c r="T1638">
        <f t="shared" si="129"/>
        <v>0.25397445295996024</v>
      </c>
    </row>
    <row r="1639" spans="1:20" hidden="1" x14ac:dyDescent="0.25">
      <c r="A1639" t="str">
        <f t="shared" si="126"/>
        <v>RIP</v>
      </c>
      <c r="B1639" t="s">
        <v>1645</v>
      </c>
      <c r="C1639">
        <v>1.1335409160000001</v>
      </c>
      <c r="D1639">
        <v>0.27180899600000002</v>
      </c>
      <c r="E1639">
        <v>0.64096283799999998</v>
      </c>
      <c r="F1639">
        <v>0.52596610300000002</v>
      </c>
      <c r="G1639">
        <v>0.79868381399999999</v>
      </c>
      <c r="H1639">
        <v>3.48</v>
      </c>
      <c r="I1639">
        <v>3.52158662376889</v>
      </c>
      <c r="J1639">
        <v>3.2702213559411701</v>
      </c>
      <c r="K1639">
        <v>3.8302579844529698</v>
      </c>
      <c r="L1639">
        <v>3.9394563603750501</v>
      </c>
      <c r="M1639">
        <v>3.3959039898550301</v>
      </c>
      <c r="N1639">
        <v>3.3935774315382501</v>
      </c>
      <c r="Q1639">
        <f t="shared" si="125"/>
        <v>3.48</v>
      </c>
      <c r="R1639">
        <f t="shared" si="127"/>
        <v>3.361847133445945</v>
      </c>
      <c r="S1639">
        <f t="shared" si="128"/>
        <v>0.11815286655405499</v>
      </c>
      <c r="T1639">
        <f t="shared" si="129"/>
        <v>1.3960099874940327E-2</v>
      </c>
    </row>
    <row r="1640" spans="1:20" hidden="1" x14ac:dyDescent="0.25">
      <c r="A1640" t="str">
        <f t="shared" si="126"/>
        <v>RIP</v>
      </c>
      <c r="B1640" t="s">
        <v>1646</v>
      </c>
      <c r="C1640">
        <v>1.226487528</v>
      </c>
      <c r="D1640">
        <v>0.26277605799999998</v>
      </c>
      <c r="E1640">
        <v>0.64238452499999998</v>
      </c>
      <c r="F1640">
        <v>0.51876040199999995</v>
      </c>
      <c r="G1640">
        <v>0.80002377599999996</v>
      </c>
      <c r="H1640">
        <v>3.04</v>
      </c>
      <c r="I1640">
        <v>3.1420258173143498</v>
      </c>
      <c r="J1640">
        <v>3.0180821910860902</v>
      </c>
      <c r="K1640">
        <v>3.58751863064641</v>
      </c>
      <c r="L1640">
        <v>3.7142502547128</v>
      </c>
      <c r="M1640">
        <v>3.0800540042002198</v>
      </c>
      <c r="N1640">
        <v>3.07943049331677</v>
      </c>
      <c r="Q1640">
        <f t="shared" si="125"/>
        <v>3.04</v>
      </c>
      <c r="R1640">
        <f t="shared" si="127"/>
        <v>3.0735979813531924</v>
      </c>
      <c r="S1640">
        <f t="shared" si="128"/>
        <v>-3.3597981353192363E-2</v>
      </c>
      <c r="T1640">
        <f t="shared" si="129"/>
        <v>1.1288243510094618E-3</v>
      </c>
    </row>
    <row r="1641" spans="1:20" hidden="1" x14ac:dyDescent="0.25">
      <c r="A1641" t="str">
        <f t="shared" si="126"/>
        <v>RIP</v>
      </c>
      <c r="B1641" t="s">
        <v>1647</v>
      </c>
      <c r="C1641">
        <v>1.306713979</v>
      </c>
      <c r="D1641">
        <v>0.26898927299999997</v>
      </c>
      <c r="E1641">
        <v>0.64529061700000001</v>
      </c>
      <c r="F1641">
        <v>0.55318786799999997</v>
      </c>
      <c r="G1641">
        <v>0.81714968799999999</v>
      </c>
      <c r="H1641">
        <v>3.54</v>
      </c>
      <c r="I1641">
        <v>3.2137922541691299</v>
      </c>
      <c r="J1641">
        <v>3.1742465737038499</v>
      </c>
      <c r="K1641">
        <v>3.3256176952529901</v>
      </c>
      <c r="L1641">
        <v>3.3708524160348601</v>
      </c>
      <c r="M1641">
        <v>3.1940194139364899</v>
      </c>
      <c r="N1641">
        <v>3.19395821065216</v>
      </c>
      <c r="Q1641">
        <f t="shared" si="125"/>
        <v>3.54</v>
      </c>
      <c r="R1641">
        <f t="shared" si="127"/>
        <v>3.2426242446371534</v>
      </c>
      <c r="S1641">
        <f t="shared" si="128"/>
        <v>0.29737575536284666</v>
      </c>
      <c r="T1641">
        <f t="shared" si="129"/>
        <v>8.8432339877623625E-2</v>
      </c>
    </row>
    <row r="1642" spans="1:20" hidden="1" x14ac:dyDescent="0.25">
      <c r="A1642" t="str">
        <f t="shared" si="126"/>
        <v>RIP</v>
      </c>
      <c r="B1642" t="s">
        <v>1648</v>
      </c>
      <c r="C1642">
        <v>1.3723533450000001</v>
      </c>
      <c r="D1642">
        <v>0.283087441</v>
      </c>
      <c r="E1642">
        <v>0.66139762000000002</v>
      </c>
      <c r="F1642">
        <v>0.54464750399999995</v>
      </c>
      <c r="G1642">
        <v>0.82976301500000005</v>
      </c>
      <c r="H1642">
        <v>3.58</v>
      </c>
      <c r="I1642">
        <v>3.2408857594624898</v>
      </c>
      <c r="J1642">
        <v>3.3665195777286701</v>
      </c>
      <c r="K1642">
        <v>3.1323636108328099</v>
      </c>
      <c r="L1642">
        <v>3.1658531610099501</v>
      </c>
      <c r="M1642">
        <v>3.3037026685955801</v>
      </c>
      <c r="N1642">
        <v>3.3031054113383198</v>
      </c>
      <c r="Q1642">
        <f t="shared" si="125"/>
        <v>3.58</v>
      </c>
      <c r="R1642">
        <f t="shared" si="127"/>
        <v>3.4349287191000482</v>
      </c>
      <c r="S1642">
        <f t="shared" si="128"/>
        <v>0.14507128089995192</v>
      </c>
      <c r="T1642">
        <f t="shared" si="129"/>
        <v>2.1045676541952753E-2</v>
      </c>
    </row>
    <row r="1643" spans="1:20" hidden="1" x14ac:dyDescent="0.25">
      <c r="A1643" t="str">
        <f t="shared" si="126"/>
        <v>RIP</v>
      </c>
      <c r="B1643" t="s">
        <v>1649</v>
      </c>
      <c r="C1643">
        <v>1.295561051</v>
      </c>
      <c r="D1643">
        <v>0.27993404500000002</v>
      </c>
      <c r="E1643">
        <v>0.66038730300000004</v>
      </c>
      <c r="F1643">
        <v>0.565051466</v>
      </c>
      <c r="G1643">
        <v>0.82463795399999995</v>
      </c>
      <c r="H1643">
        <v>3.63</v>
      </c>
      <c r="I1643">
        <v>3.4725778462413102</v>
      </c>
      <c r="J1643">
        <v>3.46632234625215</v>
      </c>
      <c r="K1643">
        <v>3.53697191865907</v>
      </c>
      <c r="L1643">
        <v>3.6232561680380302</v>
      </c>
      <c r="M1643">
        <v>3.4694500962467298</v>
      </c>
      <c r="N1643">
        <v>3.46944868639478</v>
      </c>
      <c r="Q1643">
        <f t="shared" si="125"/>
        <v>3.63</v>
      </c>
      <c r="R1643">
        <f t="shared" si="127"/>
        <v>3.5599957309032781</v>
      </c>
      <c r="S1643">
        <f t="shared" si="128"/>
        <v>7.000426909672175E-2</v>
      </c>
      <c r="T1643">
        <f t="shared" si="129"/>
        <v>4.9005976917662316E-3</v>
      </c>
    </row>
    <row r="1644" spans="1:20" hidden="1" x14ac:dyDescent="0.25">
      <c r="A1644" t="str">
        <f t="shared" si="126"/>
        <v>RIP</v>
      </c>
      <c r="B1644" t="s">
        <v>1650</v>
      </c>
      <c r="C1644">
        <v>1.234123962</v>
      </c>
      <c r="D1644">
        <v>0.26953594400000003</v>
      </c>
      <c r="E1644">
        <v>0.64740259600000005</v>
      </c>
      <c r="F1644">
        <v>0.54106536800000005</v>
      </c>
      <c r="G1644">
        <v>0.80492237</v>
      </c>
      <c r="H1644">
        <v>3.89</v>
      </c>
      <c r="I1644">
        <v>3.3629788630867599</v>
      </c>
      <c r="J1644">
        <v>3.2205182408785298</v>
      </c>
      <c r="K1644">
        <v>3.4848704353419899</v>
      </c>
      <c r="L1644">
        <v>3.5552338030911499</v>
      </c>
      <c r="M1644">
        <v>3.2917485519826499</v>
      </c>
      <c r="N1644">
        <v>3.2909777836168801</v>
      </c>
      <c r="Q1644">
        <f t="shared" si="125"/>
        <v>3.89</v>
      </c>
      <c r="R1644">
        <f t="shared" si="127"/>
        <v>3.2980076044004281</v>
      </c>
      <c r="S1644">
        <f t="shared" si="128"/>
        <v>0.59199239559957206</v>
      </c>
      <c r="T1644">
        <f t="shared" si="129"/>
        <v>0.35045499644772021</v>
      </c>
    </row>
    <row r="1645" spans="1:20" hidden="1" x14ac:dyDescent="0.25">
      <c r="A1645" t="str">
        <f t="shared" si="126"/>
        <v>RIP</v>
      </c>
      <c r="B1645" t="s">
        <v>1651</v>
      </c>
      <c r="C1645">
        <v>1.2460423650000001</v>
      </c>
      <c r="D1645">
        <v>0.260646078</v>
      </c>
      <c r="E1645">
        <v>0.63992035800000002</v>
      </c>
      <c r="F1645">
        <v>0.54303987899999995</v>
      </c>
      <c r="G1645">
        <v>0.79642188000000003</v>
      </c>
      <c r="H1645">
        <v>3.37</v>
      </c>
      <c r="I1645">
        <v>3.2283520485674102</v>
      </c>
      <c r="J1645">
        <v>3.0428906221009302</v>
      </c>
      <c r="K1645">
        <v>3.40929426310923</v>
      </c>
      <c r="L1645">
        <v>3.46951592126777</v>
      </c>
      <c r="M1645">
        <v>3.1356213353341702</v>
      </c>
      <c r="N1645">
        <v>3.1342498581679901</v>
      </c>
      <c r="Q1645">
        <f t="shared" si="125"/>
        <v>3.37</v>
      </c>
      <c r="R1645">
        <f t="shared" si="127"/>
        <v>3.1056788535643314</v>
      </c>
      <c r="S1645">
        <f t="shared" si="128"/>
        <v>0.26432114643566873</v>
      </c>
      <c r="T1645">
        <f t="shared" si="129"/>
        <v>6.9865668453066229E-2</v>
      </c>
    </row>
    <row r="1646" spans="1:20" hidden="1" x14ac:dyDescent="0.25">
      <c r="A1646" t="str">
        <f t="shared" si="126"/>
        <v>RIP</v>
      </c>
      <c r="B1646" t="s">
        <v>1652</v>
      </c>
      <c r="C1646">
        <v>1.2986480979999999</v>
      </c>
      <c r="D1646">
        <v>0.24486934599999999</v>
      </c>
      <c r="E1646">
        <v>0.64224483099999996</v>
      </c>
      <c r="F1646">
        <v>0.50375887100000005</v>
      </c>
      <c r="G1646">
        <v>0.79942599999999997</v>
      </c>
      <c r="H1646">
        <v>3.26</v>
      </c>
      <c r="I1646">
        <v>2.6267215466868699</v>
      </c>
      <c r="J1646">
        <v>2.5937428744345601</v>
      </c>
      <c r="K1646">
        <v>3.4843835175260698</v>
      </c>
      <c r="L1646">
        <v>3.5536846082625102</v>
      </c>
      <c r="M1646">
        <v>2.6102322105607199</v>
      </c>
      <c r="N1646">
        <v>2.6101801268960001</v>
      </c>
      <c r="Q1646">
        <f t="shared" si="125"/>
        <v>3.26</v>
      </c>
      <c r="R1646">
        <f t="shared" si="127"/>
        <v>2.5948263129966462</v>
      </c>
      <c r="S1646">
        <f t="shared" si="128"/>
        <v>0.66517368700335355</v>
      </c>
      <c r="T1646">
        <f t="shared" si="129"/>
        <v>0.44245603388163535</v>
      </c>
    </row>
    <row r="1647" spans="1:20" hidden="1" x14ac:dyDescent="0.25">
      <c r="A1647" t="str">
        <f t="shared" si="126"/>
        <v>RIP</v>
      </c>
      <c r="B1647" t="s">
        <v>1653</v>
      </c>
      <c r="C1647">
        <v>1.2174723590000001</v>
      </c>
      <c r="D1647">
        <v>0.25766763999999998</v>
      </c>
      <c r="E1647">
        <v>0.65432744399999998</v>
      </c>
      <c r="F1647">
        <v>0.54236045300000002</v>
      </c>
      <c r="G1647">
        <v>0.81703563199999996</v>
      </c>
      <c r="H1647">
        <v>2.95</v>
      </c>
      <c r="I1647">
        <v>3.1442964267626601</v>
      </c>
      <c r="J1647">
        <v>3.0853097625206898</v>
      </c>
      <c r="K1647">
        <v>3.5273393802697499</v>
      </c>
      <c r="L1647">
        <v>3.57610297000807</v>
      </c>
      <c r="M1647">
        <v>3.1148030946416698</v>
      </c>
      <c r="N1647">
        <v>3.1146634588266102</v>
      </c>
      <c r="Q1647">
        <f t="shared" si="125"/>
        <v>2.95</v>
      </c>
      <c r="R1647">
        <f t="shared" si="127"/>
        <v>3.151407889478242</v>
      </c>
      <c r="S1647">
        <f t="shared" si="128"/>
        <v>-0.20140788947824184</v>
      </c>
      <c r="T1647">
        <f t="shared" si="129"/>
        <v>4.0565137944079684E-2</v>
      </c>
    </row>
    <row r="1648" spans="1:20" hidden="1" x14ac:dyDescent="0.25">
      <c r="A1648" t="str">
        <f t="shared" si="126"/>
        <v>RIP</v>
      </c>
      <c r="B1648" t="s">
        <v>1654</v>
      </c>
      <c r="C1648">
        <v>1.143176618</v>
      </c>
      <c r="D1648">
        <v>0.29008680599999997</v>
      </c>
      <c r="E1648">
        <v>0.66728361400000002</v>
      </c>
      <c r="F1648">
        <v>0.53882614600000001</v>
      </c>
      <c r="G1648">
        <v>0.84373067300000004</v>
      </c>
      <c r="H1648">
        <v>3.52</v>
      </c>
      <c r="I1648">
        <v>3.6527153424729399</v>
      </c>
      <c r="J1648">
        <v>3.7065152247558002</v>
      </c>
      <c r="K1648">
        <v>3.7285179444382601</v>
      </c>
      <c r="L1648">
        <v>3.79101676225185</v>
      </c>
      <c r="M1648">
        <v>3.6796152836143698</v>
      </c>
      <c r="N1648">
        <v>3.6795169558754601</v>
      </c>
      <c r="Q1648">
        <f t="shared" si="125"/>
        <v>3.52</v>
      </c>
      <c r="R1648">
        <f t="shared" si="127"/>
        <v>3.8286918681698903</v>
      </c>
      <c r="S1648">
        <f t="shared" si="128"/>
        <v>-0.30869186816989025</v>
      </c>
      <c r="T1648">
        <f t="shared" si="129"/>
        <v>9.5290669474216896E-2</v>
      </c>
    </row>
    <row r="1649" spans="1:20" hidden="1" x14ac:dyDescent="0.25">
      <c r="A1649" t="str">
        <f t="shared" si="126"/>
        <v>RIP</v>
      </c>
      <c r="B1649" t="s">
        <v>1655</v>
      </c>
      <c r="C1649">
        <v>1.2999368760000001</v>
      </c>
      <c r="D1649">
        <v>0.27275124099999998</v>
      </c>
      <c r="E1649">
        <v>0.67559505200000003</v>
      </c>
      <c r="F1649">
        <v>0.56822789399999996</v>
      </c>
      <c r="G1649">
        <v>0.838324972</v>
      </c>
      <c r="H1649">
        <v>3.39</v>
      </c>
      <c r="I1649">
        <v>3.3159786475422699</v>
      </c>
      <c r="J1649">
        <v>3.4361102316718002</v>
      </c>
      <c r="K1649">
        <v>3.5814787962083301</v>
      </c>
      <c r="L1649">
        <v>3.6155718101884</v>
      </c>
      <c r="M1649">
        <v>3.3760444396070399</v>
      </c>
      <c r="N1649">
        <v>3.3755100590614799</v>
      </c>
      <c r="Q1649">
        <f t="shared" si="125"/>
        <v>3.39</v>
      </c>
      <c r="R1649">
        <f t="shared" si="127"/>
        <v>3.5246192193530055</v>
      </c>
      <c r="S1649">
        <f t="shared" si="128"/>
        <v>-0.13461921935300536</v>
      </c>
      <c r="T1649">
        <f t="shared" si="129"/>
        <v>1.8122334219212572E-2</v>
      </c>
    </row>
    <row r="1650" spans="1:20" hidden="1" x14ac:dyDescent="0.25">
      <c r="A1650" t="str">
        <f t="shared" si="126"/>
        <v>RIP</v>
      </c>
      <c r="B1650" t="s">
        <v>1656</v>
      </c>
      <c r="C1650">
        <v>1.303883328</v>
      </c>
      <c r="D1650">
        <v>0.27537516499999998</v>
      </c>
      <c r="E1650">
        <v>0.67593102900000002</v>
      </c>
      <c r="F1650">
        <v>0.55260066699999999</v>
      </c>
      <c r="G1650">
        <v>0.84290292499999997</v>
      </c>
      <c r="H1650">
        <v>3.48</v>
      </c>
      <c r="I1650">
        <v>3.2432724118830598</v>
      </c>
      <c r="J1650">
        <v>3.4172166469648899</v>
      </c>
      <c r="K1650">
        <v>3.62127330217539</v>
      </c>
      <c r="L1650">
        <v>3.6946106347212799</v>
      </c>
      <c r="M1650">
        <v>3.33024452942397</v>
      </c>
      <c r="N1650">
        <v>3.3291086609674898</v>
      </c>
      <c r="Q1650">
        <f t="shared" si="125"/>
        <v>3.48</v>
      </c>
      <c r="R1650">
        <f t="shared" si="127"/>
        <v>3.498573071459854</v>
      </c>
      <c r="S1650">
        <f t="shared" si="128"/>
        <v>-1.8573071459853985E-2</v>
      </c>
      <c r="T1650">
        <f t="shared" si="129"/>
        <v>3.4495898345284263E-4</v>
      </c>
    </row>
    <row r="1651" spans="1:20" hidden="1" x14ac:dyDescent="0.25">
      <c r="A1651" t="str">
        <f t="shared" si="126"/>
        <v>RIP</v>
      </c>
      <c r="B1651" t="s">
        <v>1657</v>
      </c>
      <c r="C1651">
        <v>1.267012775</v>
      </c>
      <c r="D1651">
        <v>0.27547297199999998</v>
      </c>
      <c r="E1651">
        <v>0.675602288</v>
      </c>
      <c r="F1651">
        <v>0.57298784300000005</v>
      </c>
      <c r="G1651">
        <v>0.84034706999999997</v>
      </c>
      <c r="H1651">
        <v>3.8</v>
      </c>
      <c r="I1651">
        <v>3.4282345542287902</v>
      </c>
      <c r="J1651">
        <v>3.5289156690070498</v>
      </c>
      <c r="K1651">
        <v>3.5819504210351401</v>
      </c>
      <c r="L1651">
        <v>3.6148449139769299</v>
      </c>
      <c r="M1651">
        <v>3.47857511161792</v>
      </c>
      <c r="N1651">
        <v>3.4782108382686299</v>
      </c>
      <c r="Q1651">
        <f t="shared" si="125"/>
        <v>3.8</v>
      </c>
      <c r="R1651">
        <f t="shared" si="127"/>
        <v>3.6307338884748788</v>
      </c>
      <c r="S1651">
        <f t="shared" si="128"/>
        <v>0.16926611152512105</v>
      </c>
      <c r="T1651">
        <f t="shared" si="129"/>
        <v>2.865101651083472E-2</v>
      </c>
    </row>
    <row r="1652" spans="1:20" hidden="1" x14ac:dyDescent="0.25">
      <c r="A1652" t="str">
        <f t="shared" si="126"/>
        <v>RIP</v>
      </c>
      <c r="B1652" t="s">
        <v>1658</v>
      </c>
      <c r="C1652">
        <v>1.321109936</v>
      </c>
      <c r="D1652">
        <v>0.26079068</v>
      </c>
      <c r="E1652">
        <v>0.666947662</v>
      </c>
      <c r="F1652">
        <v>0.55730916100000005</v>
      </c>
      <c r="G1652">
        <v>0.83121891199999998</v>
      </c>
      <c r="H1652">
        <v>3.49</v>
      </c>
      <c r="I1652">
        <v>3.0530249222574599</v>
      </c>
      <c r="J1652">
        <v>3.1440526546576901</v>
      </c>
      <c r="K1652">
        <v>3.57514909888428</v>
      </c>
      <c r="L1652">
        <v>3.6004438651455102</v>
      </c>
      <c r="M1652">
        <v>3.0985387884575801</v>
      </c>
      <c r="N1652">
        <v>3.0982044980213401</v>
      </c>
      <c r="Q1652">
        <f t="shared" si="125"/>
        <v>3.49</v>
      </c>
      <c r="R1652">
        <f t="shared" si="127"/>
        <v>3.2037566063259475</v>
      </c>
      <c r="S1652">
        <f t="shared" si="128"/>
        <v>0.28624339367405272</v>
      </c>
      <c r="T1652">
        <f t="shared" si="129"/>
        <v>8.1935280422038723E-2</v>
      </c>
    </row>
    <row r="1653" spans="1:20" hidden="1" x14ac:dyDescent="0.25">
      <c r="A1653" t="str">
        <f t="shared" si="126"/>
        <v>RIP</v>
      </c>
      <c r="B1653" t="s">
        <v>1659</v>
      </c>
      <c r="C1653">
        <v>1.3486595750000001</v>
      </c>
      <c r="D1653">
        <v>0.28228033699999999</v>
      </c>
      <c r="E1653">
        <v>0.67037687700000004</v>
      </c>
      <c r="F1653">
        <v>0.55719845199999996</v>
      </c>
      <c r="G1653">
        <v>0.84666534599999999</v>
      </c>
      <c r="H1653">
        <v>3.12</v>
      </c>
      <c r="I1653">
        <v>3.2613845406330699</v>
      </c>
      <c r="J1653">
        <v>3.4680155009871898</v>
      </c>
      <c r="K1653">
        <v>3.3825359194195701</v>
      </c>
      <c r="L1653">
        <v>3.4149547967304801</v>
      </c>
      <c r="M1653">
        <v>3.3647000208101301</v>
      </c>
      <c r="N1653">
        <v>3.3631134595186398</v>
      </c>
      <c r="Q1653">
        <f t="shared" si="125"/>
        <v>3.12</v>
      </c>
      <c r="R1653">
        <f t="shared" si="127"/>
        <v>3.5497426008422641</v>
      </c>
      <c r="S1653">
        <f t="shared" si="128"/>
        <v>-0.42974260084226401</v>
      </c>
      <c r="T1653">
        <f t="shared" si="129"/>
        <v>0.18467870297867345</v>
      </c>
    </row>
    <row r="1654" spans="1:20" hidden="1" x14ac:dyDescent="0.25">
      <c r="A1654" t="str">
        <f t="shared" si="126"/>
        <v>RIP</v>
      </c>
      <c r="B1654" t="s">
        <v>1660</v>
      </c>
      <c r="C1654">
        <v>1.3507618610000001</v>
      </c>
      <c r="D1654">
        <v>0.29068141800000002</v>
      </c>
      <c r="E1654">
        <v>0.665067081</v>
      </c>
      <c r="F1654">
        <v>0.53359587200000003</v>
      </c>
      <c r="G1654">
        <v>0.842545251</v>
      </c>
      <c r="H1654">
        <v>3.3</v>
      </c>
      <c r="I1654">
        <v>3.2713180589993902</v>
      </c>
      <c r="J1654">
        <v>3.4773034548239998</v>
      </c>
      <c r="K1654">
        <v>3.2714872530220198</v>
      </c>
      <c r="L1654">
        <v>3.3310918563824199</v>
      </c>
      <c r="M1654">
        <v>3.3743107569116999</v>
      </c>
      <c r="N1654">
        <v>3.3727385888009098</v>
      </c>
      <c r="Q1654">
        <f t="shared" si="125"/>
        <v>3.3</v>
      </c>
      <c r="R1654">
        <f t="shared" si="127"/>
        <v>3.5521242589225599</v>
      </c>
      <c r="S1654">
        <f t="shared" si="128"/>
        <v>-0.25212425892256007</v>
      </c>
      <c r="T1654">
        <f t="shared" si="129"/>
        <v>6.3566641937250118E-2</v>
      </c>
    </row>
    <row r="1655" spans="1:20" hidden="1" x14ac:dyDescent="0.25">
      <c r="A1655" t="str">
        <f t="shared" si="126"/>
        <v>RIP</v>
      </c>
      <c r="B1655" t="s">
        <v>1661</v>
      </c>
      <c r="C1655">
        <v>1.248866343</v>
      </c>
      <c r="D1655">
        <v>0.26106847599999999</v>
      </c>
      <c r="E1655">
        <v>0.65723988099999997</v>
      </c>
      <c r="F1655">
        <v>0.53629548400000004</v>
      </c>
      <c r="G1655">
        <v>0.82147968900000001</v>
      </c>
      <c r="H1655">
        <v>3.85</v>
      </c>
      <c r="I1655">
        <v>3.0972657758396398</v>
      </c>
      <c r="J1655">
        <v>3.0999575024134698</v>
      </c>
      <c r="K1655">
        <v>3.5269542305289798</v>
      </c>
      <c r="L1655">
        <v>3.57984895996541</v>
      </c>
      <c r="M1655">
        <v>3.0986116391265499</v>
      </c>
      <c r="N1655">
        <v>3.0986113468427399</v>
      </c>
      <c r="Q1655">
        <f t="shared" si="125"/>
        <v>3.85</v>
      </c>
      <c r="R1655">
        <f t="shared" si="127"/>
        <v>3.1611856495246013</v>
      </c>
      <c r="S1655">
        <f t="shared" si="128"/>
        <v>0.68881435047539874</v>
      </c>
      <c r="T1655">
        <f t="shared" si="129"/>
        <v>0.47446520942084547</v>
      </c>
    </row>
    <row r="1656" spans="1:20" hidden="1" x14ac:dyDescent="0.25">
      <c r="A1656" t="str">
        <f t="shared" si="126"/>
        <v>RIP</v>
      </c>
      <c r="B1656" t="s">
        <v>1662</v>
      </c>
      <c r="C1656">
        <v>1.27625433</v>
      </c>
      <c r="D1656">
        <v>0.26595542900000002</v>
      </c>
      <c r="E1656">
        <v>0.66230872699999999</v>
      </c>
      <c r="F1656">
        <v>0.51813470399999995</v>
      </c>
      <c r="G1656">
        <v>0.83015016799999997</v>
      </c>
      <c r="H1656">
        <v>3.89</v>
      </c>
      <c r="I1656">
        <v>3.0010187688652801</v>
      </c>
      <c r="J1656">
        <v>3.1070905971262102</v>
      </c>
      <c r="K1656">
        <v>3.3607851870018699</v>
      </c>
      <c r="L1656">
        <v>3.4057432710227902</v>
      </c>
      <c r="M1656">
        <v>3.05405468299575</v>
      </c>
      <c r="N1656">
        <v>3.0535941443716101</v>
      </c>
      <c r="Q1656">
        <f t="shared" si="125"/>
        <v>3.89</v>
      </c>
      <c r="R1656">
        <f t="shared" si="127"/>
        <v>3.1590038472216628</v>
      </c>
      <c r="S1656">
        <f t="shared" si="128"/>
        <v>0.73099615277833729</v>
      </c>
      <c r="T1656">
        <f t="shared" si="129"/>
        <v>0.53435537537673028</v>
      </c>
    </row>
    <row r="1657" spans="1:20" hidden="1" x14ac:dyDescent="0.25">
      <c r="A1657" t="str">
        <f t="shared" si="126"/>
        <v>RIP</v>
      </c>
      <c r="B1657" t="s">
        <v>1663</v>
      </c>
      <c r="C1657">
        <v>1.4048465489999999</v>
      </c>
      <c r="D1657">
        <v>0.255450171</v>
      </c>
      <c r="E1657">
        <v>0.63295826399999999</v>
      </c>
      <c r="F1657">
        <v>0.51470105899999996</v>
      </c>
      <c r="G1657">
        <v>0.79467124</v>
      </c>
      <c r="H1657">
        <v>2.54</v>
      </c>
      <c r="I1657">
        <v>2.6789832023493898</v>
      </c>
      <c r="J1657">
        <v>2.66569998744587</v>
      </c>
      <c r="K1657">
        <v>3.1146982017951501</v>
      </c>
      <c r="L1657">
        <v>3.2029214428537198</v>
      </c>
      <c r="M1657">
        <v>2.6723415948976301</v>
      </c>
      <c r="N1657">
        <v>2.6723333416455501</v>
      </c>
      <c r="Q1657">
        <f t="shared" si="125"/>
        <v>2.54</v>
      </c>
      <c r="R1657">
        <f t="shared" si="127"/>
        <v>2.66816045542053</v>
      </c>
      <c r="S1657">
        <f t="shared" si="128"/>
        <v>-0.12816045542053001</v>
      </c>
      <c r="T1657">
        <f t="shared" si="129"/>
        <v>1.642510233359766E-2</v>
      </c>
    </row>
    <row r="1658" spans="1:20" hidden="1" x14ac:dyDescent="0.25">
      <c r="A1658" t="str">
        <f t="shared" si="126"/>
        <v>RIP</v>
      </c>
      <c r="B1658" t="s">
        <v>1664</v>
      </c>
      <c r="C1658">
        <v>1.391387473</v>
      </c>
      <c r="D1658">
        <v>0.26286373000000002</v>
      </c>
      <c r="E1658">
        <v>0.64778984500000003</v>
      </c>
      <c r="F1658">
        <v>0.52925840000000002</v>
      </c>
      <c r="G1658">
        <v>0.80789553199999997</v>
      </c>
      <c r="H1658">
        <v>2.98</v>
      </c>
      <c r="I1658">
        <v>2.8810118459697001</v>
      </c>
      <c r="J1658">
        <v>2.9176165811655501</v>
      </c>
      <c r="K1658">
        <v>3.1279891627010099</v>
      </c>
      <c r="L1658">
        <v>3.1736655385295398</v>
      </c>
      <c r="M1658">
        <v>2.8993142135676302</v>
      </c>
      <c r="N1658">
        <v>2.89925644473468</v>
      </c>
      <c r="Q1658">
        <f t="shared" si="125"/>
        <v>2.98</v>
      </c>
      <c r="R1658">
        <f t="shared" si="127"/>
        <v>2.9452480703555977</v>
      </c>
      <c r="S1658">
        <f t="shared" si="128"/>
        <v>3.4751929644402324E-2</v>
      </c>
      <c r="T1658">
        <f t="shared" si="129"/>
        <v>1.2076966140094889E-3</v>
      </c>
    </row>
    <row r="1659" spans="1:20" hidden="1" x14ac:dyDescent="0.25">
      <c r="A1659" t="str">
        <f t="shared" si="126"/>
        <v>RIP</v>
      </c>
      <c r="B1659" t="s">
        <v>1665</v>
      </c>
      <c r="C1659">
        <v>1.6088158990000001</v>
      </c>
      <c r="D1659">
        <v>0.26576024399999998</v>
      </c>
      <c r="E1659">
        <v>0.65159406600000003</v>
      </c>
      <c r="F1659">
        <v>0.55094185799999995</v>
      </c>
      <c r="G1659">
        <v>0.81807351399999995</v>
      </c>
      <c r="H1659">
        <v>3.16</v>
      </c>
      <c r="I1659">
        <v>2.6292764435731</v>
      </c>
      <c r="J1659">
        <v>2.8428229785408599</v>
      </c>
      <c r="K1659">
        <v>2.7698803106744498</v>
      </c>
      <c r="L1659">
        <v>2.79843224870806</v>
      </c>
      <c r="M1659">
        <v>2.7360497110569799</v>
      </c>
      <c r="N1659">
        <v>2.73396552478735</v>
      </c>
      <c r="Q1659">
        <f t="shared" si="125"/>
        <v>3.16</v>
      </c>
      <c r="R1659">
        <f t="shared" si="127"/>
        <v>2.8418830305196208</v>
      </c>
      <c r="S1659">
        <f t="shared" si="128"/>
        <v>0.31811696948037937</v>
      </c>
      <c r="T1659">
        <f t="shared" si="129"/>
        <v>0.10119840627138062</v>
      </c>
    </row>
    <row r="1660" spans="1:20" hidden="1" x14ac:dyDescent="0.25">
      <c r="A1660" t="str">
        <f t="shared" si="126"/>
        <v>RIP</v>
      </c>
      <c r="B1660" t="s">
        <v>1666</v>
      </c>
      <c r="C1660">
        <v>1.3477447680000001</v>
      </c>
      <c r="D1660">
        <v>0.28397813900000002</v>
      </c>
      <c r="E1660">
        <v>0.68472336199999995</v>
      </c>
      <c r="F1660">
        <v>0.58843665000000001</v>
      </c>
      <c r="G1660">
        <v>0.84831521600000004</v>
      </c>
      <c r="H1660">
        <v>3.65</v>
      </c>
      <c r="I1660">
        <v>3.47564173658763</v>
      </c>
      <c r="J1660">
        <v>3.6793600498858599</v>
      </c>
      <c r="K1660">
        <v>3.34855506144183</v>
      </c>
      <c r="L1660">
        <v>3.3604017632127001</v>
      </c>
      <c r="M1660">
        <v>3.57750089323675</v>
      </c>
      <c r="N1660">
        <v>3.5760505244356402</v>
      </c>
      <c r="Q1660">
        <f t="shared" si="125"/>
        <v>3.65</v>
      </c>
      <c r="R1660">
        <f t="shared" si="127"/>
        <v>3.7846300023120234</v>
      </c>
      <c r="S1660">
        <f t="shared" si="128"/>
        <v>-0.13463000231202349</v>
      </c>
      <c r="T1660">
        <f t="shared" si="129"/>
        <v>1.8125237522535451E-2</v>
      </c>
    </row>
    <row r="1661" spans="1:20" hidden="1" x14ac:dyDescent="0.25">
      <c r="A1661" t="str">
        <f t="shared" si="126"/>
        <v>RIP</v>
      </c>
      <c r="B1661" t="s">
        <v>1667</v>
      </c>
      <c r="C1661">
        <v>1.253580674</v>
      </c>
      <c r="D1661">
        <v>0.27496048499999998</v>
      </c>
      <c r="E1661">
        <v>0.67440832399999995</v>
      </c>
      <c r="F1661">
        <v>0.54641611099999998</v>
      </c>
      <c r="G1661">
        <v>0.83763515099999997</v>
      </c>
      <c r="H1661">
        <v>3.85</v>
      </c>
      <c r="I1661">
        <v>3.3181513645831702</v>
      </c>
      <c r="J1661">
        <v>3.43115530574745</v>
      </c>
      <c r="K1661">
        <v>3.66808115396229</v>
      </c>
      <c r="L1661">
        <v>3.7546309820146999</v>
      </c>
      <c r="M1661">
        <v>3.3746533351653101</v>
      </c>
      <c r="N1661">
        <v>3.37418029451046</v>
      </c>
      <c r="Q1661">
        <f t="shared" si="125"/>
        <v>3.85</v>
      </c>
      <c r="R1661">
        <f t="shared" si="127"/>
        <v>3.5187309085882292</v>
      </c>
      <c r="S1661">
        <f t="shared" si="128"/>
        <v>0.33126909141177086</v>
      </c>
      <c r="T1661">
        <f t="shared" si="129"/>
        <v>0.1097392109247802</v>
      </c>
    </row>
    <row r="1662" spans="1:20" hidden="1" x14ac:dyDescent="0.25">
      <c r="A1662" t="str">
        <f t="shared" si="126"/>
        <v>RIP</v>
      </c>
      <c r="B1662" t="s">
        <v>1668</v>
      </c>
      <c r="C1662">
        <v>1.443990672</v>
      </c>
      <c r="D1662">
        <v>0.26985473799999998</v>
      </c>
      <c r="E1662">
        <v>0.65236742700000006</v>
      </c>
      <c r="F1662">
        <v>0.57830385100000004</v>
      </c>
      <c r="G1662">
        <v>0.82386607199999995</v>
      </c>
      <c r="H1662">
        <v>3.13</v>
      </c>
      <c r="I1662">
        <v>3.1041722151640601</v>
      </c>
      <c r="J1662">
        <v>3.17540875640635</v>
      </c>
      <c r="K1662">
        <v>3.2380038991704101</v>
      </c>
      <c r="L1662">
        <v>3.2439607753678898</v>
      </c>
      <c r="M1662">
        <v>3.1397904857852099</v>
      </c>
      <c r="N1662">
        <v>3.1395884496897501</v>
      </c>
      <c r="Q1662">
        <f t="shared" si="125"/>
        <v>3.13</v>
      </c>
      <c r="R1662">
        <f t="shared" si="127"/>
        <v>3.2320501665418373</v>
      </c>
      <c r="S1662">
        <f t="shared" si="128"/>
        <v>-0.10205016654183741</v>
      </c>
      <c r="T1662">
        <f t="shared" si="129"/>
        <v>1.041423649121675E-2</v>
      </c>
    </row>
    <row r="1663" spans="1:20" hidden="1" x14ac:dyDescent="0.25">
      <c r="A1663" t="str">
        <f t="shared" si="126"/>
        <v>RIP</v>
      </c>
      <c r="B1663" t="s">
        <v>1669</v>
      </c>
      <c r="C1663">
        <v>1.4649265979999999</v>
      </c>
      <c r="D1663">
        <v>0.270890878</v>
      </c>
      <c r="E1663">
        <v>0.660611587</v>
      </c>
      <c r="F1663">
        <v>0.553081606</v>
      </c>
      <c r="G1663">
        <v>0.82437052099999997</v>
      </c>
      <c r="H1663">
        <v>3.32</v>
      </c>
      <c r="I1663">
        <v>2.96054738079641</v>
      </c>
      <c r="J1663">
        <v>3.1162970779330599</v>
      </c>
      <c r="K1663">
        <v>3.2507765407762599</v>
      </c>
      <c r="L1663">
        <v>3.319650918832</v>
      </c>
      <c r="M1663">
        <v>3.0384222293647398</v>
      </c>
      <c r="N1663">
        <v>3.0374240981229899</v>
      </c>
      <c r="Q1663">
        <f t="shared" si="125"/>
        <v>3.32</v>
      </c>
      <c r="R1663">
        <f t="shared" si="127"/>
        <v>3.1555750912898053</v>
      </c>
      <c r="S1663">
        <f t="shared" si="128"/>
        <v>0.16442490871019455</v>
      </c>
      <c r="T1663">
        <f t="shared" si="129"/>
        <v>2.703555060435581E-2</v>
      </c>
    </row>
    <row r="1664" spans="1:20" hidden="1" x14ac:dyDescent="0.25">
      <c r="A1664" t="str">
        <f t="shared" si="126"/>
        <v>RIP</v>
      </c>
      <c r="B1664" t="s">
        <v>1670</v>
      </c>
      <c r="C1664">
        <v>1.4433560540000001</v>
      </c>
      <c r="D1664">
        <v>0.26676249299999999</v>
      </c>
      <c r="E1664">
        <v>0.63627178799999995</v>
      </c>
      <c r="F1664">
        <v>0.55456001899999996</v>
      </c>
      <c r="G1664">
        <v>0.80912003799999999</v>
      </c>
      <c r="H1664">
        <v>3.7</v>
      </c>
      <c r="I1664">
        <v>2.9672333448022901</v>
      </c>
      <c r="J1664">
        <v>2.96678815675237</v>
      </c>
      <c r="K1664">
        <v>3.20977847962333</v>
      </c>
      <c r="L1664">
        <v>3.2248768363359099</v>
      </c>
      <c r="M1664">
        <v>2.9670107507773298</v>
      </c>
      <c r="N1664">
        <v>2.9670107424274899</v>
      </c>
      <c r="Q1664">
        <f t="shared" si="125"/>
        <v>3.7</v>
      </c>
      <c r="R1664">
        <f t="shared" si="127"/>
        <v>3.0024868339292858</v>
      </c>
      <c r="S1664">
        <f t="shared" si="128"/>
        <v>0.69751316607071434</v>
      </c>
      <c r="T1664">
        <f t="shared" si="129"/>
        <v>0.48652461684199194</v>
      </c>
    </row>
    <row r="1665" spans="1:20" hidden="1" x14ac:dyDescent="0.25">
      <c r="A1665" t="str">
        <f t="shared" si="126"/>
        <v>RIP</v>
      </c>
      <c r="B1665" t="s">
        <v>1671</v>
      </c>
      <c r="C1665">
        <v>1.5290131659999999</v>
      </c>
      <c r="D1665">
        <v>0.27253576000000002</v>
      </c>
      <c r="E1665">
        <v>0.64579910100000004</v>
      </c>
      <c r="F1665">
        <v>0.56067146300000004</v>
      </c>
      <c r="G1665">
        <v>0.81953897099999995</v>
      </c>
      <c r="H1665">
        <v>3.31</v>
      </c>
      <c r="I1665">
        <v>2.9079705735957599</v>
      </c>
      <c r="J1665">
        <v>3.0358972948596401</v>
      </c>
      <c r="K1665">
        <v>3.1103195084087099</v>
      </c>
      <c r="L1665">
        <v>3.1382049034621202</v>
      </c>
      <c r="M1665">
        <v>2.9719339342277</v>
      </c>
      <c r="N1665">
        <v>2.971245529725</v>
      </c>
      <c r="Q1665">
        <f t="shared" ref="Q1665:Q1728" si="130">H1665</f>
        <v>3.31</v>
      </c>
      <c r="R1665">
        <f t="shared" si="127"/>
        <v>3.0659156924368425</v>
      </c>
      <c r="S1665">
        <f t="shared" si="128"/>
        <v>0.24408430756315758</v>
      </c>
      <c r="T1665">
        <f t="shared" si="129"/>
        <v>5.9577149198586102E-2</v>
      </c>
    </row>
    <row r="1666" spans="1:20" hidden="1" x14ac:dyDescent="0.25">
      <c r="A1666" t="str">
        <f t="shared" si="126"/>
        <v>RIP</v>
      </c>
      <c r="B1666" t="s">
        <v>1672</v>
      </c>
      <c r="C1666">
        <v>1.4300075889999999</v>
      </c>
      <c r="D1666">
        <v>0.261117396</v>
      </c>
      <c r="E1666">
        <v>0.64382465799999999</v>
      </c>
      <c r="F1666">
        <v>0.54393633900000005</v>
      </c>
      <c r="G1666">
        <v>0.80361050700000003</v>
      </c>
      <c r="H1666">
        <v>3.72</v>
      </c>
      <c r="I1666">
        <v>2.8799687027403502</v>
      </c>
      <c r="J1666">
        <v>2.8872705368944902</v>
      </c>
      <c r="K1666">
        <v>3.1764861714649602</v>
      </c>
      <c r="L1666">
        <v>3.20784391516586</v>
      </c>
      <c r="M1666">
        <v>2.88361961981742</v>
      </c>
      <c r="N1666">
        <v>2.8836173086247801</v>
      </c>
      <c r="Q1666">
        <f t="shared" si="130"/>
        <v>3.72</v>
      </c>
      <c r="R1666">
        <f t="shared" si="127"/>
        <v>2.9125437816906361</v>
      </c>
      <c r="S1666">
        <f t="shared" si="128"/>
        <v>0.80745621830936409</v>
      </c>
      <c r="T1666">
        <f t="shared" si="129"/>
        <v>0.6519855444864594</v>
      </c>
    </row>
    <row r="1667" spans="1:20" hidden="1" x14ac:dyDescent="0.25">
      <c r="A1667" t="str">
        <f t="shared" ref="A1667:A1730" si="131">LEFT(B1667,3)</f>
        <v>RIP</v>
      </c>
      <c r="B1667" t="s">
        <v>1673</v>
      </c>
      <c r="C1667">
        <v>1.1824477360000001</v>
      </c>
      <c r="D1667">
        <v>0.27468957700000002</v>
      </c>
      <c r="E1667">
        <v>0.66679127999999999</v>
      </c>
      <c r="F1667">
        <v>0.58862358599999998</v>
      </c>
      <c r="G1667">
        <v>0.83628124400000003</v>
      </c>
      <c r="H1667">
        <v>3.25</v>
      </c>
      <c r="I1667">
        <v>3.6465494887816199</v>
      </c>
      <c r="J1667">
        <v>3.6170247655976202</v>
      </c>
      <c r="K1667">
        <v>3.6881017952950801</v>
      </c>
      <c r="L1667">
        <v>3.7344653659117402</v>
      </c>
      <c r="M1667">
        <v>3.6317871271896198</v>
      </c>
      <c r="N1667">
        <v>3.6317571242995399</v>
      </c>
      <c r="Q1667">
        <f t="shared" si="130"/>
        <v>3.25</v>
      </c>
      <c r="R1667">
        <f t="shared" ref="R1667:R1730" si="132">$X$2*F1667+$X$3*D1667*E1667+($X$4/(D1667-$X$5))-$X$6*C1667</f>
        <v>3.7441956453217258</v>
      </c>
      <c r="S1667">
        <f t="shared" ref="S1667:S1730" si="133">Q1667-R1667</f>
        <v>-0.49419564532172577</v>
      </c>
      <c r="T1667">
        <f t="shared" ref="T1667:T1730" si="134">S1667^2</f>
        <v>0.24422933585495699</v>
      </c>
    </row>
    <row r="1668" spans="1:20" hidden="1" x14ac:dyDescent="0.25">
      <c r="A1668" t="str">
        <f t="shared" si="131"/>
        <v>RIP</v>
      </c>
      <c r="B1668" t="s">
        <v>1674</v>
      </c>
      <c r="C1668">
        <v>1.1830273689999999</v>
      </c>
      <c r="D1668">
        <v>0.27430116100000002</v>
      </c>
      <c r="E1668">
        <v>0.66277033500000004</v>
      </c>
      <c r="F1668">
        <v>0.56258289399999994</v>
      </c>
      <c r="G1668">
        <v>0.83256248899999996</v>
      </c>
      <c r="H1668">
        <v>3.28</v>
      </c>
      <c r="I1668">
        <v>3.5166768602761098</v>
      </c>
      <c r="J1668">
        <v>3.4958125355002601</v>
      </c>
      <c r="K1668">
        <v>3.67744908676445</v>
      </c>
      <c r="L1668">
        <v>3.7225444067729199</v>
      </c>
      <c r="M1668">
        <v>3.5062446978881798</v>
      </c>
      <c r="N1668">
        <v>3.5062291783990598</v>
      </c>
      <c r="Q1668">
        <f t="shared" si="130"/>
        <v>3.28</v>
      </c>
      <c r="R1668">
        <f t="shared" si="132"/>
        <v>3.6057796327910125</v>
      </c>
      <c r="S1668">
        <f t="shared" si="133"/>
        <v>-0.32577963279101274</v>
      </c>
      <c r="T1668">
        <f t="shared" si="134"/>
        <v>0.10613236914144711</v>
      </c>
    </row>
    <row r="1669" spans="1:20" hidden="1" x14ac:dyDescent="0.25">
      <c r="A1669" t="str">
        <f t="shared" si="131"/>
        <v>RIP</v>
      </c>
      <c r="B1669" t="s">
        <v>1675</v>
      </c>
      <c r="C1669">
        <v>1.285394272</v>
      </c>
      <c r="D1669">
        <v>0.28056551299999999</v>
      </c>
      <c r="E1669">
        <v>0.66722725500000002</v>
      </c>
      <c r="F1669">
        <v>0.54477017999999999</v>
      </c>
      <c r="G1669">
        <v>0.83404402799999999</v>
      </c>
      <c r="H1669">
        <v>3.98</v>
      </c>
      <c r="I1669">
        <v>3.3461569687645101</v>
      </c>
      <c r="J1669">
        <v>3.4445423732998601</v>
      </c>
      <c r="K1669">
        <v>3.4175212443341199</v>
      </c>
      <c r="L1669">
        <v>3.4506874577579301</v>
      </c>
      <c r="M1669">
        <v>3.39534967103218</v>
      </c>
      <c r="N1669">
        <v>3.3949932940466798</v>
      </c>
      <c r="Q1669">
        <f t="shared" si="130"/>
        <v>3.98</v>
      </c>
      <c r="R1669">
        <f t="shared" si="132"/>
        <v>3.5297453051976184</v>
      </c>
      <c r="S1669">
        <f t="shared" si="133"/>
        <v>0.45025469480238156</v>
      </c>
      <c r="T1669">
        <f t="shared" si="134"/>
        <v>0.20272929019158575</v>
      </c>
    </row>
    <row r="1670" spans="1:20" hidden="1" x14ac:dyDescent="0.25">
      <c r="A1670" t="str">
        <f t="shared" si="131"/>
        <v>RIP</v>
      </c>
      <c r="B1670" t="s">
        <v>1676</v>
      </c>
      <c r="C1670">
        <v>1.219557972</v>
      </c>
      <c r="D1670">
        <v>0.26543615700000001</v>
      </c>
      <c r="E1670">
        <v>0.64684501000000005</v>
      </c>
      <c r="F1670">
        <v>0.52019104500000002</v>
      </c>
      <c r="G1670">
        <v>0.81767364099999995</v>
      </c>
      <c r="H1670">
        <v>3.48</v>
      </c>
      <c r="I1670">
        <v>3.1275820121395999</v>
      </c>
      <c r="J1670">
        <v>3.09232097443298</v>
      </c>
      <c r="K1670">
        <v>3.52817495633506</v>
      </c>
      <c r="L1670">
        <v>3.58313699324537</v>
      </c>
      <c r="M1670">
        <v>3.1099514932862902</v>
      </c>
      <c r="N1670">
        <v>3.1099015186012799</v>
      </c>
      <c r="Q1670">
        <f t="shared" si="130"/>
        <v>3.48</v>
      </c>
      <c r="R1670">
        <f t="shared" si="132"/>
        <v>3.1545780535164285</v>
      </c>
      <c r="S1670">
        <f t="shared" si="133"/>
        <v>0.32542194648357148</v>
      </c>
      <c r="T1670">
        <f t="shared" si="134"/>
        <v>0.10589944325315646</v>
      </c>
    </row>
    <row r="1671" spans="1:20" hidden="1" x14ac:dyDescent="0.25">
      <c r="A1671" t="str">
        <f t="shared" si="131"/>
        <v>RIP</v>
      </c>
      <c r="B1671" t="s">
        <v>1677</v>
      </c>
      <c r="C1671">
        <v>1.137212543</v>
      </c>
      <c r="D1671">
        <v>0.25482623500000001</v>
      </c>
      <c r="E1671">
        <v>0.62879985400000005</v>
      </c>
      <c r="F1671">
        <v>0.533056376</v>
      </c>
      <c r="G1671">
        <v>0.79718693500000004</v>
      </c>
      <c r="H1671">
        <v>2.83</v>
      </c>
      <c r="I1671">
        <v>3.23196628102176</v>
      </c>
      <c r="J1671">
        <v>2.9723449066489001</v>
      </c>
      <c r="K1671">
        <v>3.6344165785179201</v>
      </c>
      <c r="L1671">
        <v>3.6934391302045202</v>
      </c>
      <c r="M1671">
        <v>3.10215559383533</v>
      </c>
      <c r="N1671">
        <v>3.0994384191101498</v>
      </c>
      <c r="Q1671">
        <f t="shared" si="130"/>
        <v>2.83</v>
      </c>
      <c r="R1671">
        <f t="shared" si="132"/>
        <v>3.0416890720406009</v>
      </c>
      <c r="S1671">
        <f t="shared" si="133"/>
        <v>-0.21168907204060083</v>
      </c>
      <c r="T1671">
        <f t="shared" si="134"/>
        <v>4.4812263221410686E-2</v>
      </c>
    </row>
    <row r="1672" spans="1:20" hidden="1" x14ac:dyDescent="0.25">
      <c r="A1672" t="str">
        <f t="shared" si="131"/>
        <v>RIP</v>
      </c>
      <c r="B1672" t="s">
        <v>1678</v>
      </c>
      <c r="C1672">
        <v>1.152997842</v>
      </c>
      <c r="D1672">
        <v>0.26282904400000001</v>
      </c>
      <c r="E1672">
        <v>0.67662298099999996</v>
      </c>
      <c r="F1672">
        <v>0.52034831000000004</v>
      </c>
      <c r="G1672">
        <v>0.84239584099999998</v>
      </c>
      <c r="H1672">
        <v>3.64</v>
      </c>
      <c r="I1672">
        <v>3.1435004740383801</v>
      </c>
      <c r="J1672">
        <v>3.2533953529781501</v>
      </c>
      <c r="K1672">
        <v>3.56983557848358</v>
      </c>
      <c r="L1672">
        <v>3.6225885086934602</v>
      </c>
      <c r="M1672">
        <v>3.1984479135082702</v>
      </c>
      <c r="N1672">
        <v>3.1979758964571801</v>
      </c>
      <c r="Q1672">
        <f t="shared" si="130"/>
        <v>3.64</v>
      </c>
      <c r="R1672">
        <f t="shared" si="132"/>
        <v>3.3307762258752462</v>
      </c>
      <c r="S1672">
        <f t="shared" si="133"/>
        <v>0.30922377412475388</v>
      </c>
      <c r="T1672">
        <f t="shared" si="134"/>
        <v>9.5619342483956801E-2</v>
      </c>
    </row>
    <row r="1673" spans="1:20" hidden="1" x14ac:dyDescent="0.25">
      <c r="A1673" t="str">
        <f t="shared" si="131"/>
        <v>RIP</v>
      </c>
      <c r="B1673" t="s">
        <v>1679</v>
      </c>
      <c r="C1673">
        <v>1.093876772</v>
      </c>
      <c r="D1673">
        <v>0.25763744599999999</v>
      </c>
      <c r="E1673">
        <v>0.66599117100000005</v>
      </c>
      <c r="F1673">
        <v>0.56503750600000002</v>
      </c>
      <c r="G1673">
        <v>0.830075012</v>
      </c>
      <c r="H1673">
        <v>3.38</v>
      </c>
      <c r="I1673">
        <v>3.4266826616145201</v>
      </c>
      <c r="J1673">
        <v>3.3435070156676399</v>
      </c>
      <c r="K1673">
        <v>3.7555354987563399</v>
      </c>
      <c r="L1673">
        <v>3.8257221594298398</v>
      </c>
      <c r="M1673">
        <v>3.3850948386410802</v>
      </c>
      <c r="N1673">
        <v>3.3848393639248</v>
      </c>
      <c r="Q1673">
        <f t="shared" si="130"/>
        <v>3.38</v>
      </c>
      <c r="R1673">
        <f t="shared" si="132"/>
        <v>3.4516049425621937</v>
      </c>
      <c r="S1673">
        <f t="shared" si="133"/>
        <v>-7.1604942562193852E-2</v>
      </c>
      <c r="T1673">
        <f t="shared" si="134"/>
        <v>5.1272677993350804E-3</v>
      </c>
    </row>
    <row r="1674" spans="1:20" hidden="1" x14ac:dyDescent="0.25">
      <c r="A1674" t="str">
        <f t="shared" si="131"/>
        <v>RIP</v>
      </c>
      <c r="B1674" t="s">
        <v>1680</v>
      </c>
      <c r="C1674">
        <v>0.950069889</v>
      </c>
      <c r="D1674">
        <v>0.26941773200000002</v>
      </c>
      <c r="E1674">
        <v>0.66968438699999999</v>
      </c>
      <c r="F1674">
        <v>0.53086096199999999</v>
      </c>
      <c r="G1674">
        <v>0.84055249600000004</v>
      </c>
      <c r="H1674">
        <v>3.55</v>
      </c>
      <c r="I1674">
        <v>3.6333935256270999</v>
      </c>
      <c r="J1674">
        <v>3.5687837114219501</v>
      </c>
      <c r="K1674">
        <v>4.2372546453213502</v>
      </c>
      <c r="L1674">
        <v>4.3258114673613903</v>
      </c>
      <c r="M1674">
        <v>3.6010886185245301</v>
      </c>
      <c r="N1674">
        <v>3.6009437140066498</v>
      </c>
      <c r="Q1674">
        <f t="shared" si="130"/>
        <v>3.55</v>
      </c>
      <c r="R1674">
        <f t="shared" si="132"/>
        <v>3.7039952085906318</v>
      </c>
      <c r="S1674">
        <f t="shared" si="133"/>
        <v>-0.15399520859063198</v>
      </c>
      <c r="T1674">
        <f t="shared" si="134"/>
        <v>2.3714524268872255E-2</v>
      </c>
    </row>
    <row r="1675" spans="1:20" hidden="1" x14ac:dyDescent="0.25">
      <c r="A1675" t="str">
        <f t="shared" si="131"/>
        <v>RIP</v>
      </c>
      <c r="B1675" t="s">
        <v>1681</v>
      </c>
      <c r="C1675">
        <v>0.95578440799999997</v>
      </c>
      <c r="D1675">
        <v>0.26051694800000003</v>
      </c>
      <c r="E1675">
        <v>0.66270549300000003</v>
      </c>
      <c r="F1675">
        <v>0.53582188500000005</v>
      </c>
      <c r="G1675">
        <v>0.82648606800000002</v>
      </c>
      <c r="H1675">
        <v>3.7</v>
      </c>
      <c r="I1675">
        <v>3.5711120633785498</v>
      </c>
      <c r="J1675">
        <v>3.4069347062175601</v>
      </c>
      <c r="K1675">
        <v>4.0186617722675999</v>
      </c>
      <c r="L1675">
        <v>4.1384514736155404</v>
      </c>
      <c r="M1675">
        <v>3.4890233847980499</v>
      </c>
      <c r="N1675">
        <v>3.48805757242001</v>
      </c>
      <c r="Q1675">
        <f t="shared" si="130"/>
        <v>3.7</v>
      </c>
      <c r="R1675">
        <f t="shared" si="132"/>
        <v>3.5305289034519194</v>
      </c>
      <c r="S1675">
        <f t="shared" si="133"/>
        <v>0.16947109654808079</v>
      </c>
      <c r="T1675">
        <f t="shared" si="134"/>
        <v>2.8720452565208922E-2</v>
      </c>
    </row>
    <row r="1676" spans="1:20" hidden="1" x14ac:dyDescent="0.25">
      <c r="A1676" t="str">
        <f t="shared" si="131"/>
        <v>RIP</v>
      </c>
      <c r="B1676" t="s">
        <v>1682</v>
      </c>
      <c r="C1676">
        <v>1.135768737</v>
      </c>
      <c r="D1676">
        <v>0.26730817699999998</v>
      </c>
      <c r="E1676">
        <v>0.66755998000000005</v>
      </c>
      <c r="F1676">
        <v>0.54489152799999996</v>
      </c>
      <c r="G1676">
        <v>0.83430878799999997</v>
      </c>
      <c r="H1676">
        <v>3.74</v>
      </c>
      <c r="I1676">
        <v>3.3912652103848702</v>
      </c>
      <c r="J1676">
        <v>3.3914404481261</v>
      </c>
      <c r="K1676">
        <v>3.6304918437050002</v>
      </c>
      <c r="L1676">
        <v>3.6961475152915102</v>
      </c>
      <c r="M1676">
        <v>3.39135282925549</v>
      </c>
      <c r="N1676">
        <v>3.39135282812363</v>
      </c>
      <c r="Q1676">
        <f t="shared" si="130"/>
        <v>3.74</v>
      </c>
      <c r="R1676">
        <f t="shared" si="132"/>
        <v>3.4924397541204488</v>
      </c>
      <c r="S1676">
        <f t="shared" si="133"/>
        <v>0.24756024587955139</v>
      </c>
      <c r="T1676">
        <f t="shared" si="134"/>
        <v>6.1286075339943943E-2</v>
      </c>
    </row>
    <row r="1677" spans="1:20" hidden="1" x14ac:dyDescent="0.25">
      <c r="A1677" t="str">
        <f t="shared" si="131"/>
        <v>RIP</v>
      </c>
      <c r="B1677" t="s">
        <v>1683</v>
      </c>
      <c r="C1677">
        <v>1.161015911</v>
      </c>
      <c r="D1677">
        <v>0.27920541500000001</v>
      </c>
      <c r="E1677">
        <v>0.67117589700000002</v>
      </c>
      <c r="F1677">
        <v>0.54146560200000005</v>
      </c>
      <c r="G1677">
        <v>0.84542818200000003</v>
      </c>
      <c r="H1677">
        <v>3.25</v>
      </c>
      <c r="I1677">
        <v>3.4622967008138001</v>
      </c>
      <c r="J1677">
        <v>3.5552517070272498</v>
      </c>
      <c r="K1677">
        <v>3.6711185516357201</v>
      </c>
      <c r="L1677">
        <v>3.7238103898698198</v>
      </c>
      <c r="M1677">
        <v>3.5087742039205199</v>
      </c>
      <c r="N1677">
        <v>3.5084663680592798</v>
      </c>
      <c r="Q1677">
        <f t="shared" si="130"/>
        <v>3.25</v>
      </c>
      <c r="R1677">
        <f t="shared" si="132"/>
        <v>3.6640945953441264</v>
      </c>
      <c r="S1677">
        <f t="shared" si="133"/>
        <v>-0.4140945953441264</v>
      </c>
      <c r="T1677">
        <f t="shared" si="134"/>
        <v>0.17147433389321579</v>
      </c>
    </row>
    <row r="1678" spans="1:20" hidden="1" x14ac:dyDescent="0.25">
      <c r="A1678" t="str">
        <f t="shared" si="131"/>
        <v>RIP</v>
      </c>
      <c r="B1678" t="s">
        <v>1684</v>
      </c>
      <c r="C1678">
        <v>1.1423324429999999</v>
      </c>
      <c r="D1678">
        <v>0.289526848</v>
      </c>
      <c r="E1678">
        <v>0.67632187799999999</v>
      </c>
      <c r="F1678">
        <v>0.55278490000000002</v>
      </c>
      <c r="G1678">
        <v>0.85574084800000005</v>
      </c>
      <c r="H1678">
        <v>3.47</v>
      </c>
      <c r="I1678">
        <v>3.65749258473544</v>
      </c>
      <c r="J1678">
        <v>3.7955451533681899</v>
      </c>
      <c r="K1678">
        <v>3.53874979739606</v>
      </c>
      <c r="L1678">
        <v>3.61075037540407</v>
      </c>
      <c r="M1678">
        <v>3.7265188690518198</v>
      </c>
      <c r="N1678">
        <v>3.7258795275039001</v>
      </c>
      <c r="Q1678">
        <f t="shared" si="130"/>
        <v>3.47</v>
      </c>
      <c r="R1678">
        <f t="shared" si="132"/>
        <v>3.9273811650186961</v>
      </c>
      <c r="S1678">
        <f t="shared" si="133"/>
        <v>-0.45738116501869586</v>
      </c>
      <c r="T1678">
        <f t="shared" si="134"/>
        <v>0.2091975301138595</v>
      </c>
    </row>
    <row r="1679" spans="1:20" hidden="1" x14ac:dyDescent="0.25">
      <c r="A1679" t="str">
        <f t="shared" si="131"/>
        <v>RIP</v>
      </c>
      <c r="B1679" t="s">
        <v>1685</v>
      </c>
      <c r="C1679">
        <v>1.10347332</v>
      </c>
      <c r="D1679">
        <v>0.28398984100000002</v>
      </c>
      <c r="E1679">
        <v>0.67950796400000002</v>
      </c>
      <c r="F1679">
        <v>0.530946959</v>
      </c>
      <c r="G1679">
        <v>0.85659183299999997</v>
      </c>
      <c r="H1679">
        <v>3.63</v>
      </c>
      <c r="I1679">
        <v>3.5321425563718698</v>
      </c>
      <c r="J1679">
        <v>3.68713435255308</v>
      </c>
      <c r="K1679">
        <v>3.70048198176044</v>
      </c>
      <c r="L1679">
        <v>3.7619863500280402</v>
      </c>
      <c r="M1679">
        <v>3.60963845446248</v>
      </c>
      <c r="N1679">
        <v>3.6088064727432201</v>
      </c>
      <c r="Q1679">
        <f t="shared" si="130"/>
        <v>3.63</v>
      </c>
      <c r="R1679">
        <f t="shared" si="132"/>
        <v>3.8085236778993901</v>
      </c>
      <c r="S1679">
        <f t="shared" si="133"/>
        <v>-0.17852367789939017</v>
      </c>
      <c r="T1679">
        <f t="shared" si="134"/>
        <v>3.187070357072521E-2</v>
      </c>
    </row>
    <row r="1680" spans="1:20" hidden="1" x14ac:dyDescent="0.25">
      <c r="A1680" t="str">
        <f t="shared" si="131"/>
        <v>RIP</v>
      </c>
      <c r="B1680" t="s">
        <v>1686</v>
      </c>
      <c r="C1680">
        <v>1.204612346</v>
      </c>
      <c r="D1680">
        <v>0.27012873900000001</v>
      </c>
      <c r="E1680">
        <v>0.679645838</v>
      </c>
      <c r="F1680">
        <v>0.55155453799999998</v>
      </c>
      <c r="G1680">
        <v>0.84677514700000001</v>
      </c>
      <c r="H1680">
        <v>3.14</v>
      </c>
      <c r="I1680">
        <v>3.31037609615545</v>
      </c>
      <c r="J1680">
        <v>3.4478214487769501</v>
      </c>
      <c r="K1680">
        <v>3.4198782940292798</v>
      </c>
      <c r="L1680">
        <v>3.4771574865192401</v>
      </c>
      <c r="M1680">
        <v>3.3790987724661998</v>
      </c>
      <c r="N1680">
        <v>3.3783998738816101</v>
      </c>
      <c r="Q1680">
        <f t="shared" si="130"/>
        <v>3.14</v>
      </c>
      <c r="R1680">
        <f t="shared" si="132"/>
        <v>3.5437587338498204</v>
      </c>
      <c r="S1680">
        <f t="shared" si="133"/>
        <v>-0.40375873384982031</v>
      </c>
      <c r="T1680">
        <f t="shared" si="134"/>
        <v>0.16302111516001003</v>
      </c>
    </row>
    <row r="1681" spans="1:20" hidden="1" x14ac:dyDescent="0.25">
      <c r="A1681" t="str">
        <f t="shared" si="131"/>
        <v>RIP</v>
      </c>
      <c r="B1681" t="s">
        <v>1687</v>
      </c>
      <c r="C1681">
        <v>1.118063515</v>
      </c>
      <c r="D1681">
        <v>0.26841399100000002</v>
      </c>
      <c r="E1681">
        <v>0.67396052200000001</v>
      </c>
      <c r="F1681">
        <v>0.551940019</v>
      </c>
      <c r="G1681">
        <v>0.84555432699999999</v>
      </c>
      <c r="H1681">
        <v>3.19</v>
      </c>
      <c r="I1681">
        <v>3.4226363163755802</v>
      </c>
      <c r="J1681">
        <v>3.4821488894823598</v>
      </c>
      <c r="K1681">
        <v>3.6379982587252901</v>
      </c>
      <c r="L1681">
        <v>3.7109216576318098</v>
      </c>
      <c r="M1681">
        <v>3.45239260292897</v>
      </c>
      <c r="N1681">
        <v>3.4522643653360698</v>
      </c>
      <c r="Q1681">
        <f t="shared" si="130"/>
        <v>3.19</v>
      </c>
      <c r="R1681">
        <f t="shared" si="132"/>
        <v>3.5937084417819491</v>
      </c>
      <c r="S1681">
        <f t="shared" si="133"/>
        <v>-0.4037084417819492</v>
      </c>
      <c r="T1681">
        <f t="shared" si="134"/>
        <v>0.16298050596600946</v>
      </c>
    </row>
    <row r="1682" spans="1:20" hidden="1" x14ac:dyDescent="0.25">
      <c r="A1682" t="str">
        <f t="shared" si="131"/>
        <v>RIP</v>
      </c>
      <c r="B1682" t="s">
        <v>1688</v>
      </c>
      <c r="C1682">
        <v>1.170106984</v>
      </c>
      <c r="D1682">
        <v>0.28294418100000002</v>
      </c>
      <c r="E1682">
        <v>0.69618069299999996</v>
      </c>
      <c r="F1682">
        <v>0.542087702</v>
      </c>
      <c r="G1682">
        <v>0.86226821099999995</v>
      </c>
      <c r="H1682">
        <v>3.37</v>
      </c>
      <c r="I1682">
        <v>3.4661616780280702</v>
      </c>
      <c r="J1682">
        <v>3.7269265778949001</v>
      </c>
      <c r="K1682">
        <v>3.33370729820671</v>
      </c>
      <c r="L1682">
        <v>3.4197029229579701</v>
      </c>
      <c r="M1682">
        <v>3.59654412796149</v>
      </c>
      <c r="N1682">
        <v>3.5941800290363299</v>
      </c>
      <c r="Q1682">
        <f t="shared" si="130"/>
        <v>3.37</v>
      </c>
      <c r="R1682">
        <f t="shared" si="132"/>
        <v>3.8424303588246582</v>
      </c>
      <c r="S1682">
        <f t="shared" si="133"/>
        <v>-0.47243035882465811</v>
      </c>
      <c r="T1682">
        <f t="shared" si="134"/>
        <v>0.22319044393919521</v>
      </c>
    </row>
    <row r="1683" spans="1:20" hidden="1" x14ac:dyDescent="0.25">
      <c r="A1683" t="str">
        <f t="shared" si="131"/>
        <v>RIP</v>
      </c>
      <c r="B1683" t="s">
        <v>1689</v>
      </c>
      <c r="C1683">
        <v>1.1500199900000001</v>
      </c>
      <c r="D1683">
        <v>0.28231513600000002</v>
      </c>
      <c r="E1683">
        <v>0.690910986</v>
      </c>
      <c r="F1683">
        <v>0.58387894500000004</v>
      </c>
      <c r="G1683">
        <v>0.86384231700000003</v>
      </c>
      <c r="H1683">
        <v>3.72</v>
      </c>
      <c r="I1683">
        <v>3.6648116495443599</v>
      </c>
      <c r="J1683">
        <v>3.8651181986256198</v>
      </c>
      <c r="K1683">
        <v>3.5137698478120001</v>
      </c>
      <c r="L1683">
        <v>3.6033223571738202</v>
      </c>
      <c r="M1683">
        <v>3.7649649240849898</v>
      </c>
      <c r="N1683">
        <v>3.7636325805249702</v>
      </c>
      <c r="Q1683">
        <f t="shared" si="130"/>
        <v>3.72</v>
      </c>
      <c r="R1683">
        <f t="shared" si="132"/>
        <v>4.0090157573474983</v>
      </c>
      <c r="S1683">
        <f t="shared" si="133"/>
        <v>-0.28901575734749807</v>
      </c>
      <c r="T1683">
        <f t="shared" si="134"/>
        <v>8.3530107995147887E-2</v>
      </c>
    </row>
    <row r="1684" spans="1:20" hidden="1" x14ac:dyDescent="0.25">
      <c r="A1684" t="str">
        <f t="shared" si="131"/>
        <v>RIP</v>
      </c>
      <c r="B1684" t="s">
        <v>1690</v>
      </c>
      <c r="C1684">
        <v>1.2773227359999999</v>
      </c>
      <c r="D1684">
        <v>0.28459793300000003</v>
      </c>
      <c r="E1684">
        <v>0.70191008300000002</v>
      </c>
      <c r="F1684">
        <v>0.58023528899999999</v>
      </c>
      <c r="G1684">
        <v>0.87037288599999996</v>
      </c>
      <c r="H1684">
        <v>3.64</v>
      </c>
      <c r="I1684">
        <v>3.45766533502767</v>
      </c>
      <c r="J1684">
        <v>3.81340973205914</v>
      </c>
      <c r="K1684">
        <v>3.42764878774683</v>
      </c>
      <c r="L1684">
        <v>3.4537392393292201</v>
      </c>
      <c r="M1684">
        <v>3.6355375335434101</v>
      </c>
      <c r="N1684">
        <v>3.63118364156897</v>
      </c>
      <c r="Q1684">
        <f t="shared" si="130"/>
        <v>3.64</v>
      </c>
      <c r="R1684">
        <f t="shared" si="132"/>
        <v>3.9321543244938533</v>
      </c>
      <c r="S1684">
        <f t="shared" si="133"/>
        <v>-0.29215432449385315</v>
      </c>
      <c r="T1684">
        <f t="shared" si="134"/>
        <v>8.5354149320459635E-2</v>
      </c>
    </row>
    <row r="1685" spans="1:20" hidden="1" x14ac:dyDescent="0.25">
      <c r="A1685" t="str">
        <f t="shared" si="131"/>
        <v>RIP</v>
      </c>
      <c r="B1685" t="s">
        <v>1691</v>
      </c>
      <c r="C1685">
        <v>1.325077558</v>
      </c>
      <c r="D1685">
        <v>0.280144375</v>
      </c>
      <c r="E1685">
        <v>0.69664870999999995</v>
      </c>
      <c r="F1685">
        <v>0.599371765</v>
      </c>
      <c r="G1685">
        <v>0.86352332200000004</v>
      </c>
      <c r="H1685">
        <v>3.87</v>
      </c>
      <c r="I1685">
        <v>3.43513928576981</v>
      </c>
      <c r="J1685">
        <v>3.7411515203249799</v>
      </c>
      <c r="K1685">
        <v>3.3148977102317301</v>
      </c>
      <c r="L1685">
        <v>3.3189251696955799</v>
      </c>
      <c r="M1685">
        <v>3.58814540304739</v>
      </c>
      <c r="N1685">
        <v>3.58488166631561</v>
      </c>
      <c r="Q1685">
        <f t="shared" si="130"/>
        <v>3.87</v>
      </c>
      <c r="R1685">
        <f t="shared" si="132"/>
        <v>3.8555746644520754</v>
      </c>
      <c r="S1685">
        <f t="shared" si="133"/>
        <v>1.4425335547924689E-2</v>
      </c>
      <c r="T1685">
        <f t="shared" si="134"/>
        <v>2.0809030567021968E-4</v>
      </c>
    </row>
    <row r="1686" spans="1:20" hidden="1" x14ac:dyDescent="0.25">
      <c r="A1686" t="str">
        <f t="shared" si="131"/>
        <v>RIP</v>
      </c>
      <c r="B1686" t="s">
        <v>1692</v>
      </c>
      <c r="C1686">
        <v>1.322732687</v>
      </c>
      <c r="D1686">
        <v>0.26801521099999998</v>
      </c>
      <c r="E1686">
        <v>0.67542689199999995</v>
      </c>
      <c r="F1686">
        <v>0.55648651800000004</v>
      </c>
      <c r="G1686">
        <v>0.84115836799999999</v>
      </c>
      <c r="H1686">
        <v>2.79</v>
      </c>
      <c r="I1686">
        <v>3.12616426762406</v>
      </c>
      <c r="J1686">
        <v>3.2946098225178599</v>
      </c>
      <c r="K1686">
        <v>3.3798749950819298</v>
      </c>
      <c r="L1686">
        <v>3.4019066181387201</v>
      </c>
      <c r="M1686">
        <v>3.2103870450709602</v>
      </c>
      <c r="N1686">
        <v>3.2092820852830299</v>
      </c>
      <c r="Q1686">
        <f t="shared" si="130"/>
        <v>2.79</v>
      </c>
      <c r="R1686">
        <f t="shared" si="132"/>
        <v>3.36489143914672</v>
      </c>
      <c r="S1686">
        <f t="shared" si="133"/>
        <v>-0.57489143914671992</v>
      </c>
      <c r="T1686">
        <f t="shared" si="134"/>
        <v>0.33050016680418676</v>
      </c>
    </row>
    <row r="1687" spans="1:20" hidden="1" x14ac:dyDescent="0.25">
      <c r="A1687" t="str">
        <f t="shared" si="131"/>
        <v>RIP</v>
      </c>
      <c r="B1687" t="s">
        <v>1693</v>
      </c>
      <c r="C1687">
        <v>1.1825021389999999</v>
      </c>
      <c r="D1687">
        <v>0.28960449199999999</v>
      </c>
      <c r="E1687">
        <v>0.70110531899999995</v>
      </c>
      <c r="F1687">
        <v>0.60572147799999998</v>
      </c>
      <c r="G1687">
        <v>0.86805023100000001</v>
      </c>
      <c r="H1687">
        <v>3.73</v>
      </c>
      <c r="I1687">
        <v>3.8270626824451099</v>
      </c>
      <c r="J1687">
        <v>4.07469267511176</v>
      </c>
      <c r="K1687">
        <v>3.5877599218893601</v>
      </c>
      <c r="L1687">
        <v>3.6548044897903198</v>
      </c>
      <c r="M1687">
        <v>3.9508776787784301</v>
      </c>
      <c r="N1687">
        <v>3.9489371075458601</v>
      </c>
      <c r="Q1687">
        <f t="shared" si="130"/>
        <v>3.73</v>
      </c>
      <c r="R1687">
        <f t="shared" si="132"/>
        <v>4.2345765054874702</v>
      </c>
      <c r="S1687">
        <f t="shared" si="133"/>
        <v>-0.50457650548747024</v>
      </c>
      <c r="T1687">
        <f t="shared" si="134"/>
        <v>0.25459744988994709</v>
      </c>
    </row>
    <row r="1688" spans="1:20" hidden="1" x14ac:dyDescent="0.25">
      <c r="A1688" t="str">
        <f t="shared" si="131"/>
        <v>RIP</v>
      </c>
      <c r="B1688" t="s">
        <v>1694</v>
      </c>
      <c r="C1688">
        <v>1.2499952320000001</v>
      </c>
      <c r="D1688">
        <v>0.281476738</v>
      </c>
      <c r="E1688">
        <v>0.69477935000000002</v>
      </c>
      <c r="F1688">
        <v>0.59723758000000005</v>
      </c>
      <c r="G1688">
        <v>0.86880015300000002</v>
      </c>
      <c r="H1688">
        <v>3.42</v>
      </c>
      <c r="I1688">
        <v>3.5274472503055101</v>
      </c>
      <c r="J1688">
        <v>3.82005876847896</v>
      </c>
      <c r="K1688">
        <v>3.32137768724425</v>
      </c>
      <c r="L1688">
        <v>3.37392291321627</v>
      </c>
      <c r="M1688">
        <v>3.6737530093922302</v>
      </c>
      <c r="N1688">
        <v>3.6708385688935601</v>
      </c>
      <c r="Q1688">
        <f t="shared" si="130"/>
        <v>3.42</v>
      </c>
      <c r="R1688">
        <f t="shared" si="132"/>
        <v>3.9504516060041048</v>
      </c>
      <c r="S1688">
        <f t="shared" si="133"/>
        <v>-0.5304516060041049</v>
      </c>
      <c r="T1688">
        <f t="shared" si="134"/>
        <v>0.28137890631233414</v>
      </c>
    </row>
    <row r="1689" spans="1:20" hidden="1" x14ac:dyDescent="0.25">
      <c r="A1689" t="str">
        <f t="shared" si="131"/>
        <v>RIP</v>
      </c>
      <c r="B1689" t="s">
        <v>1695</v>
      </c>
      <c r="C1689">
        <v>1.137677381</v>
      </c>
      <c r="D1689">
        <v>0.278342759</v>
      </c>
      <c r="E1689">
        <v>0.68193471100000003</v>
      </c>
      <c r="F1689">
        <v>0.54849203800000002</v>
      </c>
      <c r="G1689">
        <v>0.85477292100000002</v>
      </c>
      <c r="H1689">
        <v>3.18</v>
      </c>
      <c r="I1689">
        <v>3.4915441747345302</v>
      </c>
      <c r="J1689">
        <v>3.6428913257233</v>
      </c>
      <c r="K1689">
        <v>3.4662076879943902</v>
      </c>
      <c r="L1689">
        <v>3.5400341384875298</v>
      </c>
      <c r="M1689">
        <v>3.56721775022891</v>
      </c>
      <c r="N1689">
        <v>3.5664150049482699</v>
      </c>
      <c r="Q1689">
        <f t="shared" si="130"/>
        <v>3.18</v>
      </c>
      <c r="R1689">
        <f t="shared" si="132"/>
        <v>3.7617357217290301</v>
      </c>
      <c r="S1689">
        <f t="shared" si="133"/>
        <v>-0.58173572172902999</v>
      </c>
      <c r="T1689">
        <f t="shared" si="134"/>
        <v>0.33841644993559539</v>
      </c>
    </row>
    <row r="1690" spans="1:20" hidden="1" x14ac:dyDescent="0.25">
      <c r="A1690" t="str">
        <f t="shared" si="131"/>
        <v>RIP</v>
      </c>
      <c r="B1690" t="s">
        <v>1696</v>
      </c>
      <c r="C1690">
        <v>1.2409521210000001</v>
      </c>
      <c r="D1690">
        <v>0.26230465800000002</v>
      </c>
      <c r="E1690">
        <v>0.65076201600000005</v>
      </c>
      <c r="F1690">
        <v>0.53001894699999996</v>
      </c>
      <c r="G1690">
        <v>0.82161777000000003</v>
      </c>
      <c r="H1690">
        <v>2.23</v>
      </c>
      <c r="I1690">
        <v>3.0833967152146702</v>
      </c>
      <c r="J1690">
        <v>3.0754193124776998</v>
      </c>
      <c r="K1690">
        <v>3.4506918562023698</v>
      </c>
      <c r="L1690">
        <v>3.50291341416116</v>
      </c>
      <c r="M1690">
        <v>3.0794080138461801</v>
      </c>
      <c r="N1690">
        <v>3.0794054305988201</v>
      </c>
      <c r="Q1690">
        <f t="shared" si="130"/>
        <v>2.23</v>
      </c>
      <c r="R1690">
        <f t="shared" si="132"/>
        <v>3.1353243272278846</v>
      </c>
      <c r="S1690">
        <f t="shared" si="133"/>
        <v>-0.90532432722788458</v>
      </c>
      <c r="T1690">
        <f t="shared" si="134"/>
        <v>0.81961213747062189</v>
      </c>
    </row>
    <row r="1691" spans="1:20" hidden="1" x14ac:dyDescent="0.25">
      <c r="A1691" t="str">
        <f t="shared" si="131"/>
        <v>RIP</v>
      </c>
      <c r="B1691" t="s">
        <v>1697</v>
      </c>
      <c r="C1691">
        <v>1.2846308449999999</v>
      </c>
      <c r="D1691">
        <v>0.25845266300000003</v>
      </c>
      <c r="E1691">
        <v>0.65570189199999995</v>
      </c>
      <c r="F1691">
        <v>0.54890639699999999</v>
      </c>
      <c r="G1691">
        <v>0.82134576299999995</v>
      </c>
      <c r="H1691">
        <v>3.17</v>
      </c>
      <c r="I1691">
        <v>3.0590158121035702</v>
      </c>
      <c r="J1691">
        <v>3.0611465960500599</v>
      </c>
      <c r="K1691">
        <v>3.2969106559230799</v>
      </c>
      <c r="L1691">
        <v>3.3310205835748401</v>
      </c>
      <c r="M1691">
        <v>3.0600812040768099</v>
      </c>
      <c r="N1691">
        <v>3.0600810186144001</v>
      </c>
      <c r="Q1691">
        <f t="shared" si="130"/>
        <v>3.17</v>
      </c>
      <c r="R1691">
        <f t="shared" si="132"/>
        <v>3.1183144528571805</v>
      </c>
      <c r="S1691">
        <f t="shared" si="133"/>
        <v>5.1685547142819477E-2</v>
      </c>
      <c r="T1691">
        <f t="shared" si="134"/>
        <v>2.6713957834526144E-3</v>
      </c>
    </row>
    <row r="1692" spans="1:20" hidden="1" x14ac:dyDescent="0.25">
      <c r="A1692" t="str">
        <f t="shared" si="131"/>
        <v>RIP</v>
      </c>
      <c r="B1692" t="s">
        <v>1698</v>
      </c>
      <c r="C1692">
        <v>1.4365639210000001</v>
      </c>
      <c r="D1692">
        <v>0.28668107999999998</v>
      </c>
      <c r="E1692">
        <v>0.70480833200000004</v>
      </c>
      <c r="F1692">
        <v>0.60367660099999998</v>
      </c>
      <c r="G1692">
        <v>0.87162654299999998</v>
      </c>
      <c r="H1692">
        <v>3.97</v>
      </c>
      <c r="I1692">
        <v>3.3366963991062502</v>
      </c>
      <c r="J1692">
        <v>3.7867094595885198</v>
      </c>
      <c r="K1692">
        <v>3.0213190665971901</v>
      </c>
      <c r="L1692">
        <v>3.0092077640082602</v>
      </c>
      <c r="M1692">
        <v>3.5617029293473901</v>
      </c>
      <c r="N1692">
        <v>3.55458855822592</v>
      </c>
      <c r="Q1692">
        <f t="shared" si="130"/>
        <v>3.97</v>
      </c>
      <c r="R1692">
        <f t="shared" si="132"/>
        <v>3.8885274188495065</v>
      </c>
      <c r="S1692">
        <f t="shared" si="133"/>
        <v>8.1472581150493717E-2</v>
      </c>
      <c r="T1692">
        <f t="shared" si="134"/>
        <v>6.6377814793237844E-3</v>
      </c>
    </row>
    <row r="1693" spans="1:20" hidden="1" x14ac:dyDescent="0.25">
      <c r="A1693" t="str">
        <f t="shared" si="131"/>
        <v>RIP</v>
      </c>
      <c r="B1693" t="s">
        <v>1699</v>
      </c>
      <c r="C1693">
        <v>1.4570021129999999</v>
      </c>
      <c r="D1693">
        <v>0.26564610799999999</v>
      </c>
      <c r="E1693">
        <v>0.67330741599999999</v>
      </c>
      <c r="F1693">
        <v>0.58345728600000002</v>
      </c>
      <c r="G1693">
        <v>0.83884949499999995</v>
      </c>
      <c r="H1693">
        <v>3.01</v>
      </c>
      <c r="I1693">
        <v>3.0090473732926299</v>
      </c>
      <c r="J1693">
        <v>3.2117142671683401</v>
      </c>
      <c r="K1693">
        <v>3.0755721192101002</v>
      </c>
      <c r="L1693">
        <v>3.0681947649347698</v>
      </c>
      <c r="M1693">
        <v>3.1103808202304899</v>
      </c>
      <c r="N1693">
        <v>3.1087297051029301</v>
      </c>
      <c r="Q1693">
        <f t="shared" si="130"/>
        <v>3.01</v>
      </c>
      <c r="R1693">
        <f t="shared" si="132"/>
        <v>3.2663027564617071</v>
      </c>
      <c r="S1693">
        <f t="shared" si="133"/>
        <v>-0.2563027564617073</v>
      </c>
      <c r="T1693">
        <f t="shared" si="134"/>
        <v>6.5691102969869242E-2</v>
      </c>
    </row>
    <row r="1694" spans="1:20" hidden="1" x14ac:dyDescent="0.25">
      <c r="A1694" t="str">
        <f t="shared" si="131"/>
        <v>RIP</v>
      </c>
      <c r="B1694" t="s">
        <v>1700</v>
      </c>
      <c r="C1694">
        <v>1.2576475570000001</v>
      </c>
      <c r="D1694">
        <v>0.26813093399999999</v>
      </c>
      <c r="E1694">
        <v>0.66575867899999996</v>
      </c>
      <c r="F1694">
        <v>0.55620452099999995</v>
      </c>
      <c r="G1694">
        <v>0.83663201499999995</v>
      </c>
      <c r="H1694">
        <v>2.9</v>
      </c>
      <c r="I1694">
        <v>3.2392958980445399</v>
      </c>
      <c r="J1694">
        <v>3.3158073233977099</v>
      </c>
      <c r="K1694">
        <v>3.3626416365685499</v>
      </c>
      <c r="L1694">
        <v>3.3999911509617702</v>
      </c>
      <c r="M1694">
        <v>3.27755161072113</v>
      </c>
      <c r="N1694">
        <v>3.27732834201705</v>
      </c>
      <c r="Q1694">
        <f t="shared" si="130"/>
        <v>2.9</v>
      </c>
      <c r="R1694">
        <f t="shared" si="132"/>
        <v>3.3985162475381285</v>
      </c>
      <c r="S1694">
        <f t="shared" si="133"/>
        <v>-0.49851624753812862</v>
      </c>
      <c r="T1694">
        <f t="shared" si="134"/>
        <v>0.24851844905949674</v>
      </c>
    </row>
    <row r="1695" spans="1:20" hidden="1" x14ac:dyDescent="0.25">
      <c r="A1695" t="str">
        <f t="shared" si="131"/>
        <v>RIP</v>
      </c>
      <c r="B1695" t="s">
        <v>1701</v>
      </c>
      <c r="C1695">
        <v>1.14847579</v>
      </c>
      <c r="D1695">
        <v>0.25842597099999998</v>
      </c>
      <c r="E1695">
        <v>0.64813999099999997</v>
      </c>
      <c r="F1695">
        <v>0.54155664199999998</v>
      </c>
      <c r="G1695">
        <v>0.81341928299999999</v>
      </c>
      <c r="H1695">
        <v>3.08</v>
      </c>
      <c r="I1695">
        <v>3.2775086379626401</v>
      </c>
      <c r="J1695">
        <v>3.13617890615423</v>
      </c>
      <c r="K1695">
        <v>3.6276755425298499</v>
      </c>
      <c r="L1695">
        <v>3.6858793712023301</v>
      </c>
      <c r="M1695">
        <v>3.2068437720584302</v>
      </c>
      <c r="N1695">
        <v>3.2060651046285198</v>
      </c>
      <c r="Q1695">
        <f t="shared" si="130"/>
        <v>3.08</v>
      </c>
      <c r="R1695">
        <f t="shared" si="132"/>
        <v>3.2167985792845322</v>
      </c>
      <c r="S1695">
        <f t="shared" si="133"/>
        <v>-0.1367985792845321</v>
      </c>
      <c r="T1695">
        <f t="shared" si="134"/>
        <v>1.8713851294266413E-2</v>
      </c>
    </row>
    <row r="1696" spans="1:20" hidden="1" x14ac:dyDescent="0.25">
      <c r="A1696" t="str">
        <f t="shared" si="131"/>
        <v>RIP</v>
      </c>
      <c r="B1696" t="s">
        <v>1702</v>
      </c>
      <c r="C1696">
        <v>1.09828405</v>
      </c>
      <c r="D1696">
        <v>0.261688315</v>
      </c>
      <c r="E1696">
        <v>0.66992107300000003</v>
      </c>
      <c r="F1696">
        <v>0.54892167800000002</v>
      </c>
      <c r="G1696">
        <v>0.83103291400000001</v>
      </c>
      <c r="H1696">
        <v>3.32</v>
      </c>
      <c r="I1696">
        <v>3.40819050697029</v>
      </c>
      <c r="J1696">
        <v>3.3641195331932399</v>
      </c>
      <c r="K1696">
        <v>3.7435443526049599</v>
      </c>
      <c r="L1696">
        <v>3.8067258896882699</v>
      </c>
      <c r="M1696">
        <v>3.3861550200817598</v>
      </c>
      <c r="N1696">
        <v>3.38608332108684</v>
      </c>
      <c r="Q1696">
        <f t="shared" si="130"/>
        <v>3.32</v>
      </c>
      <c r="R1696">
        <f t="shared" si="132"/>
        <v>3.4680808608134459</v>
      </c>
      <c r="S1696">
        <f t="shared" si="133"/>
        <v>-0.14808086081344607</v>
      </c>
      <c r="T1696">
        <f t="shared" si="134"/>
        <v>2.1927941339251189E-2</v>
      </c>
    </row>
    <row r="1697" spans="1:20" hidden="1" x14ac:dyDescent="0.25">
      <c r="A1697" t="str">
        <f t="shared" si="131"/>
        <v>RIP</v>
      </c>
      <c r="B1697" t="s">
        <v>1703</v>
      </c>
      <c r="C1697">
        <v>1.0761138729999999</v>
      </c>
      <c r="D1697">
        <v>0.27394442099999999</v>
      </c>
      <c r="E1697">
        <v>0.67607578400000001</v>
      </c>
      <c r="F1697">
        <v>0.54683229499999997</v>
      </c>
      <c r="G1697">
        <v>0.84059088299999996</v>
      </c>
      <c r="H1697">
        <v>3.8</v>
      </c>
      <c r="I1697">
        <v>3.5948139174012699</v>
      </c>
      <c r="J1697">
        <v>3.6022522088277902</v>
      </c>
      <c r="K1697">
        <v>3.9144627357551198</v>
      </c>
      <c r="L1697">
        <v>3.9922293016672699</v>
      </c>
      <c r="M1697">
        <v>3.5985330631145298</v>
      </c>
      <c r="N1697">
        <v>3.5985311412135399</v>
      </c>
      <c r="Q1697">
        <f t="shared" si="130"/>
        <v>3.8</v>
      </c>
      <c r="R1697">
        <f t="shared" si="132"/>
        <v>3.7270430004159891</v>
      </c>
      <c r="S1697">
        <f t="shared" si="133"/>
        <v>7.2956999584010696E-2</v>
      </c>
      <c r="T1697">
        <f t="shared" si="134"/>
        <v>5.3227237883013371E-3</v>
      </c>
    </row>
    <row r="1698" spans="1:20" hidden="1" x14ac:dyDescent="0.25">
      <c r="A1698" t="str">
        <f t="shared" si="131"/>
        <v>RIP</v>
      </c>
      <c r="B1698" t="s">
        <v>1704</v>
      </c>
      <c r="C1698">
        <v>1.154830976</v>
      </c>
      <c r="D1698">
        <v>0.28444581499999999</v>
      </c>
      <c r="E1698">
        <v>0.68165132399999995</v>
      </c>
      <c r="F1698">
        <v>0.56045969600000001</v>
      </c>
      <c r="G1698">
        <v>0.84954133700000001</v>
      </c>
      <c r="H1698">
        <v>3.46</v>
      </c>
      <c r="I1698">
        <v>3.6543964736252801</v>
      </c>
      <c r="J1698">
        <v>3.76156307481412</v>
      </c>
      <c r="K1698">
        <v>3.7393656026159601</v>
      </c>
      <c r="L1698">
        <v>3.80837461563757</v>
      </c>
      <c r="M1698">
        <v>3.7079797742196998</v>
      </c>
      <c r="N1698">
        <v>3.70759259303389</v>
      </c>
      <c r="Q1698">
        <f t="shared" si="130"/>
        <v>3.46</v>
      </c>
      <c r="R1698">
        <f t="shared" si="132"/>
        <v>3.8909266725412417</v>
      </c>
      <c r="S1698">
        <f t="shared" si="133"/>
        <v>-0.43092667254124173</v>
      </c>
      <c r="T1698">
        <f t="shared" si="134"/>
        <v>0.18569779710746659</v>
      </c>
    </row>
    <row r="1699" spans="1:20" hidden="1" x14ac:dyDescent="0.25">
      <c r="A1699" t="str">
        <f t="shared" si="131"/>
        <v>RIP</v>
      </c>
      <c r="B1699" t="s">
        <v>1705</v>
      </c>
      <c r="C1699">
        <v>0.99140941400000004</v>
      </c>
      <c r="D1699">
        <v>0.28317355300000002</v>
      </c>
      <c r="E1699">
        <v>0.68219306300000004</v>
      </c>
      <c r="F1699">
        <v>0.53332798100000001</v>
      </c>
      <c r="G1699">
        <v>0.84855884400000003</v>
      </c>
      <c r="H1699">
        <v>3.67</v>
      </c>
      <c r="I1699">
        <v>3.7849522995050702</v>
      </c>
      <c r="J1699">
        <v>3.8087015769032901</v>
      </c>
      <c r="K1699">
        <v>3.8275924549228999</v>
      </c>
      <c r="L1699">
        <v>3.9053419578718902</v>
      </c>
      <c r="M1699">
        <v>3.7968269382041799</v>
      </c>
      <c r="N1699">
        <v>3.7968083690948502</v>
      </c>
      <c r="Q1699">
        <f t="shared" si="130"/>
        <v>3.67</v>
      </c>
      <c r="R1699">
        <f t="shared" si="132"/>
        <v>3.9550466653074405</v>
      </c>
      <c r="S1699">
        <f t="shared" si="133"/>
        <v>-0.28504666530744061</v>
      </c>
      <c r="T1699">
        <f t="shared" si="134"/>
        <v>8.125160140289206E-2</v>
      </c>
    </row>
    <row r="1700" spans="1:20" hidden="1" x14ac:dyDescent="0.25">
      <c r="A1700" t="str">
        <f t="shared" si="131"/>
        <v>RIP</v>
      </c>
      <c r="B1700" t="s">
        <v>1706</v>
      </c>
      <c r="C1700">
        <v>1.119054475</v>
      </c>
      <c r="D1700">
        <v>0.28960738600000002</v>
      </c>
      <c r="E1700">
        <v>0.69611240600000002</v>
      </c>
      <c r="F1700">
        <v>0.58575834699999996</v>
      </c>
      <c r="G1700">
        <v>0.86176384900000003</v>
      </c>
      <c r="H1700">
        <v>4.09</v>
      </c>
      <c r="I1700">
        <v>3.8747709995671502</v>
      </c>
      <c r="J1700">
        <v>4.0399359788471196</v>
      </c>
      <c r="K1700">
        <v>3.69789669550214</v>
      </c>
      <c r="L1700">
        <v>3.7672622514193601</v>
      </c>
      <c r="M1700">
        <v>3.9573534892071298</v>
      </c>
      <c r="N1700">
        <v>3.9564917251202099</v>
      </c>
      <c r="Q1700">
        <f t="shared" si="130"/>
        <v>4.09</v>
      </c>
      <c r="R1700">
        <f t="shared" si="132"/>
        <v>4.2003173454810749</v>
      </c>
      <c r="S1700">
        <f t="shared" si="133"/>
        <v>-0.11031734548107508</v>
      </c>
      <c r="T1700">
        <f t="shared" si="134"/>
        <v>1.2169916713990876E-2</v>
      </c>
    </row>
    <row r="1701" spans="1:20" hidden="1" x14ac:dyDescent="0.25">
      <c r="A1701" t="str">
        <f t="shared" si="131"/>
        <v>RIP</v>
      </c>
      <c r="B1701" t="s">
        <v>1707</v>
      </c>
      <c r="C1701">
        <v>1.2088408589999999</v>
      </c>
      <c r="D1701">
        <v>0.29460066600000001</v>
      </c>
      <c r="E1701">
        <v>0.69175872100000002</v>
      </c>
      <c r="F1701">
        <v>0.59517209800000004</v>
      </c>
      <c r="G1701">
        <v>0.86111923599999995</v>
      </c>
      <c r="H1701">
        <v>3.63</v>
      </c>
      <c r="I1701">
        <v>3.8408213652696901</v>
      </c>
      <c r="J1701">
        <v>4.0377289147492998</v>
      </c>
      <c r="K1701">
        <v>3.4004347359218401</v>
      </c>
      <c r="L1701">
        <v>3.4640683578534301</v>
      </c>
      <c r="M1701">
        <v>3.9392751400094901</v>
      </c>
      <c r="N1701">
        <v>3.9380446268340199</v>
      </c>
      <c r="Q1701">
        <f t="shared" si="130"/>
        <v>3.63</v>
      </c>
      <c r="R1701">
        <f t="shared" si="132"/>
        <v>4.1890218206616501</v>
      </c>
      <c r="S1701">
        <f t="shared" si="133"/>
        <v>-0.55902182066165018</v>
      </c>
      <c r="T1701">
        <f t="shared" si="134"/>
        <v>0.31250539597586618</v>
      </c>
    </row>
    <row r="1702" spans="1:20" hidden="1" x14ac:dyDescent="0.25">
      <c r="A1702" t="str">
        <f t="shared" si="131"/>
        <v>RIP</v>
      </c>
      <c r="B1702" t="s">
        <v>1708</v>
      </c>
      <c r="C1702">
        <v>1.223495684</v>
      </c>
      <c r="D1702">
        <v>0.29262157700000002</v>
      </c>
      <c r="E1702">
        <v>0.66947701000000004</v>
      </c>
      <c r="F1702">
        <v>0.52653934599999996</v>
      </c>
      <c r="G1702">
        <v>0.83698215399999998</v>
      </c>
      <c r="H1702">
        <v>3.24</v>
      </c>
      <c r="I1702">
        <v>3.5385964689004301</v>
      </c>
      <c r="J1702">
        <v>3.6290872247410699</v>
      </c>
      <c r="K1702">
        <v>3.56727623048815</v>
      </c>
      <c r="L1702">
        <v>3.6385271779205799</v>
      </c>
      <c r="M1702">
        <v>3.58384184682075</v>
      </c>
      <c r="N1702">
        <v>3.5835562279389999</v>
      </c>
      <c r="Q1702">
        <f t="shared" si="130"/>
        <v>3.24</v>
      </c>
      <c r="R1702">
        <f t="shared" si="132"/>
        <v>3.7294598436380797</v>
      </c>
      <c r="S1702">
        <f t="shared" si="133"/>
        <v>-0.48945984363807948</v>
      </c>
      <c r="T1702">
        <f t="shared" si="134"/>
        <v>0.23957093853421321</v>
      </c>
    </row>
    <row r="1703" spans="1:20" hidden="1" x14ac:dyDescent="0.25">
      <c r="A1703" t="str">
        <f t="shared" si="131"/>
        <v>RIP</v>
      </c>
      <c r="B1703" t="s">
        <v>1709</v>
      </c>
      <c r="C1703">
        <v>1.260794306</v>
      </c>
      <c r="D1703">
        <v>0.278058892</v>
      </c>
      <c r="E1703">
        <v>0.64842331499999994</v>
      </c>
      <c r="F1703">
        <v>0.522413185</v>
      </c>
      <c r="G1703">
        <v>0.82077233599999999</v>
      </c>
      <c r="H1703">
        <v>2.68</v>
      </c>
      <c r="I1703">
        <v>3.2559211519188702</v>
      </c>
      <c r="J1703">
        <v>3.25895029333345</v>
      </c>
      <c r="K1703">
        <v>3.5133968175026302</v>
      </c>
      <c r="L1703">
        <v>3.6325959441985498</v>
      </c>
      <c r="M1703">
        <v>3.2574357226261599</v>
      </c>
      <c r="N1703">
        <v>3.2574353705202799</v>
      </c>
      <c r="Q1703">
        <f t="shared" si="130"/>
        <v>2.68</v>
      </c>
      <c r="R1703">
        <f t="shared" si="132"/>
        <v>3.3298504715763966</v>
      </c>
      <c r="S1703">
        <f t="shared" si="133"/>
        <v>-0.64985047157639642</v>
      </c>
      <c r="T1703">
        <f t="shared" si="134"/>
        <v>0.42230563540806482</v>
      </c>
    </row>
    <row r="1704" spans="1:20" hidden="1" x14ac:dyDescent="0.25">
      <c r="A1704" t="str">
        <f t="shared" si="131"/>
        <v>RIP</v>
      </c>
      <c r="B1704" t="s">
        <v>1710</v>
      </c>
      <c r="C1704">
        <v>1.3397966619999999</v>
      </c>
      <c r="D1704">
        <v>0.264204983</v>
      </c>
      <c r="E1704">
        <v>0.64487556000000001</v>
      </c>
      <c r="F1704">
        <v>0.51454957099999998</v>
      </c>
      <c r="G1704">
        <v>0.81278237799999997</v>
      </c>
      <c r="H1704">
        <v>3.1</v>
      </c>
      <c r="I1704">
        <v>2.8842912462056698</v>
      </c>
      <c r="J1704">
        <v>2.92308944799837</v>
      </c>
      <c r="K1704">
        <v>3.22162913079752</v>
      </c>
      <c r="L1704">
        <v>3.3013709127784101</v>
      </c>
      <c r="M1704">
        <v>2.9036903471020201</v>
      </c>
      <c r="N1704">
        <v>2.9036255451999802</v>
      </c>
      <c r="Q1704">
        <f t="shared" si="130"/>
        <v>3.1</v>
      </c>
      <c r="R1704">
        <f t="shared" si="132"/>
        <v>2.9541793090134396</v>
      </c>
      <c r="S1704">
        <f t="shared" si="133"/>
        <v>0.14582069098656048</v>
      </c>
      <c r="T1704">
        <f t="shared" si="134"/>
        <v>2.126367391979796E-2</v>
      </c>
    </row>
    <row r="1705" spans="1:20" hidden="1" x14ac:dyDescent="0.25">
      <c r="A1705" t="str">
        <f t="shared" si="131"/>
        <v>RIP</v>
      </c>
      <c r="B1705" t="s">
        <v>1711</v>
      </c>
      <c r="C1705">
        <v>1.269753006</v>
      </c>
      <c r="D1705">
        <v>0.28117853399999998</v>
      </c>
      <c r="E1705">
        <v>0.67261937900000002</v>
      </c>
      <c r="F1705">
        <v>0.56312895900000004</v>
      </c>
      <c r="G1705">
        <v>0.83745489500000003</v>
      </c>
      <c r="H1705">
        <v>3.5</v>
      </c>
      <c r="I1705">
        <v>3.4752187296066799</v>
      </c>
      <c r="J1705">
        <v>3.5629770937352001</v>
      </c>
      <c r="K1705">
        <v>3.5461691796806898</v>
      </c>
      <c r="L1705">
        <v>3.62184655169056</v>
      </c>
      <c r="M1705">
        <v>3.51909791167094</v>
      </c>
      <c r="N1705">
        <v>3.5188243390809002</v>
      </c>
      <c r="Q1705">
        <f t="shared" si="130"/>
        <v>3.5</v>
      </c>
      <c r="R1705">
        <f t="shared" si="132"/>
        <v>3.6643413486969987</v>
      </c>
      <c r="S1705">
        <f t="shared" si="133"/>
        <v>-0.16434134869699868</v>
      </c>
      <c r="T1705">
        <f t="shared" si="134"/>
        <v>2.700807889154851E-2</v>
      </c>
    </row>
    <row r="1706" spans="1:20" hidden="1" x14ac:dyDescent="0.25">
      <c r="A1706" t="str">
        <f t="shared" si="131"/>
        <v>RIP</v>
      </c>
      <c r="B1706" t="s">
        <v>1712</v>
      </c>
      <c r="C1706">
        <v>1.35301414</v>
      </c>
      <c r="D1706">
        <v>0.29130237399999998</v>
      </c>
      <c r="E1706">
        <v>0.69243719199999998</v>
      </c>
      <c r="F1706">
        <v>0.60714614499999997</v>
      </c>
      <c r="G1706">
        <v>0.85809520299999997</v>
      </c>
      <c r="H1706">
        <v>3.63</v>
      </c>
      <c r="I1706">
        <v>3.6274349990659598</v>
      </c>
      <c r="J1706">
        <v>3.8916793307458399</v>
      </c>
      <c r="K1706">
        <v>3.33413740376144</v>
      </c>
      <c r="L1706">
        <v>3.3684512781856499</v>
      </c>
      <c r="M1706">
        <v>3.7595571649059001</v>
      </c>
      <c r="N1706">
        <v>3.75723486216779</v>
      </c>
      <c r="Q1706">
        <f t="shared" si="130"/>
        <v>3.63</v>
      </c>
      <c r="R1706">
        <f t="shared" si="132"/>
        <v>4.0163020082991743</v>
      </c>
      <c r="S1706">
        <f t="shared" si="133"/>
        <v>-0.38630200829917438</v>
      </c>
      <c r="T1706">
        <f t="shared" si="134"/>
        <v>0.14922924161597539</v>
      </c>
    </row>
    <row r="1707" spans="1:20" hidden="1" x14ac:dyDescent="0.25">
      <c r="A1707" t="str">
        <f t="shared" si="131"/>
        <v>RIP</v>
      </c>
      <c r="B1707" t="s">
        <v>1713</v>
      </c>
      <c r="C1707">
        <v>1.5239585760000001</v>
      </c>
      <c r="D1707">
        <v>0.26942835500000001</v>
      </c>
      <c r="E1707">
        <v>0.66073647899999999</v>
      </c>
      <c r="F1707">
        <v>0.56449196599999996</v>
      </c>
      <c r="G1707">
        <v>0.82353048900000003</v>
      </c>
      <c r="H1707">
        <v>3.29</v>
      </c>
      <c r="I1707">
        <v>2.9010531352258</v>
      </c>
      <c r="J1707">
        <v>3.07700923795419</v>
      </c>
      <c r="K1707">
        <v>2.9777224536474098</v>
      </c>
      <c r="L1707">
        <v>3.0225149381418301</v>
      </c>
      <c r="M1707">
        <v>2.9890311865900001</v>
      </c>
      <c r="N1707">
        <v>2.9877361491413099</v>
      </c>
      <c r="Q1707">
        <f t="shared" si="130"/>
        <v>3.29</v>
      </c>
      <c r="R1707">
        <f t="shared" si="132"/>
        <v>3.1088039062933901</v>
      </c>
      <c r="S1707">
        <f t="shared" si="133"/>
        <v>0.18119609370660994</v>
      </c>
      <c r="T1707">
        <f t="shared" si="134"/>
        <v>3.2832024374534571E-2</v>
      </c>
    </row>
    <row r="1708" spans="1:20" hidden="1" x14ac:dyDescent="0.25">
      <c r="A1708" t="str">
        <f t="shared" si="131"/>
        <v>RIP</v>
      </c>
      <c r="B1708" t="s">
        <v>1714</v>
      </c>
      <c r="C1708">
        <v>1.3486557130000001</v>
      </c>
      <c r="D1708">
        <v>0.27061414900000003</v>
      </c>
      <c r="E1708">
        <v>0.66077108900000003</v>
      </c>
      <c r="F1708">
        <v>0.56155366900000003</v>
      </c>
      <c r="G1708">
        <v>0.826765431</v>
      </c>
      <c r="H1708">
        <v>2.62</v>
      </c>
      <c r="I1708">
        <v>3.1941229736521399</v>
      </c>
      <c r="J1708">
        <v>3.26013427357619</v>
      </c>
      <c r="K1708">
        <v>3.3695987940158001</v>
      </c>
      <c r="L1708">
        <v>3.4319692213779902</v>
      </c>
      <c r="M1708">
        <v>3.2271286236141599</v>
      </c>
      <c r="N1708">
        <v>3.2269598355759599</v>
      </c>
      <c r="Q1708">
        <f t="shared" si="130"/>
        <v>2.62</v>
      </c>
      <c r="R1708">
        <f t="shared" si="132"/>
        <v>3.3291424520188966</v>
      </c>
      <c r="S1708">
        <f t="shared" si="133"/>
        <v>-0.70914245201889647</v>
      </c>
      <c r="T1708">
        <f t="shared" si="134"/>
        <v>0.50288301725537288</v>
      </c>
    </row>
    <row r="1709" spans="1:20" hidden="1" x14ac:dyDescent="0.25">
      <c r="A1709" t="str">
        <f t="shared" si="131"/>
        <v>RIP</v>
      </c>
      <c r="B1709" t="s">
        <v>1715</v>
      </c>
      <c r="C1709">
        <v>1.163562346</v>
      </c>
      <c r="D1709">
        <v>0.279899391</v>
      </c>
      <c r="E1709">
        <v>0.65829413400000003</v>
      </c>
      <c r="F1709">
        <v>0.53214969099999998</v>
      </c>
      <c r="G1709">
        <v>0.82644969199999996</v>
      </c>
      <c r="H1709">
        <v>3.41</v>
      </c>
      <c r="I1709">
        <v>3.5067118711407699</v>
      </c>
      <c r="J1709">
        <v>3.4668645186642602</v>
      </c>
      <c r="K1709">
        <v>3.7276769776156602</v>
      </c>
      <c r="L1709">
        <v>3.8217003974437</v>
      </c>
      <c r="M1709">
        <v>3.4867881949025099</v>
      </c>
      <c r="N1709">
        <v>3.4867312720134702</v>
      </c>
      <c r="Q1709">
        <f t="shared" si="130"/>
        <v>3.41</v>
      </c>
      <c r="R1709">
        <f t="shared" si="132"/>
        <v>3.56819721988338</v>
      </c>
      <c r="S1709">
        <f t="shared" si="133"/>
        <v>-0.15819721988337987</v>
      </c>
      <c r="T1709">
        <f t="shared" si="134"/>
        <v>2.502636037883044E-2</v>
      </c>
    </row>
    <row r="1710" spans="1:20" hidden="1" x14ac:dyDescent="0.25">
      <c r="A1710" t="str">
        <f t="shared" si="131"/>
        <v>RIP</v>
      </c>
      <c r="B1710" t="s">
        <v>1716</v>
      </c>
      <c r="C1710">
        <v>1.0311444759999999</v>
      </c>
      <c r="D1710">
        <v>0.28534388399999999</v>
      </c>
      <c r="E1710">
        <v>0.67247169699999998</v>
      </c>
      <c r="F1710">
        <v>0.55017835400000004</v>
      </c>
      <c r="G1710">
        <v>0.839710607</v>
      </c>
      <c r="H1710">
        <v>2.89</v>
      </c>
      <c r="I1710">
        <v>3.8792846893764898</v>
      </c>
      <c r="J1710">
        <v>3.81589377173181</v>
      </c>
      <c r="K1710">
        <v>3.9836111718145699</v>
      </c>
      <c r="L1710">
        <v>4.0643762452557297</v>
      </c>
      <c r="M1710">
        <v>3.8475892305541501</v>
      </c>
      <c r="N1710">
        <v>3.8474586787860798</v>
      </c>
      <c r="Q1710">
        <f t="shared" si="130"/>
        <v>2.89</v>
      </c>
      <c r="R1710">
        <f t="shared" si="132"/>
        <v>3.9648814388347029</v>
      </c>
      <c r="S1710">
        <f t="shared" si="133"/>
        <v>-1.0748814388347028</v>
      </c>
      <c r="T1710">
        <f t="shared" si="134"/>
        <v>1.1553701075513609</v>
      </c>
    </row>
    <row r="1711" spans="1:20" hidden="1" x14ac:dyDescent="0.25">
      <c r="A1711" t="str">
        <f t="shared" si="131"/>
        <v>RIP</v>
      </c>
      <c r="B1711" t="s">
        <v>1717</v>
      </c>
      <c r="C1711">
        <v>1.2884225570000001</v>
      </c>
      <c r="D1711">
        <v>0.29225076500000002</v>
      </c>
      <c r="E1711">
        <v>0.67316904099999997</v>
      </c>
      <c r="F1711">
        <v>0.56494011600000005</v>
      </c>
      <c r="G1711">
        <v>0.845019666</v>
      </c>
      <c r="H1711">
        <v>3.32</v>
      </c>
      <c r="I1711">
        <v>3.5779537821845899</v>
      </c>
      <c r="J1711">
        <v>3.7183926243147201</v>
      </c>
      <c r="K1711">
        <v>3.2586662205897698</v>
      </c>
      <c r="L1711">
        <v>3.30357130632065</v>
      </c>
      <c r="M1711">
        <v>3.6481732032496601</v>
      </c>
      <c r="N1711">
        <v>3.6474973548741798</v>
      </c>
      <c r="Q1711">
        <f t="shared" si="130"/>
        <v>3.32</v>
      </c>
      <c r="R1711">
        <f t="shared" si="132"/>
        <v>3.8286927629536858</v>
      </c>
      <c r="S1711">
        <f t="shared" si="133"/>
        <v>-0.50869276295368593</v>
      </c>
      <c r="T1711">
        <f t="shared" si="134"/>
        <v>0.25876832708145492</v>
      </c>
    </row>
    <row r="1712" spans="1:20" hidden="1" x14ac:dyDescent="0.25">
      <c r="A1712" t="str">
        <f t="shared" si="131"/>
        <v>RIP</v>
      </c>
      <c r="B1712" t="s">
        <v>1718</v>
      </c>
      <c r="C1712">
        <v>1.034247439</v>
      </c>
      <c r="D1712">
        <v>0.28467356300000002</v>
      </c>
      <c r="E1712">
        <v>0.62984985299999996</v>
      </c>
      <c r="F1712">
        <v>0.43206698599999999</v>
      </c>
      <c r="G1712">
        <v>0.81399043100000001</v>
      </c>
      <c r="H1712">
        <v>3.13</v>
      </c>
      <c r="I1712">
        <v>3.24182865296889</v>
      </c>
      <c r="J1712">
        <v>3.1597957151320002</v>
      </c>
      <c r="K1712">
        <v>3.5199432652068698</v>
      </c>
      <c r="L1712">
        <v>3.46686319855581</v>
      </c>
      <c r="M1712">
        <v>3.20081218405045</v>
      </c>
      <c r="N1712">
        <v>3.2005493726614</v>
      </c>
      <c r="Q1712">
        <f t="shared" si="130"/>
        <v>3.13</v>
      </c>
      <c r="R1712">
        <f t="shared" si="132"/>
        <v>3.2280333758830784</v>
      </c>
      <c r="S1712">
        <f t="shared" si="133"/>
        <v>-9.8033375883078477E-2</v>
      </c>
      <c r="T1712">
        <f t="shared" si="134"/>
        <v>9.6105427870329524E-3</v>
      </c>
    </row>
    <row r="1713" spans="1:20" hidden="1" x14ac:dyDescent="0.25">
      <c r="A1713" t="str">
        <f t="shared" si="131"/>
        <v>RIP</v>
      </c>
      <c r="B1713" t="s">
        <v>1719</v>
      </c>
      <c r="C1713">
        <v>0.75565448999999996</v>
      </c>
      <c r="D1713">
        <v>0.26420963800000002</v>
      </c>
      <c r="E1713">
        <v>0.62267006999999996</v>
      </c>
      <c r="F1713">
        <v>0.34885914699999998</v>
      </c>
      <c r="G1713">
        <v>0.80255122499999998</v>
      </c>
      <c r="H1713">
        <v>3.82</v>
      </c>
      <c r="I1713">
        <v>2.96629485647341</v>
      </c>
      <c r="J1713">
        <v>2.7976304319829199</v>
      </c>
      <c r="K1713">
        <v>3.6135537171190699</v>
      </c>
      <c r="L1713">
        <v>3.32073982112037</v>
      </c>
      <c r="M1713">
        <v>2.8819626442281701</v>
      </c>
      <c r="N1713">
        <v>2.8807285121483499</v>
      </c>
      <c r="Q1713">
        <f t="shared" si="130"/>
        <v>3.82</v>
      </c>
      <c r="R1713">
        <f t="shared" si="132"/>
        <v>2.8486116808705959</v>
      </c>
      <c r="S1713">
        <f t="shared" si="133"/>
        <v>0.97138831912940393</v>
      </c>
      <c r="T1713">
        <f t="shared" si="134"/>
        <v>0.94359526654104875</v>
      </c>
    </row>
    <row r="1714" spans="1:20" hidden="1" x14ac:dyDescent="0.25">
      <c r="A1714" t="str">
        <f t="shared" si="131"/>
        <v>RIP</v>
      </c>
      <c r="B1714" t="s">
        <v>1720</v>
      </c>
      <c r="C1714">
        <v>0.86329018800000001</v>
      </c>
      <c r="D1714">
        <v>0.266904578</v>
      </c>
      <c r="E1714">
        <v>0.62052724000000004</v>
      </c>
      <c r="F1714">
        <v>0.36934272499999998</v>
      </c>
      <c r="G1714">
        <v>0.79926761999999996</v>
      </c>
      <c r="H1714">
        <v>3.6</v>
      </c>
      <c r="I1714">
        <v>2.9395829627855901</v>
      </c>
      <c r="J1714">
        <v>2.7963473621801</v>
      </c>
      <c r="K1714">
        <v>3.6335150940468601</v>
      </c>
      <c r="L1714">
        <v>3.4711139337402201</v>
      </c>
      <c r="M1714">
        <v>2.8679651624828399</v>
      </c>
      <c r="N1714">
        <v>2.86707081598886</v>
      </c>
      <c r="Q1714">
        <f t="shared" si="130"/>
        <v>3.6</v>
      </c>
      <c r="R1714">
        <f t="shared" si="132"/>
        <v>2.8402094305946806</v>
      </c>
      <c r="S1714">
        <f t="shared" si="133"/>
        <v>0.75979056940531953</v>
      </c>
      <c r="T1714">
        <f t="shared" si="134"/>
        <v>0.57728170935725964</v>
      </c>
    </row>
    <row r="1715" spans="1:20" hidden="1" x14ac:dyDescent="0.25">
      <c r="A1715" t="str">
        <f t="shared" si="131"/>
        <v>RIP</v>
      </c>
      <c r="B1715" t="s">
        <v>1721</v>
      </c>
      <c r="C1715">
        <v>0.87378467900000001</v>
      </c>
      <c r="D1715">
        <v>0.27287788899999998</v>
      </c>
      <c r="E1715">
        <v>0.61189931600000003</v>
      </c>
      <c r="F1715">
        <v>0.38515434199999998</v>
      </c>
      <c r="G1715">
        <v>0.795443444</v>
      </c>
      <c r="H1715">
        <v>3.5</v>
      </c>
      <c r="I1715">
        <v>3.1024189075952799</v>
      </c>
      <c r="J1715">
        <v>2.89220058326692</v>
      </c>
      <c r="K1715">
        <v>3.6273653191189501</v>
      </c>
      <c r="L1715">
        <v>3.4381056382523898</v>
      </c>
      <c r="M1715">
        <v>2.9973097454311</v>
      </c>
      <c r="N1715">
        <v>2.9954662031285602</v>
      </c>
      <c r="Q1715">
        <f t="shared" si="130"/>
        <v>3.5</v>
      </c>
      <c r="R1715">
        <f t="shared" si="132"/>
        <v>2.9497764412736887</v>
      </c>
      <c r="S1715">
        <f t="shared" si="133"/>
        <v>0.55022355872631135</v>
      </c>
      <c r="T1715">
        <f t="shared" si="134"/>
        <v>0.30274596457744657</v>
      </c>
    </row>
    <row r="1716" spans="1:20" hidden="1" x14ac:dyDescent="0.25">
      <c r="A1716" t="str">
        <f t="shared" si="131"/>
        <v>RIP</v>
      </c>
      <c r="B1716" t="s">
        <v>1722</v>
      </c>
      <c r="C1716">
        <v>0.60221949900000005</v>
      </c>
      <c r="D1716">
        <v>0.29805473100000002</v>
      </c>
      <c r="E1716">
        <v>0.61073512600000002</v>
      </c>
      <c r="F1716">
        <v>0.32683031899999998</v>
      </c>
      <c r="G1716">
        <v>0.81514212100000005</v>
      </c>
      <c r="H1716">
        <v>3.28</v>
      </c>
      <c r="I1716">
        <v>3.5786307985368002</v>
      </c>
      <c r="J1716">
        <v>3.2935921701679498</v>
      </c>
      <c r="K1716">
        <v>3.86606842777802</v>
      </c>
      <c r="L1716">
        <v>3.5119584233017802</v>
      </c>
      <c r="M1716">
        <v>3.4361114843523799</v>
      </c>
      <c r="N1716">
        <v>3.4331545811370998</v>
      </c>
      <c r="Q1716">
        <f t="shared" si="130"/>
        <v>3.28</v>
      </c>
      <c r="R1716">
        <f t="shared" si="132"/>
        <v>3.3995634960515995</v>
      </c>
      <c r="S1716">
        <f t="shared" si="133"/>
        <v>-0.11956349605159966</v>
      </c>
      <c r="T1716">
        <f t="shared" si="134"/>
        <v>1.4295429588080888E-2</v>
      </c>
    </row>
    <row r="1717" spans="1:20" hidden="1" x14ac:dyDescent="0.25">
      <c r="A1717" t="str">
        <f t="shared" si="131"/>
        <v>RIP</v>
      </c>
      <c r="B1717" t="s">
        <v>1723</v>
      </c>
      <c r="C1717">
        <v>0.82178090999999998</v>
      </c>
      <c r="D1717">
        <v>0.25602973800000001</v>
      </c>
      <c r="E1717">
        <v>0.62105728100000002</v>
      </c>
      <c r="F1717">
        <v>0.37527673299999997</v>
      </c>
      <c r="G1717">
        <v>0.79838388599999999</v>
      </c>
      <c r="H1717">
        <v>3.77</v>
      </c>
      <c r="I1717">
        <v>2.8791476339393798</v>
      </c>
      <c r="J1717">
        <v>2.6935549648141901</v>
      </c>
      <c r="K1717">
        <v>3.6787280929545099</v>
      </c>
      <c r="L1717">
        <v>3.5657952823638901</v>
      </c>
      <c r="M1717">
        <v>2.7863512993767801</v>
      </c>
      <c r="N1717">
        <v>2.7848056312479801</v>
      </c>
      <c r="Q1717">
        <f t="shared" si="130"/>
        <v>3.77</v>
      </c>
      <c r="R1717">
        <f t="shared" si="132"/>
        <v>2.7343104330983126</v>
      </c>
      <c r="S1717">
        <f t="shared" si="133"/>
        <v>1.0356895669016875</v>
      </c>
      <c r="T1717">
        <f t="shared" si="134"/>
        <v>1.0726528789890049</v>
      </c>
    </row>
    <row r="1718" spans="1:20" hidden="1" x14ac:dyDescent="0.25">
      <c r="A1718" t="str">
        <f t="shared" si="131"/>
        <v>RIP</v>
      </c>
      <c r="B1718" t="s">
        <v>1724</v>
      </c>
      <c r="C1718">
        <v>1.1047653959999999</v>
      </c>
      <c r="D1718">
        <v>0.25440539699999998</v>
      </c>
      <c r="E1718">
        <v>0.61353345299999995</v>
      </c>
      <c r="F1718">
        <v>0.42571241300000001</v>
      </c>
      <c r="G1718">
        <v>0.78597550299999996</v>
      </c>
      <c r="H1718">
        <v>3.8</v>
      </c>
      <c r="I1718">
        <v>2.6655855389569698</v>
      </c>
      <c r="J1718">
        <v>2.53677036250689</v>
      </c>
      <c r="K1718">
        <v>3.48397830144618</v>
      </c>
      <c r="L1718">
        <v>3.4755440770182799</v>
      </c>
      <c r="M1718">
        <v>2.6011779507319299</v>
      </c>
      <c r="N1718">
        <v>2.6003804325430901</v>
      </c>
      <c r="Q1718">
        <f t="shared" si="130"/>
        <v>3.8</v>
      </c>
      <c r="R1718">
        <f t="shared" si="132"/>
        <v>2.5442914841491344</v>
      </c>
      <c r="S1718">
        <f t="shared" si="133"/>
        <v>1.2557085158508654</v>
      </c>
      <c r="T1718">
        <f t="shared" si="134"/>
        <v>1.5768038767803831</v>
      </c>
    </row>
    <row r="1719" spans="1:20" hidden="1" x14ac:dyDescent="0.25">
      <c r="A1719" t="str">
        <f t="shared" si="131"/>
        <v>RIP</v>
      </c>
      <c r="B1719" t="s">
        <v>1725</v>
      </c>
      <c r="C1719">
        <v>1.0825928069999999</v>
      </c>
      <c r="D1719">
        <v>0.26554230200000001</v>
      </c>
      <c r="E1719">
        <v>0.61238052600000004</v>
      </c>
      <c r="F1719">
        <v>0.39222954500000001</v>
      </c>
      <c r="G1719">
        <v>0.78737814500000003</v>
      </c>
      <c r="H1719">
        <v>3.58</v>
      </c>
      <c r="I1719">
        <v>2.6705386595601901</v>
      </c>
      <c r="J1719">
        <v>2.6031975594047498</v>
      </c>
      <c r="K1719">
        <v>3.2205619609756901</v>
      </c>
      <c r="L1719">
        <v>3.1343953049826099</v>
      </c>
      <c r="M1719">
        <v>2.63686810948247</v>
      </c>
      <c r="N1719">
        <v>2.6366531286582102</v>
      </c>
      <c r="Q1719">
        <f t="shared" si="130"/>
        <v>3.58</v>
      </c>
      <c r="R1719">
        <f t="shared" si="132"/>
        <v>2.6111655925730046</v>
      </c>
      <c r="S1719">
        <f t="shared" si="133"/>
        <v>0.96883440742699545</v>
      </c>
      <c r="T1719">
        <f t="shared" si="134"/>
        <v>0.93864010901441741</v>
      </c>
    </row>
    <row r="1720" spans="1:20" hidden="1" x14ac:dyDescent="0.25">
      <c r="A1720" t="str">
        <f t="shared" si="131"/>
        <v>RIP</v>
      </c>
      <c r="B1720" t="s">
        <v>1726</v>
      </c>
      <c r="C1720">
        <v>1.1254307649999999</v>
      </c>
      <c r="D1720">
        <v>0.280255753</v>
      </c>
      <c r="E1720">
        <v>0.63994293599999996</v>
      </c>
      <c r="F1720">
        <v>0.47247846500000001</v>
      </c>
      <c r="G1720">
        <v>0.82564865499999995</v>
      </c>
      <c r="H1720">
        <v>3.8</v>
      </c>
      <c r="I1720">
        <v>3.20954105732622</v>
      </c>
      <c r="J1720">
        <v>3.2024946582980198</v>
      </c>
      <c r="K1720">
        <v>3.5071600149611299</v>
      </c>
      <c r="L1720">
        <v>3.5486809908276999</v>
      </c>
      <c r="M1720">
        <v>3.2060178578121201</v>
      </c>
      <c r="N1720">
        <v>3.20601592193105</v>
      </c>
      <c r="Q1720">
        <f t="shared" si="130"/>
        <v>3.8</v>
      </c>
      <c r="R1720">
        <f t="shared" si="132"/>
        <v>3.2728475386494047</v>
      </c>
      <c r="S1720">
        <f t="shared" si="133"/>
        <v>0.52715246135059513</v>
      </c>
      <c r="T1720">
        <f t="shared" si="134"/>
        <v>0.27788971750799069</v>
      </c>
    </row>
    <row r="1721" spans="1:20" hidden="1" x14ac:dyDescent="0.25">
      <c r="A1721" t="str">
        <f t="shared" si="131"/>
        <v>RIP</v>
      </c>
      <c r="B1721" t="s">
        <v>1727</v>
      </c>
      <c r="C1721">
        <v>1.051161392</v>
      </c>
      <c r="D1721">
        <v>0.27941512200000002</v>
      </c>
      <c r="E1721">
        <v>0.65262670499999997</v>
      </c>
      <c r="F1721">
        <v>0.43791529200000001</v>
      </c>
      <c r="G1721">
        <v>0.84040277600000002</v>
      </c>
      <c r="H1721">
        <v>3.58</v>
      </c>
      <c r="I1721">
        <v>3.1086008186260599</v>
      </c>
      <c r="J1721">
        <v>3.1986297988810501</v>
      </c>
      <c r="K1721">
        <v>3.5552404246277498</v>
      </c>
      <c r="L1721">
        <v>3.5609800220602001</v>
      </c>
      <c r="M1721">
        <v>3.1536153087535501</v>
      </c>
      <c r="N1721">
        <v>3.1532940255046502</v>
      </c>
      <c r="Q1721">
        <f t="shared" si="130"/>
        <v>3.58</v>
      </c>
      <c r="R1721">
        <f t="shared" si="132"/>
        <v>3.2647144880908607</v>
      </c>
      <c r="S1721">
        <f t="shared" si="133"/>
        <v>0.31528551190913934</v>
      </c>
      <c r="T1721">
        <f t="shared" si="134"/>
        <v>9.9404954019808048E-2</v>
      </c>
    </row>
    <row r="1722" spans="1:20" hidden="1" x14ac:dyDescent="0.25">
      <c r="A1722" t="str">
        <f t="shared" si="131"/>
        <v>RIP</v>
      </c>
      <c r="B1722" t="s">
        <v>1728</v>
      </c>
      <c r="C1722">
        <v>1.2606627349999999</v>
      </c>
      <c r="D1722">
        <v>0.269674315</v>
      </c>
      <c r="E1722">
        <v>0.58978916000000003</v>
      </c>
      <c r="F1722">
        <v>0.472756018</v>
      </c>
      <c r="G1722">
        <v>0.76937484</v>
      </c>
      <c r="H1722">
        <v>4.1399999999999997</v>
      </c>
      <c r="I1722">
        <v>2.9301082010553499</v>
      </c>
      <c r="J1722">
        <v>2.6773459009884601</v>
      </c>
      <c r="K1722">
        <v>3.23091440850291</v>
      </c>
      <c r="L1722">
        <v>3.30992603688258</v>
      </c>
      <c r="M1722">
        <v>2.8037270510219101</v>
      </c>
      <c r="N1722">
        <v>2.8008772164356301</v>
      </c>
      <c r="Q1722">
        <f t="shared" si="130"/>
        <v>4.1399999999999997</v>
      </c>
      <c r="R1722">
        <f t="shared" si="132"/>
        <v>2.6986087493927267</v>
      </c>
      <c r="S1722">
        <f t="shared" si="133"/>
        <v>1.441391250607273</v>
      </c>
      <c r="T1722">
        <f t="shared" si="134"/>
        <v>2.0776087373271985</v>
      </c>
    </row>
    <row r="1723" spans="1:20" hidden="1" x14ac:dyDescent="0.25">
      <c r="A1723" t="str">
        <f t="shared" si="131"/>
        <v>RIP</v>
      </c>
      <c r="B1723" t="s">
        <v>1729</v>
      </c>
      <c r="C1723">
        <v>1.2771694469999999</v>
      </c>
      <c r="D1723">
        <v>0.25610816800000002</v>
      </c>
      <c r="E1723">
        <v>0.61808295000000002</v>
      </c>
      <c r="F1723">
        <v>0.46504220600000001</v>
      </c>
      <c r="G1723">
        <v>0.782559954</v>
      </c>
      <c r="H1723">
        <v>4.6100000000000003</v>
      </c>
      <c r="I1723">
        <v>2.6359586732487199</v>
      </c>
      <c r="J1723">
        <v>2.55595748159404</v>
      </c>
      <c r="K1723">
        <v>3.0464573002431901</v>
      </c>
      <c r="L1723">
        <v>3.0657825609535201</v>
      </c>
      <c r="M1723">
        <v>2.59595807742138</v>
      </c>
      <c r="N1723">
        <v>2.59564987855889</v>
      </c>
      <c r="Q1723">
        <f t="shared" si="130"/>
        <v>4.6100000000000003</v>
      </c>
      <c r="R1723">
        <f t="shared" si="132"/>
        <v>2.5541269065188845</v>
      </c>
      <c r="S1723">
        <f t="shared" si="133"/>
        <v>2.0558730934811158</v>
      </c>
      <c r="T1723">
        <f t="shared" si="134"/>
        <v>4.2266141764996128</v>
      </c>
    </row>
    <row r="1724" spans="1:20" hidden="1" x14ac:dyDescent="0.25">
      <c r="A1724" t="str">
        <f t="shared" si="131"/>
        <v>RIP</v>
      </c>
      <c r="B1724" t="s">
        <v>1730</v>
      </c>
      <c r="C1724">
        <v>1.2751706359999999</v>
      </c>
      <c r="D1724">
        <v>0.26838700900000001</v>
      </c>
      <c r="E1724">
        <v>0.59479784899999999</v>
      </c>
      <c r="F1724">
        <v>0.48713873000000002</v>
      </c>
      <c r="G1724">
        <v>0.766631638</v>
      </c>
      <c r="H1724">
        <v>4.1100000000000003</v>
      </c>
      <c r="I1724">
        <v>3.0000510352810599</v>
      </c>
      <c r="J1724">
        <v>2.7202978992701099</v>
      </c>
      <c r="K1724">
        <v>3.23052770256233</v>
      </c>
      <c r="L1724">
        <v>3.2876242716193</v>
      </c>
      <c r="M1724">
        <v>2.8601744672755798</v>
      </c>
      <c r="N1724">
        <v>2.8567520944209002</v>
      </c>
      <c r="Q1724">
        <f t="shared" si="130"/>
        <v>4.1100000000000003</v>
      </c>
      <c r="R1724">
        <f t="shared" si="132"/>
        <v>2.7464154620594261</v>
      </c>
      <c r="S1724">
        <f t="shared" si="133"/>
        <v>1.3635845379405742</v>
      </c>
      <c r="T1724">
        <f t="shared" si="134"/>
        <v>1.8593627921106093</v>
      </c>
    </row>
    <row r="1725" spans="1:20" hidden="1" x14ac:dyDescent="0.25">
      <c r="A1725" t="str">
        <f t="shared" si="131"/>
        <v>RIP</v>
      </c>
      <c r="B1725" t="s">
        <v>1731</v>
      </c>
      <c r="C1725">
        <v>1.2022302469999999</v>
      </c>
      <c r="D1725">
        <v>0.26923956199999999</v>
      </c>
      <c r="E1725">
        <v>0.61470614599999995</v>
      </c>
      <c r="F1725">
        <v>0.46819685599999999</v>
      </c>
      <c r="G1725">
        <v>0.789299945</v>
      </c>
      <c r="H1725">
        <v>3.98</v>
      </c>
      <c r="I1725">
        <v>2.97505963823822</v>
      </c>
      <c r="J1725">
        <v>2.8284545242799801</v>
      </c>
      <c r="K1725">
        <v>3.3115873893695902</v>
      </c>
      <c r="L1725">
        <v>3.3502283116396399</v>
      </c>
      <c r="M1725">
        <v>2.9017570812590998</v>
      </c>
      <c r="N1725">
        <v>2.9008310695002</v>
      </c>
      <c r="Q1725">
        <f t="shared" si="130"/>
        <v>3.98</v>
      </c>
      <c r="R1725">
        <f t="shared" si="132"/>
        <v>2.8626688492251575</v>
      </c>
      <c r="S1725">
        <f t="shared" si="133"/>
        <v>1.1173311507748425</v>
      </c>
      <c r="T1725">
        <f t="shared" si="134"/>
        <v>1.2484289004918336</v>
      </c>
    </row>
    <row r="1726" spans="1:20" hidden="1" x14ac:dyDescent="0.25">
      <c r="A1726" t="str">
        <f t="shared" si="131"/>
        <v>RIP</v>
      </c>
      <c r="B1726" t="s">
        <v>1732</v>
      </c>
      <c r="C1726">
        <v>1.2844763260000001</v>
      </c>
      <c r="D1726">
        <v>0.26843266599999999</v>
      </c>
      <c r="E1726">
        <v>0.62121357300000002</v>
      </c>
      <c r="F1726">
        <v>0.49042393200000001</v>
      </c>
      <c r="G1726">
        <v>0.79856447600000002</v>
      </c>
      <c r="H1726">
        <v>3.89</v>
      </c>
      <c r="I1726">
        <v>2.9225171177169198</v>
      </c>
      <c r="J1726">
        <v>2.8459801940058602</v>
      </c>
      <c r="K1726">
        <v>3.3442485284127499</v>
      </c>
      <c r="L1726">
        <v>3.47291184324187</v>
      </c>
      <c r="M1726">
        <v>2.88424865586139</v>
      </c>
      <c r="N1726">
        <v>2.88399477004821</v>
      </c>
      <c r="Q1726">
        <f t="shared" si="130"/>
        <v>3.89</v>
      </c>
      <c r="R1726">
        <f t="shared" si="132"/>
        <v>2.876203306851846</v>
      </c>
      <c r="S1726">
        <f t="shared" si="133"/>
        <v>1.0137966931481541</v>
      </c>
      <c r="T1726">
        <f t="shared" si="134"/>
        <v>1.0277837350381325</v>
      </c>
    </row>
    <row r="1727" spans="1:20" hidden="1" x14ac:dyDescent="0.25">
      <c r="A1727" t="str">
        <f t="shared" si="131"/>
        <v>RIP</v>
      </c>
      <c r="B1727" t="s">
        <v>1733</v>
      </c>
      <c r="C1727">
        <v>1.2772198800000001</v>
      </c>
      <c r="D1727">
        <v>0.27788225599999999</v>
      </c>
      <c r="E1727">
        <v>0.64529258</v>
      </c>
      <c r="F1727">
        <v>0.50355342999999997</v>
      </c>
      <c r="G1727">
        <v>0.82577029599999996</v>
      </c>
      <c r="H1727">
        <v>3.57</v>
      </c>
      <c r="I1727">
        <v>3.0876598233538601</v>
      </c>
      <c r="J1727">
        <v>3.1556317203579001</v>
      </c>
      <c r="K1727">
        <v>3.2750070016755499</v>
      </c>
      <c r="L1727">
        <v>3.3467224035276302</v>
      </c>
      <c r="M1727">
        <v>3.1216457718558801</v>
      </c>
      <c r="N1727">
        <v>3.12146076064559</v>
      </c>
      <c r="Q1727">
        <f t="shared" si="130"/>
        <v>3.57</v>
      </c>
      <c r="R1727">
        <f t="shared" si="132"/>
        <v>3.2107482843740058</v>
      </c>
      <c r="S1727">
        <f t="shared" si="133"/>
        <v>0.35925171562599401</v>
      </c>
      <c r="T1727">
        <f t="shared" si="134"/>
        <v>0.12906179518022007</v>
      </c>
    </row>
    <row r="1728" spans="1:20" hidden="1" x14ac:dyDescent="0.25">
      <c r="A1728" t="str">
        <f t="shared" si="131"/>
        <v>RIP</v>
      </c>
      <c r="B1728" t="s">
        <v>1734</v>
      </c>
      <c r="C1728">
        <v>1.3128328199999999</v>
      </c>
      <c r="D1728">
        <v>0.27411763500000003</v>
      </c>
      <c r="E1728">
        <v>0.65070553399999997</v>
      </c>
      <c r="F1728">
        <v>0.50950053200000001</v>
      </c>
      <c r="G1728">
        <v>0.831596063</v>
      </c>
      <c r="H1728">
        <v>4.07</v>
      </c>
      <c r="I1728">
        <v>2.9879445440382901</v>
      </c>
      <c r="J1728">
        <v>3.1112189357324098</v>
      </c>
      <c r="K1728">
        <v>3.0886882298564702</v>
      </c>
      <c r="L1728">
        <v>3.13743083977494</v>
      </c>
      <c r="M1728">
        <v>3.0495817398853502</v>
      </c>
      <c r="N1728">
        <v>3.0489587803593299</v>
      </c>
      <c r="Q1728">
        <f t="shared" si="130"/>
        <v>4.07</v>
      </c>
      <c r="R1728">
        <f t="shared" si="132"/>
        <v>3.1587565533335908</v>
      </c>
      <c r="S1728">
        <f t="shared" si="133"/>
        <v>0.91124344666640944</v>
      </c>
      <c r="T1728">
        <f t="shared" si="134"/>
        <v>0.83036461909247739</v>
      </c>
    </row>
    <row r="1729" spans="1:20" hidden="1" x14ac:dyDescent="0.25">
      <c r="A1729" t="str">
        <f t="shared" si="131"/>
        <v>RIP</v>
      </c>
      <c r="B1729" t="s">
        <v>1735</v>
      </c>
      <c r="C1729">
        <v>1.473587532</v>
      </c>
      <c r="D1729">
        <v>0.28134225800000001</v>
      </c>
      <c r="E1729">
        <v>0.61844801299999996</v>
      </c>
      <c r="F1729">
        <v>0.51744793</v>
      </c>
      <c r="G1729">
        <v>0.81122452199999995</v>
      </c>
      <c r="H1729">
        <v>4.45</v>
      </c>
      <c r="I1729">
        <v>2.8770774491097901</v>
      </c>
      <c r="J1729">
        <v>2.9310720972380699</v>
      </c>
      <c r="K1729">
        <v>2.8872217574218002</v>
      </c>
      <c r="L1729">
        <v>2.9456966119603099</v>
      </c>
      <c r="M1729">
        <v>2.9040747731739298</v>
      </c>
      <c r="N1729">
        <v>2.9039492820430901</v>
      </c>
      <c r="Q1729">
        <f t="shared" ref="Q1729:Q1792" si="135">H1729</f>
        <v>4.45</v>
      </c>
      <c r="R1729">
        <f t="shared" si="132"/>
        <v>2.9523627532970593</v>
      </c>
      <c r="S1729">
        <f t="shared" si="133"/>
        <v>1.4976372467029408</v>
      </c>
      <c r="T1729">
        <f t="shared" si="134"/>
        <v>2.2429173227119654</v>
      </c>
    </row>
    <row r="1730" spans="1:20" hidden="1" x14ac:dyDescent="0.25">
      <c r="A1730" t="str">
        <f t="shared" si="131"/>
        <v>RIP</v>
      </c>
      <c r="B1730" t="s">
        <v>1736</v>
      </c>
      <c r="C1730">
        <v>1.1435214039999999</v>
      </c>
      <c r="D1730">
        <v>0.26808174899999998</v>
      </c>
      <c r="E1730">
        <v>0.63414960300000001</v>
      </c>
      <c r="F1730">
        <v>0.46879603399999997</v>
      </c>
      <c r="G1730">
        <v>0.81442601000000003</v>
      </c>
      <c r="H1730">
        <v>3.6</v>
      </c>
      <c r="I1730">
        <v>3.0070241855736</v>
      </c>
      <c r="J1730">
        <v>2.9620352123057598</v>
      </c>
      <c r="K1730">
        <v>3.4554424450958101</v>
      </c>
      <c r="L1730">
        <v>3.4967000263361299</v>
      </c>
      <c r="M1730">
        <v>2.9845296989396801</v>
      </c>
      <c r="N1730">
        <v>2.9844449269376798</v>
      </c>
      <c r="Q1730">
        <f t="shared" si="135"/>
        <v>3.6</v>
      </c>
      <c r="R1730">
        <f t="shared" si="132"/>
        <v>3.0106329974001738</v>
      </c>
      <c r="S1730">
        <f t="shared" si="133"/>
        <v>0.58936700259982633</v>
      </c>
      <c r="T1730">
        <f t="shared" si="134"/>
        <v>0.34735346375350368</v>
      </c>
    </row>
    <row r="1731" spans="1:20" hidden="1" x14ac:dyDescent="0.25">
      <c r="A1731" t="str">
        <f t="shared" ref="A1731:A1794" si="136">LEFT(B1731,3)</f>
        <v>RIP</v>
      </c>
      <c r="B1731" t="s">
        <v>1737</v>
      </c>
      <c r="C1731">
        <v>1.087073714</v>
      </c>
      <c r="D1731">
        <v>0.25835403699999998</v>
      </c>
      <c r="E1731">
        <v>0.62516821099999997</v>
      </c>
      <c r="F1731">
        <v>0.45353893699999998</v>
      </c>
      <c r="G1731">
        <v>0.80249106599999998</v>
      </c>
      <c r="H1731">
        <v>3.28</v>
      </c>
      <c r="I1731">
        <v>2.8945533984066198</v>
      </c>
      <c r="J1731">
        <v>2.7708316560743298</v>
      </c>
      <c r="K1731">
        <v>3.6082647500171698</v>
      </c>
      <c r="L1731">
        <v>3.64876944568634</v>
      </c>
      <c r="M1731">
        <v>2.8326925272404799</v>
      </c>
      <c r="N1731">
        <v>2.8320169820293501</v>
      </c>
      <c r="Q1731">
        <f t="shared" si="135"/>
        <v>3.28</v>
      </c>
      <c r="R1731">
        <f t="shared" ref="R1731:R1794" si="137">$X$2*F1731+$X$3*D1731*E1731+($X$4/(D1731-$X$5))-$X$6*C1731</f>
        <v>2.8070882776366952</v>
      </c>
      <c r="S1731">
        <f t="shared" ref="S1731:S1794" si="138">Q1731-R1731</f>
        <v>0.47291172236330459</v>
      </c>
      <c r="T1731">
        <f t="shared" ref="T1731:T1794" si="139">S1731^2</f>
        <v>0.22364549714862728</v>
      </c>
    </row>
    <row r="1732" spans="1:20" hidden="1" x14ac:dyDescent="0.25">
      <c r="A1732" t="str">
        <f t="shared" si="136"/>
        <v>RIP</v>
      </c>
      <c r="B1732" t="s">
        <v>1738</v>
      </c>
      <c r="C1732">
        <v>1.2037391</v>
      </c>
      <c r="D1732">
        <v>0.27130379500000001</v>
      </c>
      <c r="E1732">
        <v>0.61741978200000003</v>
      </c>
      <c r="F1732">
        <v>0.49705804999999997</v>
      </c>
      <c r="G1732">
        <v>0.79565693000000004</v>
      </c>
      <c r="H1732">
        <v>3.39</v>
      </c>
      <c r="I1732">
        <v>3.1598490205955199</v>
      </c>
      <c r="J1732">
        <v>2.9760856656143502</v>
      </c>
      <c r="K1732">
        <v>3.5215366078415702</v>
      </c>
      <c r="L1732">
        <v>3.6081566787308499</v>
      </c>
      <c r="M1732">
        <v>3.0679673431049399</v>
      </c>
      <c r="N1732">
        <v>3.0665911653984601</v>
      </c>
      <c r="Q1732">
        <f t="shared" si="135"/>
        <v>3.39</v>
      </c>
      <c r="R1732">
        <f t="shared" si="137"/>
        <v>3.0307073098878865</v>
      </c>
      <c r="S1732">
        <f t="shared" si="138"/>
        <v>0.35929269011211362</v>
      </c>
      <c r="T1732">
        <f t="shared" si="139"/>
        <v>0.12909123716799931</v>
      </c>
    </row>
    <row r="1733" spans="1:20" hidden="1" x14ac:dyDescent="0.25">
      <c r="A1733" t="str">
        <f t="shared" si="136"/>
        <v>RIP</v>
      </c>
      <c r="B1733" t="s">
        <v>1739</v>
      </c>
      <c r="C1733">
        <v>1.084385486</v>
      </c>
      <c r="D1733">
        <v>0.27172211200000002</v>
      </c>
      <c r="E1733">
        <v>0.62482181999999997</v>
      </c>
      <c r="F1733">
        <v>0.45491030100000002</v>
      </c>
      <c r="G1733">
        <v>0.804114879</v>
      </c>
      <c r="H1733">
        <v>3.69</v>
      </c>
      <c r="I1733">
        <v>3.1114133142103499</v>
      </c>
      <c r="J1733">
        <v>2.98148250500555</v>
      </c>
      <c r="K1733">
        <v>3.35270958688736</v>
      </c>
      <c r="L1733">
        <v>3.3368508110783499</v>
      </c>
      <c r="M1733">
        <v>3.04644790960795</v>
      </c>
      <c r="N1733">
        <v>3.0457551382472499</v>
      </c>
      <c r="Q1733">
        <f t="shared" si="135"/>
        <v>3.69</v>
      </c>
      <c r="R1733">
        <f t="shared" si="137"/>
        <v>3.0374160976493552</v>
      </c>
      <c r="S1733">
        <f t="shared" si="138"/>
        <v>0.65258390235064478</v>
      </c>
      <c r="T1733">
        <f t="shared" si="139"/>
        <v>0.42586574960719586</v>
      </c>
    </row>
    <row r="1734" spans="1:20" hidden="1" x14ac:dyDescent="0.25">
      <c r="A1734" t="str">
        <f t="shared" si="136"/>
        <v>RIP</v>
      </c>
      <c r="B1734" t="s">
        <v>1740</v>
      </c>
      <c r="C1734">
        <v>1.229796857</v>
      </c>
      <c r="D1734">
        <v>0.27691289899999999</v>
      </c>
      <c r="E1734">
        <v>0.60987777099999996</v>
      </c>
      <c r="F1734">
        <v>0.496741551</v>
      </c>
      <c r="G1734">
        <v>0.79270927499999999</v>
      </c>
      <c r="H1734">
        <v>4.16</v>
      </c>
      <c r="I1734">
        <v>3.1977765290241398</v>
      </c>
      <c r="J1734">
        <v>2.9945479977489802</v>
      </c>
      <c r="K1734">
        <v>3.3179936322226902</v>
      </c>
      <c r="L1734">
        <v>3.3672119914365402</v>
      </c>
      <c r="M1734">
        <v>3.0961622633865602</v>
      </c>
      <c r="N1734">
        <v>3.0944943532405902</v>
      </c>
      <c r="Q1734">
        <f t="shared" si="135"/>
        <v>4.16</v>
      </c>
      <c r="R1734">
        <f t="shared" si="137"/>
        <v>3.0489361728772084</v>
      </c>
      <c r="S1734">
        <f t="shared" si="138"/>
        <v>1.1110638271227917</v>
      </c>
      <c r="T1734">
        <f t="shared" si="139"/>
        <v>1.2344628279407448</v>
      </c>
    </row>
    <row r="1735" spans="1:20" hidden="1" x14ac:dyDescent="0.25">
      <c r="A1735" t="str">
        <f t="shared" si="136"/>
        <v>RIP</v>
      </c>
      <c r="B1735" t="s">
        <v>1741</v>
      </c>
      <c r="C1735">
        <v>1.1512962689999999</v>
      </c>
      <c r="D1735">
        <v>0.28908235500000001</v>
      </c>
      <c r="E1735">
        <v>0.60743751599999996</v>
      </c>
      <c r="F1735">
        <v>0.47277238999999999</v>
      </c>
      <c r="G1735">
        <v>0.80261058900000004</v>
      </c>
      <c r="H1735">
        <v>3.91</v>
      </c>
      <c r="I1735">
        <v>3.3353558096443998</v>
      </c>
      <c r="J1735">
        <v>3.1427978833991799</v>
      </c>
      <c r="K1735">
        <v>3.5145329904164502</v>
      </c>
      <c r="L1735">
        <v>3.5671205148353602</v>
      </c>
      <c r="M1735">
        <v>3.2390768465217898</v>
      </c>
      <c r="N1735">
        <v>3.2376456228150698</v>
      </c>
      <c r="Q1735">
        <f t="shared" si="135"/>
        <v>3.91</v>
      </c>
      <c r="R1735">
        <f t="shared" si="137"/>
        <v>3.2118647328045187</v>
      </c>
      <c r="S1735">
        <f t="shared" si="138"/>
        <v>0.69813526719548147</v>
      </c>
      <c r="T1735">
        <f t="shared" si="139"/>
        <v>0.4873928513021063</v>
      </c>
    </row>
    <row r="1736" spans="1:20" hidden="1" x14ac:dyDescent="0.25">
      <c r="A1736" t="str">
        <f t="shared" si="136"/>
        <v>RIP</v>
      </c>
      <c r="B1736" t="s">
        <v>1742</v>
      </c>
      <c r="C1736">
        <v>1.0032685729999999</v>
      </c>
      <c r="D1736">
        <v>0.27675724000000002</v>
      </c>
      <c r="E1736">
        <v>0.63095918399999995</v>
      </c>
      <c r="F1736">
        <v>0.46062891099999997</v>
      </c>
      <c r="G1736">
        <v>0.80558607999999998</v>
      </c>
      <c r="H1736">
        <v>3.35</v>
      </c>
      <c r="I1736">
        <v>3.3824472609912002</v>
      </c>
      <c r="J1736">
        <v>3.18682241137877</v>
      </c>
      <c r="K1736">
        <v>3.85958315623389</v>
      </c>
      <c r="L1736">
        <v>3.9044219808882801</v>
      </c>
      <c r="M1736">
        <v>3.2846348361849902</v>
      </c>
      <c r="N1736">
        <v>3.2831781457352398</v>
      </c>
      <c r="Q1736">
        <f t="shared" si="135"/>
        <v>3.35</v>
      </c>
      <c r="R1736">
        <f t="shared" si="137"/>
        <v>3.2706113332641165</v>
      </c>
      <c r="S1736">
        <f t="shared" si="138"/>
        <v>7.9388666735883628E-2</v>
      </c>
      <c r="T1736">
        <f t="shared" si="139"/>
        <v>6.3025604061011957E-3</v>
      </c>
    </row>
    <row r="1737" spans="1:20" hidden="1" x14ac:dyDescent="0.25">
      <c r="A1737" t="str">
        <f t="shared" si="136"/>
        <v>RIP</v>
      </c>
      <c r="B1737" t="s">
        <v>1743</v>
      </c>
      <c r="C1737">
        <v>1.0672395180000001</v>
      </c>
      <c r="D1737">
        <v>0.288175872</v>
      </c>
      <c r="E1737">
        <v>0.62389825300000001</v>
      </c>
      <c r="F1737">
        <v>0.42076859300000002</v>
      </c>
      <c r="G1737">
        <v>0.80775700500000003</v>
      </c>
      <c r="H1737">
        <v>4.42</v>
      </c>
      <c r="I1737">
        <v>3.1803021450309901</v>
      </c>
      <c r="J1737">
        <v>3.1052709316727198</v>
      </c>
      <c r="K1737">
        <v>3.32235971787465</v>
      </c>
      <c r="L1737">
        <v>3.2223216267748298</v>
      </c>
      <c r="M1737">
        <v>3.1427865383518601</v>
      </c>
      <c r="N1737">
        <v>3.1425626174988399</v>
      </c>
      <c r="Q1737">
        <f t="shared" si="135"/>
        <v>4.42</v>
      </c>
      <c r="R1737">
        <f t="shared" si="137"/>
        <v>3.1621792791993739</v>
      </c>
      <c r="S1737">
        <f t="shared" si="138"/>
        <v>1.257820720800626</v>
      </c>
      <c r="T1737">
        <f t="shared" si="139"/>
        <v>1.5821129656754063</v>
      </c>
    </row>
    <row r="1738" spans="1:20" hidden="1" x14ac:dyDescent="0.25">
      <c r="A1738" t="str">
        <f t="shared" si="136"/>
        <v>RIP</v>
      </c>
      <c r="B1738" t="s">
        <v>1744</v>
      </c>
      <c r="C1738">
        <v>0.87423983800000005</v>
      </c>
      <c r="D1738">
        <v>0.288199117</v>
      </c>
      <c r="E1738">
        <v>0.62492256599999996</v>
      </c>
      <c r="F1738">
        <v>0.44277722600000002</v>
      </c>
      <c r="G1738">
        <v>0.81080547999999997</v>
      </c>
      <c r="H1738">
        <v>3.52</v>
      </c>
      <c r="I1738">
        <v>3.6596617321828999</v>
      </c>
      <c r="J1738">
        <v>3.3845144051081899</v>
      </c>
      <c r="K1738">
        <v>3.7819677720581302</v>
      </c>
      <c r="L1738">
        <v>3.6826274763579701</v>
      </c>
      <c r="M1738">
        <v>3.52208806864554</v>
      </c>
      <c r="N1738">
        <v>3.51940021174009</v>
      </c>
      <c r="Q1738">
        <f t="shared" si="135"/>
        <v>3.52</v>
      </c>
      <c r="R1738">
        <f t="shared" si="137"/>
        <v>3.4963855649596924</v>
      </c>
      <c r="S1738">
        <f t="shared" si="138"/>
        <v>2.361443504030758E-2</v>
      </c>
      <c r="T1738">
        <f t="shared" si="139"/>
        <v>5.5764154227290648E-4</v>
      </c>
    </row>
    <row r="1739" spans="1:20" hidden="1" x14ac:dyDescent="0.25">
      <c r="A1739" t="str">
        <f t="shared" si="136"/>
        <v>RIP</v>
      </c>
      <c r="B1739" t="s">
        <v>1745</v>
      </c>
      <c r="C1739">
        <v>1.0716705040000001</v>
      </c>
      <c r="D1739">
        <v>0.28311999199999999</v>
      </c>
      <c r="E1739">
        <v>0.60987486999999996</v>
      </c>
      <c r="F1739">
        <v>0.45283966399999998</v>
      </c>
      <c r="G1739">
        <v>0.803060836</v>
      </c>
      <c r="H1739">
        <v>3.3</v>
      </c>
      <c r="I1739">
        <v>3.2730514580725099</v>
      </c>
      <c r="J1739">
        <v>3.0790012008031198</v>
      </c>
      <c r="K1739">
        <v>3.5467523888024202</v>
      </c>
      <c r="L1739">
        <v>3.5498469091046898</v>
      </c>
      <c r="M1739">
        <v>3.1760263294378199</v>
      </c>
      <c r="N1739">
        <v>3.17454396247645</v>
      </c>
      <c r="Q1739">
        <f t="shared" si="135"/>
        <v>3.3</v>
      </c>
      <c r="R1739">
        <f t="shared" si="137"/>
        <v>3.1471216805248625</v>
      </c>
      <c r="S1739">
        <f t="shared" si="138"/>
        <v>0.1528783194751373</v>
      </c>
      <c r="T1739">
        <f t="shared" si="139"/>
        <v>2.3371780565542146E-2</v>
      </c>
    </row>
    <row r="1740" spans="1:20" hidden="1" x14ac:dyDescent="0.25">
      <c r="A1740" t="str">
        <f t="shared" si="136"/>
        <v>RIP</v>
      </c>
      <c r="B1740" t="s">
        <v>1746</v>
      </c>
      <c r="C1740">
        <v>0.89769495700000002</v>
      </c>
      <c r="D1740">
        <v>0.29437385399999999</v>
      </c>
      <c r="E1740">
        <v>0.58950508400000001</v>
      </c>
      <c r="F1740">
        <v>0.37964719899999999</v>
      </c>
      <c r="G1740">
        <v>0.78805091999999999</v>
      </c>
      <c r="H1740">
        <v>4.17</v>
      </c>
      <c r="I1740">
        <v>3.3368477507910299</v>
      </c>
      <c r="J1740">
        <v>3.0349664012573299</v>
      </c>
      <c r="K1740">
        <v>3.37726995932527</v>
      </c>
      <c r="L1740">
        <v>3.1189381515287402</v>
      </c>
      <c r="M1740">
        <v>3.1859070760241801</v>
      </c>
      <c r="N1740">
        <v>3.1823294627932301</v>
      </c>
      <c r="Q1740">
        <f t="shared" si="135"/>
        <v>4.17</v>
      </c>
      <c r="R1740">
        <f t="shared" si="137"/>
        <v>3.1032270132308764</v>
      </c>
      <c r="S1740">
        <f t="shared" si="138"/>
        <v>1.0667729867691236</v>
      </c>
      <c r="T1740">
        <f t="shared" si="139"/>
        <v>1.1380046053003168</v>
      </c>
    </row>
    <row r="1741" spans="1:20" hidden="1" x14ac:dyDescent="0.25">
      <c r="A1741" t="str">
        <f t="shared" si="136"/>
        <v>RIP</v>
      </c>
      <c r="B1741" t="s">
        <v>1747</v>
      </c>
      <c r="C1741">
        <v>1.0767266630000001</v>
      </c>
      <c r="D1741">
        <v>0.27750524999999998</v>
      </c>
      <c r="E1741">
        <v>0.61630551099999997</v>
      </c>
      <c r="F1741">
        <v>0.44676655900000001</v>
      </c>
      <c r="G1741">
        <v>0.79437156600000003</v>
      </c>
      <c r="H1741">
        <v>3.87</v>
      </c>
      <c r="I1741">
        <v>3.1916740096452298</v>
      </c>
      <c r="J1741">
        <v>3.00327874376321</v>
      </c>
      <c r="K1741">
        <v>3.4501845432814502</v>
      </c>
      <c r="L1741">
        <v>3.4227251442370399</v>
      </c>
      <c r="M1741">
        <v>3.0974763767042202</v>
      </c>
      <c r="N1741">
        <v>3.0960437190370902</v>
      </c>
      <c r="Q1741">
        <f t="shared" si="135"/>
        <v>3.87</v>
      </c>
      <c r="R1741">
        <f t="shared" si="137"/>
        <v>3.0614150491084988</v>
      </c>
      <c r="S1741">
        <f t="shared" si="138"/>
        <v>0.80858495089150129</v>
      </c>
      <c r="T1741">
        <f t="shared" si="139"/>
        <v>0.65380962280821153</v>
      </c>
    </row>
    <row r="1742" spans="1:20" hidden="1" x14ac:dyDescent="0.25">
      <c r="A1742" t="str">
        <f t="shared" si="136"/>
        <v>RIP</v>
      </c>
      <c r="B1742" t="s">
        <v>1748</v>
      </c>
      <c r="C1742">
        <v>1.0007365349999999</v>
      </c>
      <c r="D1742">
        <v>0.28890751399999998</v>
      </c>
      <c r="E1742">
        <v>0.63256038000000003</v>
      </c>
      <c r="F1742">
        <v>0.41780392900000002</v>
      </c>
      <c r="G1742">
        <v>0.81797758099999995</v>
      </c>
      <c r="H1742">
        <v>4.18</v>
      </c>
      <c r="I1742">
        <v>3.27527159445461</v>
      </c>
      <c r="J1742">
        <v>3.2142385223949699</v>
      </c>
      <c r="K1742">
        <v>3.5909913138846501</v>
      </c>
      <c r="L1742">
        <v>3.51426118969085</v>
      </c>
      <c r="M1742">
        <v>3.24475505842479</v>
      </c>
      <c r="N1742">
        <v>3.2446115530525401</v>
      </c>
      <c r="Q1742">
        <f t="shared" si="135"/>
        <v>4.18</v>
      </c>
      <c r="R1742">
        <f t="shared" si="137"/>
        <v>3.2857039157202932</v>
      </c>
      <c r="S1742">
        <f t="shared" si="138"/>
        <v>0.89429608427970653</v>
      </c>
      <c r="T1742">
        <f t="shared" si="139"/>
        <v>0.79976548635801592</v>
      </c>
    </row>
    <row r="1743" spans="1:20" hidden="1" x14ac:dyDescent="0.25">
      <c r="A1743" t="str">
        <f t="shared" si="136"/>
        <v>RIP</v>
      </c>
      <c r="B1743" t="s">
        <v>1749</v>
      </c>
      <c r="C1743">
        <v>0.859036209</v>
      </c>
      <c r="D1743">
        <v>0.29387099</v>
      </c>
      <c r="E1743">
        <v>0.62406965000000003</v>
      </c>
      <c r="F1743">
        <v>0.41297674699999998</v>
      </c>
      <c r="G1743">
        <v>0.80839536300000003</v>
      </c>
      <c r="H1743">
        <v>4.08</v>
      </c>
      <c r="I1743">
        <v>3.6152963325787599</v>
      </c>
      <c r="J1743">
        <v>3.36456590844963</v>
      </c>
      <c r="K1743">
        <v>3.7401722410138798</v>
      </c>
      <c r="L1743">
        <v>3.5847441675378402</v>
      </c>
      <c r="M1743">
        <v>3.4899311205141998</v>
      </c>
      <c r="N1743">
        <v>3.4876787107670202</v>
      </c>
      <c r="Q1743">
        <f t="shared" si="135"/>
        <v>4.08</v>
      </c>
      <c r="R1743">
        <f t="shared" si="137"/>
        <v>3.4668368176337516</v>
      </c>
      <c r="S1743">
        <f t="shared" si="138"/>
        <v>0.61316318236624845</v>
      </c>
      <c r="T1743">
        <f t="shared" si="139"/>
        <v>0.37596908820950525</v>
      </c>
    </row>
    <row r="1744" spans="1:20" hidden="1" x14ac:dyDescent="0.25">
      <c r="A1744" t="str">
        <f t="shared" si="136"/>
        <v>RIP</v>
      </c>
      <c r="B1744" t="s">
        <v>1750</v>
      </c>
      <c r="C1744">
        <v>1.0430123039999999</v>
      </c>
      <c r="D1744">
        <v>0.278875492</v>
      </c>
      <c r="E1744">
        <v>0.62642089199999995</v>
      </c>
      <c r="F1744">
        <v>0.45119583299999999</v>
      </c>
      <c r="G1744">
        <v>0.80633023100000001</v>
      </c>
      <c r="H1744">
        <v>3.97</v>
      </c>
      <c r="I1744">
        <v>3.2728107191684099</v>
      </c>
      <c r="J1744">
        <v>3.1215121359528899</v>
      </c>
      <c r="K1744">
        <v>3.7782018599763001</v>
      </c>
      <c r="L1744">
        <v>3.8149658251426501</v>
      </c>
      <c r="M1744">
        <v>3.1971614275606499</v>
      </c>
      <c r="N1744">
        <v>3.19626631846611</v>
      </c>
      <c r="Q1744">
        <f t="shared" si="135"/>
        <v>3.97</v>
      </c>
      <c r="R1744">
        <f t="shared" si="137"/>
        <v>3.192729476913434</v>
      </c>
      <c r="S1744">
        <f t="shared" si="138"/>
        <v>0.77727052308656619</v>
      </c>
      <c r="T1744">
        <f t="shared" si="139"/>
        <v>0.60414946605926423</v>
      </c>
    </row>
    <row r="1745" spans="1:20" hidden="1" x14ac:dyDescent="0.25">
      <c r="A1745" t="str">
        <f t="shared" si="136"/>
        <v>RIP</v>
      </c>
      <c r="B1745" t="s">
        <v>1751</v>
      </c>
      <c r="C1745">
        <v>0.83564106199999999</v>
      </c>
      <c r="D1745">
        <v>0.28279988700000003</v>
      </c>
      <c r="E1745">
        <v>0.61245957200000001</v>
      </c>
      <c r="F1745">
        <v>0.37252446</v>
      </c>
      <c r="G1745">
        <v>0.80330227799999998</v>
      </c>
      <c r="H1745">
        <v>3.2</v>
      </c>
      <c r="I1745">
        <v>3.2273648130133599</v>
      </c>
      <c r="J1745">
        <v>3.0281977509108202</v>
      </c>
      <c r="K1745">
        <v>3.5922027408591699</v>
      </c>
      <c r="L1745">
        <v>3.37377912103346</v>
      </c>
      <c r="M1745">
        <v>3.1277812819620898</v>
      </c>
      <c r="N1745">
        <v>3.1261955901919798</v>
      </c>
      <c r="Q1745">
        <f t="shared" si="135"/>
        <v>3.2</v>
      </c>
      <c r="R1745">
        <f t="shared" si="137"/>
        <v>3.0975672354921935</v>
      </c>
      <c r="S1745">
        <f t="shared" si="138"/>
        <v>0.1024327645078067</v>
      </c>
      <c r="T1745">
        <f t="shared" si="139"/>
        <v>1.0492471244711784E-2</v>
      </c>
    </row>
    <row r="1746" spans="1:20" hidden="1" x14ac:dyDescent="0.25">
      <c r="A1746" t="str">
        <f t="shared" si="136"/>
        <v>RIP</v>
      </c>
      <c r="B1746" t="s">
        <v>1752</v>
      </c>
      <c r="C1746">
        <v>1.0136879130000001</v>
      </c>
      <c r="D1746">
        <v>0.28409211000000001</v>
      </c>
      <c r="E1746">
        <v>0.62171362600000002</v>
      </c>
      <c r="F1746">
        <v>0.42236670599999998</v>
      </c>
      <c r="G1746">
        <v>0.80707354499999995</v>
      </c>
      <c r="H1746">
        <v>3.7</v>
      </c>
      <c r="I1746">
        <v>3.22361802573052</v>
      </c>
      <c r="J1746">
        <v>3.0965983843591101</v>
      </c>
      <c r="K1746">
        <v>3.5188409369853</v>
      </c>
      <c r="L1746">
        <v>3.4402424504897402</v>
      </c>
      <c r="M1746">
        <v>3.1601082050448102</v>
      </c>
      <c r="N1746">
        <v>3.1594699508411299</v>
      </c>
      <c r="Q1746">
        <f t="shared" si="135"/>
        <v>3.7</v>
      </c>
      <c r="R1746">
        <f t="shared" si="137"/>
        <v>3.161351429474593</v>
      </c>
      <c r="S1746">
        <f t="shared" si="138"/>
        <v>0.53864857052540716</v>
      </c>
      <c r="T1746">
        <f t="shared" si="139"/>
        <v>0.29014228252906454</v>
      </c>
    </row>
    <row r="1747" spans="1:20" hidden="1" x14ac:dyDescent="0.25">
      <c r="A1747" t="str">
        <f t="shared" si="136"/>
        <v>RIP</v>
      </c>
      <c r="B1747" t="s">
        <v>1753</v>
      </c>
      <c r="C1747">
        <v>0.70607866600000002</v>
      </c>
      <c r="D1747">
        <v>0.28773432100000002</v>
      </c>
      <c r="E1747">
        <v>0.62676304699999996</v>
      </c>
      <c r="F1747">
        <v>0.35576529499999998</v>
      </c>
      <c r="G1747">
        <v>0.80985412499999998</v>
      </c>
      <c r="H1747">
        <v>3.83</v>
      </c>
      <c r="I1747">
        <v>3.45674605490583</v>
      </c>
      <c r="J1747">
        <v>3.2357424224962199</v>
      </c>
      <c r="K1747">
        <v>3.4415916167210598</v>
      </c>
      <c r="L1747">
        <v>3.1995702894809601</v>
      </c>
      <c r="M1747">
        <v>3.34624423870103</v>
      </c>
      <c r="N1747">
        <v>3.3444192102150199</v>
      </c>
      <c r="Q1747">
        <f t="shared" si="135"/>
        <v>3.83</v>
      </c>
      <c r="R1747">
        <f t="shared" si="137"/>
        <v>3.3299969452354756</v>
      </c>
      <c r="S1747">
        <f t="shared" si="138"/>
        <v>0.50000305476452445</v>
      </c>
      <c r="T1747">
        <f t="shared" si="139"/>
        <v>0.25000305477385604</v>
      </c>
    </row>
    <row r="1748" spans="1:20" hidden="1" x14ac:dyDescent="0.25">
      <c r="A1748" t="str">
        <f t="shared" si="136"/>
        <v>RIP</v>
      </c>
      <c r="B1748" t="s">
        <v>1754</v>
      </c>
      <c r="C1748">
        <v>0.98755788099999997</v>
      </c>
      <c r="D1748">
        <v>0.25932833500000002</v>
      </c>
      <c r="E1748">
        <v>0.63029349400000001</v>
      </c>
      <c r="F1748">
        <v>0.427651746</v>
      </c>
      <c r="G1748">
        <v>0.80018643199999995</v>
      </c>
      <c r="H1748">
        <v>3.12</v>
      </c>
      <c r="I1748">
        <v>2.9526579590144402</v>
      </c>
      <c r="J1748">
        <v>2.8135586730202999</v>
      </c>
      <c r="K1748">
        <v>3.3638105910482698</v>
      </c>
      <c r="L1748">
        <v>3.3212513496378602</v>
      </c>
      <c r="M1748">
        <v>2.8831083160173701</v>
      </c>
      <c r="N1748">
        <v>2.8822693158425499</v>
      </c>
      <c r="Q1748">
        <f t="shared" si="135"/>
        <v>3.12</v>
      </c>
      <c r="R1748">
        <f t="shared" si="137"/>
        <v>2.8574262770018026</v>
      </c>
      <c r="S1748">
        <f t="shared" si="138"/>
        <v>0.26257372299819748</v>
      </c>
      <c r="T1748">
        <f t="shared" si="139"/>
        <v>6.8944960009134137E-2</v>
      </c>
    </row>
    <row r="1749" spans="1:20" hidden="1" x14ac:dyDescent="0.25">
      <c r="A1749" t="str">
        <f t="shared" si="136"/>
        <v>RIP</v>
      </c>
      <c r="B1749" t="s">
        <v>1755</v>
      </c>
      <c r="C1749">
        <v>0.95834927800000003</v>
      </c>
      <c r="D1749">
        <v>0.27256280999999999</v>
      </c>
      <c r="E1749">
        <v>0.61495188300000003</v>
      </c>
      <c r="F1749">
        <v>0.43928893800000002</v>
      </c>
      <c r="G1749">
        <v>0.79524955600000002</v>
      </c>
      <c r="H1749">
        <v>4.16</v>
      </c>
      <c r="I1749">
        <v>3.2773677637120602</v>
      </c>
      <c r="J1749">
        <v>3.01621285251779</v>
      </c>
      <c r="K1749">
        <v>3.4131149420497899</v>
      </c>
      <c r="L1749">
        <v>3.3632235200110498</v>
      </c>
      <c r="M1749">
        <v>3.14679030811492</v>
      </c>
      <c r="N1749">
        <v>3.1440799562568</v>
      </c>
      <c r="Q1749">
        <f t="shared" si="135"/>
        <v>4.16</v>
      </c>
      <c r="R1749">
        <f t="shared" si="137"/>
        <v>3.0890188260116345</v>
      </c>
      <c r="S1749">
        <f t="shared" si="138"/>
        <v>1.0709811739883657</v>
      </c>
      <c r="T1749">
        <f t="shared" si="139"/>
        <v>1.1470006750374979</v>
      </c>
    </row>
    <row r="1750" spans="1:20" hidden="1" x14ac:dyDescent="0.25">
      <c r="A1750" t="str">
        <f t="shared" si="136"/>
        <v>RIP</v>
      </c>
      <c r="B1750" t="s">
        <v>1756</v>
      </c>
      <c r="C1750">
        <v>0.64419616899999999</v>
      </c>
      <c r="D1750">
        <v>0.26857569399999998</v>
      </c>
      <c r="E1750">
        <v>0.61750295700000002</v>
      </c>
      <c r="F1750">
        <v>0.32147962899999999</v>
      </c>
      <c r="G1750">
        <v>0.79489065999999997</v>
      </c>
      <c r="H1750">
        <v>3.15</v>
      </c>
      <c r="I1750">
        <v>3.0825499578316098</v>
      </c>
      <c r="J1750">
        <v>2.8507516664743302</v>
      </c>
      <c r="K1750">
        <v>3.4702134441043899</v>
      </c>
      <c r="L1750">
        <v>3.18422170423176</v>
      </c>
      <c r="M1750">
        <v>2.9666508121529702</v>
      </c>
      <c r="N1750">
        <v>2.9643860121918801</v>
      </c>
      <c r="Q1750">
        <f t="shared" si="135"/>
        <v>3.15</v>
      </c>
      <c r="R1750">
        <f t="shared" si="137"/>
        <v>2.9138124183526726</v>
      </c>
      <c r="S1750">
        <f t="shared" si="138"/>
        <v>0.23618758164732734</v>
      </c>
      <c r="T1750">
        <f t="shared" si="139"/>
        <v>5.5784573724412916E-2</v>
      </c>
    </row>
    <row r="1751" spans="1:20" hidden="1" x14ac:dyDescent="0.25">
      <c r="A1751" t="str">
        <f t="shared" si="136"/>
        <v>RIP</v>
      </c>
      <c r="B1751" t="s">
        <v>1757</v>
      </c>
      <c r="C1751">
        <v>1.076360794</v>
      </c>
      <c r="D1751">
        <v>0.28459374799999998</v>
      </c>
      <c r="E1751">
        <v>0.62230294500000005</v>
      </c>
      <c r="F1751">
        <v>0.45133991699999998</v>
      </c>
      <c r="G1751">
        <v>0.80681274400000003</v>
      </c>
      <c r="H1751">
        <v>4.4000000000000004</v>
      </c>
      <c r="I1751">
        <v>3.2909938846667099</v>
      </c>
      <c r="J1751">
        <v>3.1502970419113501</v>
      </c>
      <c r="K1751">
        <v>3.4923165898436599</v>
      </c>
      <c r="L1751">
        <v>3.4763008955524799</v>
      </c>
      <c r="M1751">
        <v>3.22064546328903</v>
      </c>
      <c r="N1751">
        <v>3.21987706284167</v>
      </c>
      <c r="Q1751">
        <f t="shared" si="135"/>
        <v>4.4000000000000004</v>
      </c>
      <c r="R1751">
        <f t="shared" si="137"/>
        <v>3.2200559690081336</v>
      </c>
      <c r="S1751">
        <f t="shared" si="138"/>
        <v>1.1799440309918667</v>
      </c>
      <c r="T1751">
        <f t="shared" si="139"/>
        <v>1.3922679162733353</v>
      </c>
    </row>
    <row r="1752" spans="1:20" hidden="1" x14ac:dyDescent="0.25">
      <c r="A1752" t="str">
        <f t="shared" si="136"/>
        <v>RIP</v>
      </c>
      <c r="B1752" t="s">
        <v>1758</v>
      </c>
      <c r="C1752">
        <v>0.981809127</v>
      </c>
      <c r="D1752">
        <v>0.28133380400000002</v>
      </c>
      <c r="E1752">
        <v>0.61515423199999997</v>
      </c>
      <c r="F1752">
        <v>0.413361808</v>
      </c>
      <c r="G1752">
        <v>0.79844581400000003</v>
      </c>
      <c r="H1752">
        <v>3.38</v>
      </c>
      <c r="I1752">
        <v>3.20480661921327</v>
      </c>
      <c r="J1752">
        <v>3.02448463449723</v>
      </c>
      <c r="K1752">
        <v>3.6442486827291098</v>
      </c>
      <c r="L1752">
        <v>3.6052499810091501</v>
      </c>
      <c r="M1752">
        <v>3.1146456268552498</v>
      </c>
      <c r="N1752">
        <v>3.1133403887698399</v>
      </c>
      <c r="Q1752">
        <f t="shared" si="135"/>
        <v>3.38</v>
      </c>
      <c r="R1752">
        <f t="shared" si="137"/>
        <v>3.0865102460912746</v>
      </c>
      <c r="S1752">
        <f t="shared" si="138"/>
        <v>0.29348975390872534</v>
      </c>
      <c r="T1752">
        <f t="shared" si="139"/>
        <v>8.6136235649404161E-2</v>
      </c>
    </row>
    <row r="1753" spans="1:20" hidden="1" x14ac:dyDescent="0.25">
      <c r="A1753" t="str">
        <f t="shared" si="136"/>
        <v>RIP</v>
      </c>
      <c r="B1753" t="s">
        <v>1759</v>
      </c>
      <c r="C1753">
        <v>0.91198391899999998</v>
      </c>
      <c r="D1753">
        <v>0.27680750199999998</v>
      </c>
      <c r="E1753">
        <v>0.63077382699999995</v>
      </c>
      <c r="F1753">
        <v>0.41020034799999999</v>
      </c>
      <c r="G1753">
        <v>0.80780320400000005</v>
      </c>
      <c r="H1753">
        <v>3.04</v>
      </c>
      <c r="I1753">
        <v>3.2416642766722501</v>
      </c>
      <c r="J1753">
        <v>3.0927534964307699</v>
      </c>
      <c r="K1753">
        <v>3.6975617663810301</v>
      </c>
      <c r="L1753">
        <v>3.6193386305826301</v>
      </c>
      <c r="M1753">
        <v>3.16720888655151</v>
      </c>
      <c r="N1753">
        <v>3.1663336093868599</v>
      </c>
      <c r="Q1753">
        <f t="shared" si="135"/>
        <v>3.04</v>
      </c>
      <c r="R1753">
        <f t="shared" si="137"/>
        <v>3.165141454930632</v>
      </c>
      <c r="S1753">
        <f t="shared" si="138"/>
        <v>-0.125141454930632</v>
      </c>
      <c r="T1753">
        <f t="shared" si="139"/>
        <v>1.56603837421554E-2</v>
      </c>
    </row>
    <row r="1754" spans="1:20" hidden="1" x14ac:dyDescent="0.25">
      <c r="A1754" t="str">
        <f t="shared" si="136"/>
        <v>RIP</v>
      </c>
      <c r="B1754" t="s">
        <v>1760</v>
      </c>
      <c r="C1754">
        <v>0.95479926000000004</v>
      </c>
      <c r="D1754">
        <v>0.26705546899999999</v>
      </c>
      <c r="E1754">
        <v>0.62951036500000002</v>
      </c>
      <c r="F1754">
        <v>0.358599267</v>
      </c>
      <c r="G1754">
        <v>0.803778777</v>
      </c>
      <c r="H1754">
        <v>4.54</v>
      </c>
      <c r="I1754">
        <v>2.7211141555170499</v>
      </c>
      <c r="J1754">
        <v>2.7090187778143902</v>
      </c>
      <c r="K1754">
        <v>3.2289411978047</v>
      </c>
      <c r="L1754">
        <v>3.1183094665946598</v>
      </c>
      <c r="M1754">
        <v>2.71506646666572</v>
      </c>
      <c r="N1754">
        <v>2.71505973117945</v>
      </c>
      <c r="Q1754">
        <f t="shared" si="135"/>
        <v>4.54</v>
      </c>
      <c r="R1754">
        <f t="shared" si="137"/>
        <v>2.7282820742892779</v>
      </c>
      <c r="S1754">
        <f t="shared" si="138"/>
        <v>1.8117179257107221</v>
      </c>
      <c r="T1754">
        <f t="shared" si="139"/>
        <v>3.2823218423415614</v>
      </c>
    </row>
    <row r="1755" spans="1:20" hidden="1" x14ac:dyDescent="0.25">
      <c r="A1755" t="str">
        <f t="shared" si="136"/>
        <v>RIP</v>
      </c>
      <c r="B1755" t="s">
        <v>1761</v>
      </c>
      <c r="C1755">
        <v>0.84949443300000005</v>
      </c>
      <c r="D1755">
        <v>0.274121487</v>
      </c>
      <c r="E1755">
        <v>0.61939138900000001</v>
      </c>
      <c r="F1755">
        <v>0.400134235</v>
      </c>
      <c r="G1755">
        <v>0.79721827099999998</v>
      </c>
      <c r="H1755">
        <v>4.2300000000000004</v>
      </c>
      <c r="I1755">
        <v>3.26843692404695</v>
      </c>
      <c r="J1755">
        <v>3.0249527965890599</v>
      </c>
      <c r="K1755">
        <v>3.83507561029257</v>
      </c>
      <c r="L1755">
        <v>3.7361066794919999</v>
      </c>
      <c r="M1755">
        <v>3.1466948603180098</v>
      </c>
      <c r="N1755">
        <v>3.1443389470397101</v>
      </c>
      <c r="Q1755">
        <f t="shared" si="135"/>
        <v>4.2300000000000004</v>
      </c>
      <c r="R1755">
        <f t="shared" si="137"/>
        <v>3.0995764227631244</v>
      </c>
      <c r="S1755">
        <f t="shared" si="138"/>
        <v>1.130423577236876</v>
      </c>
      <c r="T1755">
        <f t="shared" si="139"/>
        <v>1.2778574639730154</v>
      </c>
    </row>
    <row r="1756" spans="1:20" hidden="1" x14ac:dyDescent="0.25">
      <c r="A1756" t="str">
        <f t="shared" si="136"/>
        <v>RIP</v>
      </c>
      <c r="B1756" t="s">
        <v>1762</v>
      </c>
      <c r="C1756">
        <v>0.92895694500000003</v>
      </c>
      <c r="D1756">
        <v>0.293865196</v>
      </c>
      <c r="E1756">
        <v>0.63294613099999997</v>
      </c>
      <c r="F1756">
        <v>0.44798187499999997</v>
      </c>
      <c r="G1756">
        <v>0.81974121899999997</v>
      </c>
      <c r="H1756">
        <v>4.24</v>
      </c>
      <c r="I1756">
        <v>3.6534364837787701</v>
      </c>
      <c r="J1756">
        <v>3.46810132743625</v>
      </c>
      <c r="K1756">
        <v>3.8498459507979002</v>
      </c>
      <c r="L1756">
        <v>3.8329566861621198</v>
      </c>
      <c r="M1756">
        <v>3.5607689056075098</v>
      </c>
      <c r="N1756">
        <v>3.5595628831497299</v>
      </c>
      <c r="Q1756">
        <f t="shared" si="135"/>
        <v>4.24</v>
      </c>
      <c r="R1756">
        <f t="shared" si="137"/>
        <v>3.5783785581719485</v>
      </c>
      <c r="S1756">
        <f t="shared" si="138"/>
        <v>0.66162144182805172</v>
      </c>
      <c r="T1756">
        <f t="shared" si="139"/>
        <v>0.43774293228663003</v>
      </c>
    </row>
    <row r="1757" spans="1:20" hidden="1" x14ac:dyDescent="0.25">
      <c r="A1757" t="str">
        <f t="shared" si="136"/>
        <v>RIP</v>
      </c>
      <c r="B1757" t="s">
        <v>1763</v>
      </c>
      <c r="C1757">
        <v>0.84268745700000003</v>
      </c>
      <c r="D1757">
        <v>0.266571479</v>
      </c>
      <c r="E1757">
        <v>0.61465203300000004</v>
      </c>
      <c r="F1757">
        <v>0.40643595900000001</v>
      </c>
      <c r="G1757">
        <v>0.79045689699999999</v>
      </c>
      <c r="H1757">
        <v>4.34</v>
      </c>
      <c r="I1757">
        <v>3.2093644516838999</v>
      </c>
      <c r="J1757">
        <v>2.9211502792770099</v>
      </c>
      <c r="K1757">
        <v>3.82985818324972</v>
      </c>
      <c r="L1757">
        <v>3.68468637299094</v>
      </c>
      <c r="M1757">
        <v>3.06525736548046</v>
      </c>
      <c r="N1757">
        <v>3.0618680350952698</v>
      </c>
      <c r="Q1757">
        <f t="shared" si="135"/>
        <v>4.34</v>
      </c>
      <c r="R1757">
        <f t="shared" si="137"/>
        <v>2.9908508327817964</v>
      </c>
      <c r="S1757">
        <f t="shared" si="138"/>
        <v>1.3491491672182034</v>
      </c>
      <c r="T1757">
        <f t="shared" si="139"/>
        <v>1.8202034754055718</v>
      </c>
    </row>
    <row r="1758" spans="1:20" hidden="1" x14ac:dyDescent="0.25">
      <c r="A1758" t="str">
        <f t="shared" si="136"/>
        <v>RIP</v>
      </c>
      <c r="B1758" t="s">
        <v>1764</v>
      </c>
      <c r="C1758">
        <v>1.0304171900000001</v>
      </c>
      <c r="D1758">
        <v>0.279777573</v>
      </c>
      <c r="E1758">
        <v>0.60011383799999996</v>
      </c>
      <c r="F1758">
        <v>0.36848841700000001</v>
      </c>
      <c r="G1758">
        <v>0.78108937099999998</v>
      </c>
      <c r="H1758">
        <v>3.52</v>
      </c>
      <c r="I1758">
        <v>2.8255457040432299</v>
      </c>
      <c r="J1758">
        <v>2.7164677033730902</v>
      </c>
      <c r="K1758">
        <v>3.0955891055386102</v>
      </c>
      <c r="L1758">
        <v>2.8649263851873998</v>
      </c>
      <c r="M1758">
        <v>2.77100670370816</v>
      </c>
      <c r="N1758">
        <v>2.7704699329604701</v>
      </c>
      <c r="Q1758">
        <f t="shared" si="135"/>
        <v>3.52</v>
      </c>
      <c r="R1758">
        <f t="shared" si="137"/>
        <v>2.7364617900678079</v>
      </c>
      <c r="S1758">
        <f t="shared" si="138"/>
        <v>0.78353820993219214</v>
      </c>
      <c r="T1758">
        <f t="shared" si="139"/>
        <v>0.61393212642374395</v>
      </c>
    </row>
    <row r="1759" spans="1:20" hidden="1" x14ac:dyDescent="0.25">
      <c r="A1759" t="str">
        <f t="shared" si="136"/>
        <v>RIP</v>
      </c>
      <c r="B1759" t="s">
        <v>1765</v>
      </c>
      <c r="C1759">
        <v>1.0571670559999999</v>
      </c>
      <c r="D1759">
        <v>0.25444785800000003</v>
      </c>
      <c r="E1759">
        <v>0.62608725899999995</v>
      </c>
      <c r="F1759">
        <v>0.48066094199999998</v>
      </c>
      <c r="G1759">
        <v>0.78626496400000001</v>
      </c>
      <c r="H1759">
        <v>3.74</v>
      </c>
      <c r="I1759">
        <v>3.1047279848001201</v>
      </c>
      <c r="J1759">
        <v>2.8419272408713598</v>
      </c>
      <c r="K1759">
        <v>3.6033594016530501</v>
      </c>
      <c r="L1759">
        <v>3.6511783678122498</v>
      </c>
      <c r="M1759">
        <v>2.9733276128357402</v>
      </c>
      <c r="N1759">
        <v>2.97042270316854</v>
      </c>
      <c r="Q1759">
        <f t="shared" si="135"/>
        <v>3.74</v>
      </c>
      <c r="R1759">
        <f t="shared" si="137"/>
        <v>2.8952269724505735</v>
      </c>
      <c r="S1759">
        <f t="shared" si="138"/>
        <v>0.84477302754942674</v>
      </c>
      <c r="T1759">
        <f t="shared" si="139"/>
        <v>0.71364146807502449</v>
      </c>
    </row>
    <row r="1760" spans="1:20" hidden="1" x14ac:dyDescent="0.25">
      <c r="A1760" t="str">
        <f t="shared" si="136"/>
        <v>RIP</v>
      </c>
      <c r="B1760" t="s">
        <v>1766</v>
      </c>
      <c r="C1760">
        <v>0.90707087200000003</v>
      </c>
      <c r="D1760">
        <v>0.25949670699999999</v>
      </c>
      <c r="E1760">
        <v>0.62270967899999996</v>
      </c>
      <c r="F1760">
        <v>0.44951636499999997</v>
      </c>
      <c r="G1760">
        <v>0.79212243599999999</v>
      </c>
      <c r="H1760">
        <v>3.54</v>
      </c>
      <c r="I1760">
        <v>3.24308091467124</v>
      </c>
      <c r="J1760">
        <v>2.9430772063733901</v>
      </c>
      <c r="K1760">
        <v>3.5444767169942302</v>
      </c>
      <c r="L1760">
        <v>3.4836386618337798</v>
      </c>
      <c r="M1760">
        <v>3.0930790605223102</v>
      </c>
      <c r="N1760">
        <v>3.0894396770925101</v>
      </c>
      <c r="Q1760">
        <f t="shared" si="135"/>
        <v>3.54</v>
      </c>
      <c r="R1760">
        <f t="shared" si="137"/>
        <v>3.0167077547216046</v>
      </c>
      <c r="S1760">
        <f t="shared" si="138"/>
        <v>0.52329224527839546</v>
      </c>
      <c r="T1760">
        <f t="shared" si="139"/>
        <v>0.27383477396850442</v>
      </c>
    </row>
    <row r="1761" spans="1:20" hidden="1" x14ac:dyDescent="0.25">
      <c r="A1761" t="str">
        <f t="shared" si="136"/>
        <v>RIP</v>
      </c>
      <c r="B1761" t="s">
        <v>1767</v>
      </c>
      <c r="C1761">
        <v>1.152326846</v>
      </c>
      <c r="D1761">
        <v>0.27325142800000002</v>
      </c>
      <c r="E1761">
        <v>0.62425369500000005</v>
      </c>
      <c r="F1761">
        <v>0.44341133700000002</v>
      </c>
      <c r="G1761">
        <v>0.80677871199999995</v>
      </c>
      <c r="H1761">
        <v>3.87</v>
      </c>
      <c r="I1761">
        <v>2.9349803824330598</v>
      </c>
      <c r="J1761">
        <v>2.8912473777956298</v>
      </c>
      <c r="K1761">
        <v>3.3686411976444202</v>
      </c>
      <c r="L1761">
        <v>3.3799893297780601</v>
      </c>
      <c r="M1761">
        <v>2.9131138801143499</v>
      </c>
      <c r="N1761">
        <v>2.9130318114622802</v>
      </c>
      <c r="Q1761">
        <f t="shared" si="135"/>
        <v>3.87</v>
      </c>
      <c r="R1761">
        <f t="shared" si="137"/>
        <v>2.9273866968138966</v>
      </c>
      <c r="S1761">
        <f t="shared" si="138"/>
        <v>0.94261330318610348</v>
      </c>
      <c r="T1761">
        <f t="shared" si="139"/>
        <v>0.88851983934341705</v>
      </c>
    </row>
    <row r="1762" spans="1:20" hidden="1" x14ac:dyDescent="0.25">
      <c r="A1762" t="str">
        <f t="shared" si="136"/>
        <v>RIP</v>
      </c>
      <c r="B1762" t="s">
        <v>1768</v>
      </c>
      <c r="C1762">
        <v>1.0671732350000001</v>
      </c>
      <c r="D1762">
        <v>0.25900000099999998</v>
      </c>
      <c r="E1762">
        <v>0.628584908</v>
      </c>
      <c r="F1762">
        <v>0.454766595</v>
      </c>
      <c r="G1762">
        <v>0.80081774500000003</v>
      </c>
      <c r="H1762">
        <v>4.07</v>
      </c>
      <c r="I1762">
        <v>2.9579003215041602</v>
      </c>
      <c r="J1762">
        <v>2.8206967950847099</v>
      </c>
      <c r="K1762">
        <v>3.3048538745095302</v>
      </c>
      <c r="L1762">
        <v>3.2889155760990199</v>
      </c>
      <c r="M1762">
        <v>2.8892985582944299</v>
      </c>
      <c r="N1762">
        <v>2.8884840240248502</v>
      </c>
      <c r="Q1762">
        <f t="shared" si="135"/>
        <v>4.07</v>
      </c>
      <c r="R1762">
        <f t="shared" si="137"/>
        <v>2.8634386404883116</v>
      </c>
      <c r="S1762">
        <f t="shared" si="138"/>
        <v>1.2065613595116886</v>
      </c>
      <c r="T1762">
        <f t="shared" si="139"/>
        <v>1.4557903142666944</v>
      </c>
    </row>
    <row r="1763" spans="1:20" hidden="1" x14ac:dyDescent="0.25">
      <c r="A1763" t="str">
        <f t="shared" si="136"/>
        <v>RIP</v>
      </c>
      <c r="B1763" t="s">
        <v>1769</v>
      </c>
      <c r="C1763">
        <v>1.1535944220000001</v>
      </c>
      <c r="D1763">
        <v>0.27939818599999999</v>
      </c>
      <c r="E1763">
        <v>0.63813842799999998</v>
      </c>
      <c r="F1763">
        <v>0.46356388700000001</v>
      </c>
      <c r="G1763">
        <v>0.82051270099999996</v>
      </c>
      <c r="H1763">
        <v>3.89</v>
      </c>
      <c r="I1763">
        <v>3.1160483647211299</v>
      </c>
      <c r="J1763">
        <v>3.1203473686617298</v>
      </c>
      <c r="K1763">
        <v>3.30400383157642</v>
      </c>
      <c r="L1763">
        <v>3.29939454756967</v>
      </c>
      <c r="M1763">
        <v>3.1181978666914301</v>
      </c>
      <c r="N1763">
        <v>3.1181971258213101</v>
      </c>
      <c r="Q1763">
        <f t="shared" si="135"/>
        <v>3.89</v>
      </c>
      <c r="R1763">
        <f t="shared" si="137"/>
        <v>3.177956836759269</v>
      </c>
      <c r="S1763">
        <f t="shared" si="138"/>
        <v>0.71204316324073114</v>
      </c>
      <c r="T1763">
        <f t="shared" si="139"/>
        <v>0.50700546631786647</v>
      </c>
    </row>
    <row r="1764" spans="1:20" hidden="1" x14ac:dyDescent="0.25">
      <c r="A1764" t="str">
        <f t="shared" si="136"/>
        <v>RIP</v>
      </c>
      <c r="B1764" t="s">
        <v>1770</v>
      </c>
      <c r="C1764">
        <v>1.395866644</v>
      </c>
      <c r="D1764">
        <v>0.27319738599999999</v>
      </c>
      <c r="E1764">
        <v>0.60910966700000002</v>
      </c>
      <c r="F1764">
        <v>0.46478785</v>
      </c>
      <c r="G1764">
        <v>0.78926701799999999</v>
      </c>
      <c r="H1764">
        <v>4.0199999999999996</v>
      </c>
      <c r="I1764">
        <v>2.64462839697353</v>
      </c>
      <c r="J1764">
        <v>2.6540843121531599</v>
      </c>
      <c r="K1764">
        <v>2.8860965893689099</v>
      </c>
      <c r="L1764">
        <v>2.9463323964805301</v>
      </c>
      <c r="M1764">
        <v>2.6493563545633401</v>
      </c>
      <c r="N1764">
        <v>2.64935213587817</v>
      </c>
      <c r="Q1764">
        <f t="shared" si="135"/>
        <v>4.0199999999999996</v>
      </c>
      <c r="R1764">
        <f t="shared" si="137"/>
        <v>2.6488596198114416</v>
      </c>
      <c r="S1764">
        <f t="shared" si="138"/>
        <v>1.371140380188558</v>
      </c>
      <c r="T1764">
        <f t="shared" si="139"/>
        <v>1.8800259421836234</v>
      </c>
    </row>
    <row r="1765" spans="1:20" hidden="1" x14ac:dyDescent="0.25">
      <c r="A1765" t="str">
        <f t="shared" si="136"/>
        <v>RIP</v>
      </c>
      <c r="B1765" t="s">
        <v>1771</v>
      </c>
      <c r="C1765">
        <v>1.238197083</v>
      </c>
      <c r="D1765">
        <v>0.27724886500000001</v>
      </c>
      <c r="E1765">
        <v>0.62555410600000005</v>
      </c>
      <c r="F1765">
        <v>0.48779166699999998</v>
      </c>
      <c r="G1765">
        <v>0.80545794400000004</v>
      </c>
      <c r="H1765">
        <v>3.39</v>
      </c>
      <c r="I1765">
        <v>3.1080959473389198</v>
      </c>
      <c r="J1765">
        <v>3.0330076552260401</v>
      </c>
      <c r="K1765">
        <v>3.2953668596683299</v>
      </c>
      <c r="L1765">
        <v>3.3480843050679598</v>
      </c>
      <c r="M1765">
        <v>3.07055180128248</v>
      </c>
      <c r="N1765">
        <v>3.07032226345313</v>
      </c>
      <c r="Q1765">
        <f t="shared" si="135"/>
        <v>3.39</v>
      </c>
      <c r="R1765">
        <f t="shared" si="137"/>
        <v>3.0829569893338267</v>
      </c>
      <c r="S1765">
        <f t="shared" si="138"/>
        <v>0.30704301066617345</v>
      </c>
      <c r="T1765">
        <f t="shared" si="139"/>
        <v>9.4275410398947906E-2</v>
      </c>
    </row>
    <row r="1766" spans="1:20" hidden="1" x14ac:dyDescent="0.25">
      <c r="A1766" t="str">
        <f t="shared" si="136"/>
        <v>RIP</v>
      </c>
      <c r="B1766" t="s">
        <v>1772</v>
      </c>
      <c r="C1766">
        <v>1.182250128</v>
      </c>
      <c r="D1766">
        <v>0.251923271</v>
      </c>
      <c r="E1766">
        <v>0.62527861200000001</v>
      </c>
      <c r="F1766">
        <v>0.46809852299999999</v>
      </c>
      <c r="G1766">
        <v>0.79149618899999996</v>
      </c>
      <c r="H1766">
        <v>4.04</v>
      </c>
      <c r="I1766">
        <v>2.7417919591488702</v>
      </c>
      <c r="J1766">
        <v>2.62603146266704</v>
      </c>
      <c r="K1766">
        <v>3.3390643214030802</v>
      </c>
      <c r="L1766">
        <v>3.3713665006201401</v>
      </c>
      <c r="M1766">
        <v>2.68391171090795</v>
      </c>
      <c r="N1766">
        <v>2.68328752630284</v>
      </c>
      <c r="Q1766">
        <f t="shared" si="135"/>
        <v>4.04</v>
      </c>
      <c r="R1766">
        <f t="shared" si="137"/>
        <v>2.6405715952149587</v>
      </c>
      <c r="S1766">
        <f t="shared" si="138"/>
        <v>1.3994284047850414</v>
      </c>
      <c r="T1766">
        <f t="shared" si="139"/>
        <v>1.9583998601192056</v>
      </c>
    </row>
    <row r="1767" spans="1:20" hidden="1" x14ac:dyDescent="0.25">
      <c r="A1767" t="str">
        <f t="shared" si="136"/>
        <v>RIP</v>
      </c>
      <c r="B1767" t="s">
        <v>1773</v>
      </c>
      <c r="C1767">
        <v>1.2483237700000001</v>
      </c>
      <c r="D1767">
        <v>0.27890852500000002</v>
      </c>
      <c r="E1767">
        <v>0.65584146399999999</v>
      </c>
      <c r="F1767">
        <v>0.53538767300000001</v>
      </c>
      <c r="G1767">
        <v>0.83590237000000001</v>
      </c>
      <c r="H1767">
        <v>4.2300000000000004</v>
      </c>
      <c r="I1767">
        <v>3.2959867598514201</v>
      </c>
      <c r="J1767">
        <v>3.3673632390527501</v>
      </c>
      <c r="K1767">
        <v>3.2394789751401198</v>
      </c>
      <c r="L1767">
        <v>3.2767831663164202</v>
      </c>
      <c r="M1767">
        <v>3.3316749994520798</v>
      </c>
      <c r="N1767">
        <v>3.3314838513083398</v>
      </c>
      <c r="Q1767">
        <f t="shared" si="135"/>
        <v>4.2300000000000004</v>
      </c>
      <c r="R1767">
        <f t="shared" si="137"/>
        <v>3.4510413235547324</v>
      </c>
      <c r="S1767">
        <f t="shared" si="138"/>
        <v>0.77895867644526806</v>
      </c>
      <c r="T1767">
        <f t="shared" si="139"/>
        <v>0.6067766196093638</v>
      </c>
    </row>
    <row r="1768" spans="1:20" hidden="1" x14ac:dyDescent="0.25">
      <c r="A1768" t="str">
        <f t="shared" si="136"/>
        <v>RIP</v>
      </c>
      <c r="B1768" t="s">
        <v>1774</v>
      </c>
      <c r="C1768">
        <v>1.2895970059999999</v>
      </c>
      <c r="D1768">
        <v>0.26676554099999999</v>
      </c>
      <c r="E1768">
        <v>0.65812664499999995</v>
      </c>
      <c r="F1768">
        <v>0.48773813199999999</v>
      </c>
      <c r="G1768">
        <v>0.82240175900000001</v>
      </c>
      <c r="H1768">
        <v>3.78</v>
      </c>
      <c r="I1768">
        <v>2.8505849179009299</v>
      </c>
      <c r="J1768">
        <v>2.97570477216005</v>
      </c>
      <c r="K1768">
        <v>2.8247910954897599</v>
      </c>
      <c r="L1768">
        <v>2.8261838128733698</v>
      </c>
      <c r="M1768">
        <v>2.91314484503049</v>
      </c>
      <c r="N1768">
        <v>2.9124730288270899</v>
      </c>
      <c r="Q1768">
        <f t="shared" si="135"/>
        <v>3.78</v>
      </c>
      <c r="R1768">
        <f t="shared" si="137"/>
        <v>3.0065799802840951</v>
      </c>
      <c r="S1768">
        <f t="shared" si="138"/>
        <v>0.77342001971590468</v>
      </c>
      <c r="T1768">
        <f t="shared" si="139"/>
        <v>0.5981785268973504</v>
      </c>
    </row>
    <row r="1769" spans="1:20" hidden="1" x14ac:dyDescent="0.25">
      <c r="A1769" t="str">
        <f t="shared" si="136"/>
        <v>RIP</v>
      </c>
      <c r="B1769" t="s">
        <v>1775</v>
      </c>
      <c r="C1769">
        <v>1.277987003</v>
      </c>
      <c r="D1769">
        <v>0.29709728699999999</v>
      </c>
      <c r="E1769">
        <v>0.65594768199999998</v>
      </c>
      <c r="F1769">
        <v>0.52861257699999997</v>
      </c>
      <c r="G1769">
        <v>0.83312082799999998</v>
      </c>
      <c r="H1769">
        <v>3.79</v>
      </c>
      <c r="I1769">
        <v>3.5071572966118199</v>
      </c>
      <c r="J1769">
        <v>3.5777015044596201</v>
      </c>
      <c r="K1769">
        <v>2.9240747029648499</v>
      </c>
      <c r="L1769">
        <v>2.9187374871538698</v>
      </c>
      <c r="M1769">
        <v>3.54242940053572</v>
      </c>
      <c r="N1769">
        <v>3.5422537933446598</v>
      </c>
      <c r="Q1769">
        <f t="shared" si="135"/>
        <v>3.79</v>
      </c>
      <c r="R1769">
        <f t="shared" si="137"/>
        <v>3.6697628647670255</v>
      </c>
      <c r="S1769">
        <f t="shared" si="138"/>
        <v>0.12023713523297452</v>
      </c>
      <c r="T1769">
        <f t="shared" si="139"/>
        <v>1.4456968689032604E-2</v>
      </c>
    </row>
    <row r="1770" spans="1:20" hidden="1" x14ac:dyDescent="0.25">
      <c r="A1770" t="str">
        <f t="shared" si="136"/>
        <v>RIP</v>
      </c>
      <c r="B1770" t="s">
        <v>1776</v>
      </c>
      <c r="C1770">
        <v>1.2302061630000001</v>
      </c>
      <c r="D1770">
        <v>0.29277969399999998</v>
      </c>
      <c r="E1770">
        <v>0.63769765700000003</v>
      </c>
      <c r="F1770">
        <v>0.51833578400000002</v>
      </c>
      <c r="G1770">
        <v>0.82619837600000001</v>
      </c>
      <c r="H1770">
        <v>3.95</v>
      </c>
      <c r="I1770">
        <v>3.4611160117315798</v>
      </c>
      <c r="J1770">
        <v>3.43412618570565</v>
      </c>
      <c r="K1770">
        <v>3.1266193039897998</v>
      </c>
      <c r="L1770">
        <v>3.1352591902932798</v>
      </c>
      <c r="M1770">
        <v>3.44762109871861</v>
      </c>
      <c r="N1770">
        <v>3.44759468726423</v>
      </c>
      <c r="Q1770">
        <f t="shared" si="135"/>
        <v>3.95</v>
      </c>
      <c r="R1770">
        <f t="shared" si="137"/>
        <v>3.5229107373805642</v>
      </c>
      <c r="S1770">
        <f t="shared" si="138"/>
        <v>0.42708926261943603</v>
      </c>
      <c r="T1770">
        <f t="shared" si="139"/>
        <v>0.18240523824481358</v>
      </c>
    </row>
    <row r="1771" spans="1:20" hidden="1" x14ac:dyDescent="0.25">
      <c r="A1771" t="str">
        <f t="shared" si="136"/>
        <v>RIP</v>
      </c>
      <c r="B1771" t="s">
        <v>1777</v>
      </c>
      <c r="C1771">
        <v>1.226154282</v>
      </c>
      <c r="D1771">
        <v>0.27329014200000001</v>
      </c>
      <c r="E1771">
        <v>0.64641303699999997</v>
      </c>
      <c r="F1771">
        <v>0.47203626100000001</v>
      </c>
      <c r="G1771">
        <v>0.816108783</v>
      </c>
      <c r="H1771">
        <v>4.18</v>
      </c>
      <c r="I1771">
        <v>2.97650654094643</v>
      </c>
      <c r="J1771">
        <v>3.0275341234400699</v>
      </c>
      <c r="K1771">
        <v>3.1456292749202901</v>
      </c>
      <c r="L1771">
        <v>3.1530964893115501</v>
      </c>
      <c r="M1771">
        <v>3.0020203321932502</v>
      </c>
      <c r="N1771">
        <v>3.0019119109923702</v>
      </c>
      <c r="Q1771">
        <f t="shared" si="135"/>
        <v>4.18</v>
      </c>
      <c r="R1771">
        <f t="shared" si="137"/>
        <v>3.0689362127978455</v>
      </c>
      <c r="S1771">
        <f t="shared" si="138"/>
        <v>1.1110637872021543</v>
      </c>
      <c r="T1771">
        <f t="shared" si="139"/>
        <v>1.234462739231994</v>
      </c>
    </row>
    <row r="1772" spans="1:20" hidden="1" x14ac:dyDescent="0.25">
      <c r="A1772" t="str">
        <f t="shared" si="136"/>
        <v>RIP</v>
      </c>
      <c r="B1772" t="s">
        <v>1778</v>
      </c>
      <c r="C1772">
        <v>1.134413245</v>
      </c>
      <c r="D1772">
        <v>0.253553906</v>
      </c>
      <c r="E1772">
        <v>0.63741331300000004</v>
      </c>
      <c r="F1772">
        <v>0.49813427999999998</v>
      </c>
      <c r="G1772">
        <v>0.81875156900000001</v>
      </c>
      <c r="H1772">
        <v>4.07</v>
      </c>
      <c r="I1772">
        <v>2.9467055317068298</v>
      </c>
      <c r="J1772">
        <v>2.86386386391449</v>
      </c>
      <c r="K1772">
        <v>3.23782473036086</v>
      </c>
      <c r="L1772">
        <v>3.2665123853976699</v>
      </c>
      <c r="M1772">
        <v>2.9052846978106599</v>
      </c>
      <c r="N1772">
        <v>2.9049894130361502</v>
      </c>
      <c r="Q1772">
        <f t="shared" si="135"/>
        <v>4.07</v>
      </c>
      <c r="R1772">
        <f t="shared" si="137"/>
        <v>2.9115369564393792</v>
      </c>
      <c r="S1772">
        <f t="shared" si="138"/>
        <v>1.1584630435606211</v>
      </c>
      <c r="T1772">
        <f t="shared" si="139"/>
        <v>1.3420366232957375</v>
      </c>
    </row>
    <row r="1773" spans="1:20" hidden="1" x14ac:dyDescent="0.25">
      <c r="A1773" t="str">
        <f t="shared" si="136"/>
        <v>RIP</v>
      </c>
      <c r="B1773" t="s">
        <v>1779</v>
      </c>
      <c r="C1773">
        <v>1.1129386219999999</v>
      </c>
      <c r="D1773">
        <v>0.28088556599999998</v>
      </c>
      <c r="E1773">
        <v>0.65921996299999996</v>
      </c>
      <c r="F1773">
        <v>0.49329361300000002</v>
      </c>
      <c r="G1773">
        <v>0.85668560500000002</v>
      </c>
      <c r="H1773">
        <v>4.46</v>
      </c>
      <c r="I1773">
        <v>3.2483501702145401</v>
      </c>
      <c r="J1773">
        <v>3.3939848759778699</v>
      </c>
      <c r="K1773">
        <v>3.21852760217004</v>
      </c>
      <c r="L1773">
        <v>3.2129261875436099</v>
      </c>
      <c r="M1773">
        <v>3.3211675230962099</v>
      </c>
      <c r="N1773">
        <v>3.32036915863105</v>
      </c>
      <c r="Q1773">
        <f t="shared" si="135"/>
        <v>4.46</v>
      </c>
      <c r="R1773">
        <f t="shared" si="137"/>
        <v>3.4835553976114988</v>
      </c>
      <c r="S1773">
        <f t="shared" si="138"/>
        <v>0.97644460238850117</v>
      </c>
      <c r="T1773">
        <f t="shared" si="139"/>
        <v>0.95344406153363814</v>
      </c>
    </row>
    <row r="1774" spans="1:20" hidden="1" x14ac:dyDescent="0.25">
      <c r="A1774" t="str">
        <f t="shared" si="136"/>
        <v>RIP</v>
      </c>
      <c r="B1774" t="s">
        <v>1780</v>
      </c>
      <c r="C1774">
        <v>1.0424944709999999</v>
      </c>
      <c r="D1774">
        <v>0.27344569200000002</v>
      </c>
      <c r="E1774">
        <v>0.63507888499999998</v>
      </c>
      <c r="F1774">
        <v>0.46716154300000001</v>
      </c>
      <c r="G1774">
        <v>0.82614780799999998</v>
      </c>
      <c r="H1774">
        <v>4.1900000000000004</v>
      </c>
      <c r="I1774">
        <v>3.20957028229674</v>
      </c>
      <c r="J1774">
        <v>3.1422034561549999</v>
      </c>
      <c r="K1774">
        <v>3.5324960166916801</v>
      </c>
      <c r="L1774">
        <v>3.5522065047531002</v>
      </c>
      <c r="M1774">
        <v>3.1758868692258702</v>
      </c>
      <c r="N1774">
        <v>3.1757082412912601</v>
      </c>
      <c r="Q1774">
        <f t="shared" si="135"/>
        <v>4.1900000000000004</v>
      </c>
      <c r="R1774">
        <f t="shared" si="137"/>
        <v>3.2183154851245543</v>
      </c>
      <c r="S1774">
        <f t="shared" si="138"/>
        <v>0.97168451487544605</v>
      </c>
      <c r="T1774">
        <f t="shared" si="139"/>
        <v>0.94417079644873092</v>
      </c>
    </row>
    <row r="1775" spans="1:20" hidden="1" x14ac:dyDescent="0.25">
      <c r="A1775" t="str">
        <f t="shared" si="136"/>
        <v>RIP</v>
      </c>
      <c r="B1775" t="s">
        <v>1781</v>
      </c>
      <c r="C1775">
        <v>1.033059942</v>
      </c>
      <c r="D1775">
        <v>0.27512521099999998</v>
      </c>
      <c r="E1775">
        <v>0.65678431299999995</v>
      </c>
      <c r="F1775">
        <v>0.46855522399999999</v>
      </c>
      <c r="G1775">
        <v>0.83344949899999998</v>
      </c>
      <c r="H1775">
        <v>3.97</v>
      </c>
      <c r="I1775">
        <v>3.27128154503602</v>
      </c>
      <c r="J1775">
        <v>3.2846718465290698</v>
      </c>
      <c r="K1775">
        <v>3.2794523521744998</v>
      </c>
      <c r="L1775">
        <v>3.2718068008966701</v>
      </c>
      <c r="M1775">
        <v>3.27797669578255</v>
      </c>
      <c r="N1775">
        <v>3.2779698584718502</v>
      </c>
      <c r="Q1775">
        <f t="shared" si="135"/>
        <v>3.97</v>
      </c>
      <c r="R1775">
        <f t="shared" si="137"/>
        <v>3.3690646496840579</v>
      </c>
      <c r="S1775">
        <f t="shared" si="138"/>
        <v>0.60093535031594225</v>
      </c>
      <c r="T1775">
        <f t="shared" si="139"/>
        <v>0.36112329525934422</v>
      </c>
    </row>
    <row r="1776" spans="1:20" hidden="1" x14ac:dyDescent="0.25">
      <c r="A1776" t="str">
        <f t="shared" si="136"/>
        <v>RIP</v>
      </c>
      <c r="B1776" t="s">
        <v>1782</v>
      </c>
      <c r="C1776">
        <v>1.063347592</v>
      </c>
      <c r="D1776">
        <v>0.26161009200000002</v>
      </c>
      <c r="E1776">
        <v>0.64643572999999999</v>
      </c>
      <c r="F1776">
        <v>0.44232217400000001</v>
      </c>
      <c r="G1776">
        <v>0.82215013999999997</v>
      </c>
      <c r="H1776">
        <v>4.24</v>
      </c>
      <c r="I1776">
        <v>2.8981488083893399</v>
      </c>
      <c r="J1776">
        <v>2.9003462666244402</v>
      </c>
      <c r="K1776">
        <v>3.0354528292391998</v>
      </c>
      <c r="L1776">
        <v>2.9853016419184502</v>
      </c>
      <c r="M1776">
        <v>2.89924753750689</v>
      </c>
      <c r="N1776">
        <v>2.89924732931396</v>
      </c>
      <c r="Q1776">
        <f t="shared" si="135"/>
        <v>4.24</v>
      </c>
      <c r="R1776">
        <f t="shared" si="137"/>
        <v>2.9427592391016262</v>
      </c>
      <c r="S1776">
        <f t="shared" si="138"/>
        <v>1.297240760898374</v>
      </c>
      <c r="T1776">
        <f t="shared" si="139"/>
        <v>1.6828335917361925</v>
      </c>
    </row>
    <row r="1777" spans="1:20" hidden="1" x14ac:dyDescent="0.25">
      <c r="A1777" t="str">
        <f t="shared" si="136"/>
        <v>RIP</v>
      </c>
      <c r="B1777" t="s">
        <v>1783</v>
      </c>
      <c r="C1777">
        <v>1.1995407570000001</v>
      </c>
      <c r="D1777">
        <v>0.26959419099999998</v>
      </c>
      <c r="E1777">
        <v>0.61825498899999998</v>
      </c>
      <c r="F1777">
        <v>0.47796450400000001</v>
      </c>
      <c r="G1777">
        <v>0.807463139</v>
      </c>
      <c r="H1777">
        <v>3.53</v>
      </c>
      <c r="I1777">
        <v>2.9807115853346899</v>
      </c>
      <c r="J1777">
        <v>2.8887637221158502</v>
      </c>
      <c r="K1777">
        <v>3.1729448063604999</v>
      </c>
      <c r="L1777">
        <v>3.1766232283922</v>
      </c>
      <c r="M1777">
        <v>2.9347376537252701</v>
      </c>
      <c r="N1777">
        <v>2.9343775308922502</v>
      </c>
      <c r="Q1777">
        <f t="shared" si="135"/>
        <v>3.53</v>
      </c>
      <c r="R1777">
        <f t="shared" si="137"/>
        <v>2.9305420959671351</v>
      </c>
      <c r="S1777">
        <f t="shared" si="138"/>
        <v>0.5994579040328647</v>
      </c>
      <c r="T1777">
        <f t="shared" si="139"/>
        <v>0.3593497787074752</v>
      </c>
    </row>
    <row r="1778" spans="1:20" hidden="1" x14ac:dyDescent="0.25">
      <c r="A1778" t="str">
        <f t="shared" si="136"/>
        <v>RIP</v>
      </c>
      <c r="B1778" t="s">
        <v>1784</v>
      </c>
      <c r="C1778">
        <v>1.2856030759999999</v>
      </c>
      <c r="D1778">
        <v>0.27387325899999998</v>
      </c>
      <c r="E1778">
        <v>0.61273853199999995</v>
      </c>
      <c r="F1778">
        <v>0.49551904000000002</v>
      </c>
      <c r="G1778">
        <v>0.79831401400000002</v>
      </c>
      <c r="H1778">
        <v>4.1500000000000004</v>
      </c>
      <c r="I1778">
        <v>3.0197357751796301</v>
      </c>
      <c r="J1778">
        <v>2.9041160588889499</v>
      </c>
      <c r="K1778">
        <v>3.09642638083869</v>
      </c>
      <c r="L1778">
        <v>3.1343154647288101</v>
      </c>
      <c r="M1778">
        <v>2.9619259170342902</v>
      </c>
      <c r="N1778">
        <v>2.9613617067661</v>
      </c>
      <c r="Q1778">
        <f t="shared" si="135"/>
        <v>4.1500000000000004</v>
      </c>
      <c r="R1778">
        <f t="shared" si="137"/>
        <v>2.9427019190901644</v>
      </c>
      <c r="S1778">
        <f t="shared" si="138"/>
        <v>1.2072980809098359</v>
      </c>
      <c r="T1778">
        <f t="shared" si="139"/>
        <v>1.4575686561685728</v>
      </c>
    </row>
    <row r="1779" spans="1:20" hidden="1" x14ac:dyDescent="0.25">
      <c r="A1779" t="str">
        <f t="shared" si="136"/>
        <v>RIP</v>
      </c>
      <c r="B1779" t="s">
        <v>1785</v>
      </c>
      <c r="C1779">
        <v>1.250999298</v>
      </c>
      <c r="D1779">
        <v>0.26453480699999998</v>
      </c>
      <c r="E1779">
        <v>0.59272381500000004</v>
      </c>
      <c r="F1779">
        <v>0.47345053799999998</v>
      </c>
      <c r="G1779">
        <v>0.78264497600000005</v>
      </c>
      <c r="H1779">
        <v>4.08</v>
      </c>
      <c r="I1779">
        <v>2.8288162721629901</v>
      </c>
      <c r="J1779">
        <v>2.6282484865496798</v>
      </c>
      <c r="K1779">
        <v>3.2510579850227801</v>
      </c>
      <c r="L1779">
        <v>3.3060267066142202</v>
      </c>
      <c r="M1779">
        <v>2.7285323793563299</v>
      </c>
      <c r="N1779">
        <v>2.7266888502429998</v>
      </c>
      <c r="Q1779">
        <f t="shared" si="135"/>
        <v>4.08</v>
      </c>
      <c r="R1779">
        <f t="shared" si="137"/>
        <v>2.6457379640827705</v>
      </c>
      <c r="S1779">
        <f t="shared" si="138"/>
        <v>1.4342620359172296</v>
      </c>
      <c r="T1779">
        <f t="shared" si="139"/>
        <v>2.0571075876734364</v>
      </c>
    </row>
    <row r="1780" spans="1:20" hidden="1" x14ac:dyDescent="0.25">
      <c r="A1780" t="str">
        <f t="shared" si="136"/>
        <v>RIP</v>
      </c>
      <c r="B1780" t="s">
        <v>1786</v>
      </c>
      <c r="C1780">
        <v>1.3951211990000001</v>
      </c>
      <c r="D1780">
        <v>0.27306539099999999</v>
      </c>
      <c r="E1780">
        <v>0.62163262100000005</v>
      </c>
      <c r="F1780">
        <v>0.48739195400000002</v>
      </c>
      <c r="G1780">
        <v>0.79971187600000004</v>
      </c>
      <c r="H1780">
        <v>4.26</v>
      </c>
      <c r="I1780">
        <v>2.7701860834007501</v>
      </c>
      <c r="J1780">
        <v>2.79489512982975</v>
      </c>
      <c r="K1780">
        <v>3.1108878966373799</v>
      </c>
      <c r="L1780">
        <v>3.2172454689375298</v>
      </c>
      <c r="M1780">
        <v>2.78254060661525</v>
      </c>
      <c r="N1780">
        <v>2.7825131793432498</v>
      </c>
      <c r="Q1780">
        <f t="shared" si="135"/>
        <v>4.26</v>
      </c>
      <c r="R1780">
        <f t="shared" si="137"/>
        <v>2.8054813957634726</v>
      </c>
      <c r="S1780">
        <f t="shared" si="138"/>
        <v>1.4545186042365272</v>
      </c>
      <c r="T1780">
        <f t="shared" si="139"/>
        <v>2.1156243700701753</v>
      </c>
    </row>
    <row r="1781" spans="1:20" hidden="1" x14ac:dyDescent="0.25">
      <c r="A1781" t="str">
        <f t="shared" si="136"/>
        <v>RIP</v>
      </c>
      <c r="B1781" t="s">
        <v>1787</v>
      </c>
      <c r="C1781">
        <v>1.3575757749999999</v>
      </c>
      <c r="D1781">
        <v>0.26707341000000001</v>
      </c>
      <c r="E1781">
        <v>0.61948086899999999</v>
      </c>
      <c r="F1781">
        <v>0.43928239899999999</v>
      </c>
      <c r="G1781">
        <v>0.79522630699999997</v>
      </c>
      <c r="H1781">
        <v>3.34</v>
      </c>
      <c r="I1781">
        <v>2.4717363206759</v>
      </c>
      <c r="J1781">
        <v>2.5566495241195102</v>
      </c>
      <c r="K1781">
        <v>2.9459147807913699</v>
      </c>
      <c r="L1781">
        <v>3.0108940184585502</v>
      </c>
      <c r="M1781">
        <v>2.5141929223977</v>
      </c>
      <c r="N1781">
        <v>2.5138344193691302</v>
      </c>
      <c r="Q1781">
        <f t="shared" si="135"/>
        <v>3.34</v>
      </c>
      <c r="R1781">
        <f t="shared" si="137"/>
        <v>2.5378153539601711</v>
      </c>
      <c r="S1781">
        <f t="shared" si="138"/>
        <v>0.80218464603982875</v>
      </c>
      <c r="T1781">
        <f t="shared" si="139"/>
        <v>0.6435002063420453</v>
      </c>
    </row>
    <row r="1782" spans="1:20" hidden="1" x14ac:dyDescent="0.25">
      <c r="A1782" t="str">
        <f t="shared" si="136"/>
        <v>RIP</v>
      </c>
      <c r="B1782" t="s">
        <v>1788</v>
      </c>
      <c r="C1782">
        <v>1.1557095049999999</v>
      </c>
      <c r="D1782">
        <v>9.0855197999999998E-2</v>
      </c>
      <c r="E1782">
        <v>0.68886586800000005</v>
      </c>
      <c r="F1782">
        <v>0.48179446799999998</v>
      </c>
      <c r="G1782">
        <v>0.74182959400000004</v>
      </c>
      <c r="H1782">
        <v>2.4300000000000002</v>
      </c>
      <c r="I1782">
        <v>3.1598487542901501</v>
      </c>
      <c r="J1782">
        <v>3.0922223840724401</v>
      </c>
      <c r="K1782">
        <v>3.4721336661314299</v>
      </c>
      <c r="L1782">
        <v>3.5378757777278498</v>
      </c>
      <c r="M1782">
        <v>3.1260355691813002</v>
      </c>
      <c r="N1782">
        <v>3.12585269139469</v>
      </c>
      <c r="Q1782">
        <f t="shared" si="135"/>
        <v>2.4300000000000002</v>
      </c>
      <c r="R1782">
        <f t="shared" si="137"/>
        <v>3.1740834575024781</v>
      </c>
      <c r="S1782">
        <f t="shared" si="138"/>
        <v>-0.74408345750247795</v>
      </c>
      <c r="T1782">
        <f t="shared" si="139"/>
        <v>0.55366019172884195</v>
      </c>
    </row>
    <row r="1783" spans="1:20" hidden="1" x14ac:dyDescent="0.25">
      <c r="A1783" t="str">
        <f t="shared" si="136"/>
        <v>RIP</v>
      </c>
      <c r="B1783" t="s">
        <v>1789</v>
      </c>
      <c r="C1783">
        <v>1.229959764</v>
      </c>
      <c r="D1783">
        <v>9.6119523999999998E-2</v>
      </c>
      <c r="E1783">
        <v>0.72485288299999995</v>
      </c>
      <c r="F1783">
        <v>0.49287181200000002</v>
      </c>
      <c r="G1783">
        <v>0.78940160199999998</v>
      </c>
      <c r="H1783">
        <v>2.31</v>
      </c>
      <c r="I1783">
        <v>3.2230188405269899</v>
      </c>
      <c r="J1783">
        <v>3.3461253467705299</v>
      </c>
      <c r="K1783">
        <v>3.3968305437316699</v>
      </c>
      <c r="L1783">
        <v>3.4839788871987998</v>
      </c>
      <c r="M1783">
        <v>3.2845720936487601</v>
      </c>
      <c r="N1783">
        <v>3.2839952855335102</v>
      </c>
      <c r="Q1783">
        <f t="shared" si="135"/>
        <v>2.31</v>
      </c>
      <c r="R1783">
        <f t="shared" si="137"/>
        <v>3.4038076175711298</v>
      </c>
      <c r="S1783">
        <f t="shared" si="138"/>
        <v>-1.0938076175711298</v>
      </c>
      <c r="T1783">
        <f t="shared" si="139"/>
        <v>1.1964151042566309</v>
      </c>
    </row>
    <row r="1784" spans="1:20" hidden="1" x14ac:dyDescent="0.25">
      <c r="A1784" t="str">
        <f t="shared" si="136"/>
        <v>RIP</v>
      </c>
      <c r="B1784" t="s">
        <v>1790</v>
      </c>
      <c r="C1784">
        <v>1.1809202029999999</v>
      </c>
      <c r="D1784">
        <v>9.1867289000000005E-2</v>
      </c>
      <c r="E1784">
        <v>0.71881661600000002</v>
      </c>
      <c r="F1784">
        <v>0.47182452800000002</v>
      </c>
      <c r="G1784">
        <v>0.78515160799999995</v>
      </c>
      <c r="H1784">
        <v>3.41</v>
      </c>
      <c r="I1784">
        <v>3.0666246567019502</v>
      </c>
      <c r="J1784">
        <v>3.1188698549435601</v>
      </c>
      <c r="K1784">
        <v>3.30039718676182</v>
      </c>
      <c r="L1784">
        <v>3.33341092302331</v>
      </c>
      <c r="M1784">
        <v>3.0927472558227498</v>
      </c>
      <c r="N1784">
        <v>3.0926369328154801</v>
      </c>
      <c r="Q1784">
        <f t="shared" si="135"/>
        <v>3.41</v>
      </c>
      <c r="R1784">
        <f t="shared" si="137"/>
        <v>3.1880799035441578</v>
      </c>
      <c r="S1784">
        <f t="shared" si="138"/>
        <v>0.22192009645584232</v>
      </c>
      <c r="T1784">
        <f t="shared" si="139"/>
        <v>4.9248529210970358E-2</v>
      </c>
    </row>
    <row r="1785" spans="1:20" hidden="1" x14ac:dyDescent="0.25">
      <c r="A1785" t="str">
        <f t="shared" si="136"/>
        <v>RIP</v>
      </c>
      <c r="B1785" t="s">
        <v>1791</v>
      </c>
      <c r="C1785">
        <v>1.190177383</v>
      </c>
      <c r="D1785">
        <v>0.100904679</v>
      </c>
      <c r="E1785">
        <v>0.729383789</v>
      </c>
      <c r="F1785">
        <v>0.48726603099999999</v>
      </c>
      <c r="G1785">
        <v>0.79479465199999999</v>
      </c>
      <c r="H1785">
        <v>4.09</v>
      </c>
      <c r="I1785">
        <v>3.4223943767802898</v>
      </c>
      <c r="J1785">
        <v>3.6212232350318398</v>
      </c>
      <c r="K1785">
        <v>3.49363387406718</v>
      </c>
      <c r="L1785">
        <v>3.5724243526963599</v>
      </c>
      <c r="M1785">
        <v>3.5218088059060602</v>
      </c>
      <c r="N1785">
        <v>3.5204053795889898</v>
      </c>
      <c r="Q1785">
        <f t="shared" si="135"/>
        <v>4.09</v>
      </c>
      <c r="R1785">
        <f t="shared" si="137"/>
        <v>3.6601889821395073</v>
      </c>
      <c r="S1785">
        <f t="shared" si="138"/>
        <v>0.42981101786049258</v>
      </c>
      <c r="T1785">
        <f t="shared" si="139"/>
        <v>0.18473751107427266</v>
      </c>
    </row>
    <row r="1786" spans="1:20" hidden="1" x14ac:dyDescent="0.25">
      <c r="A1786" t="str">
        <f t="shared" si="136"/>
        <v>RIP</v>
      </c>
      <c r="B1786" t="s">
        <v>1792</v>
      </c>
      <c r="C1786">
        <v>1.2362765170000001</v>
      </c>
      <c r="D1786">
        <v>9.6652868000000003E-2</v>
      </c>
      <c r="E1786">
        <v>0.73429453700000002</v>
      </c>
      <c r="F1786">
        <v>0.52651186800000005</v>
      </c>
      <c r="G1786">
        <v>0.80181090700000002</v>
      </c>
      <c r="H1786">
        <v>4.0999999999999996</v>
      </c>
      <c r="I1786">
        <v>3.38224868728099</v>
      </c>
      <c r="J1786">
        <v>3.5047081574085599</v>
      </c>
      <c r="K1786">
        <v>3.45978421317559</v>
      </c>
      <c r="L1786">
        <v>3.4845709265940599</v>
      </c>
      <c r="M1786">
        <v>3.4434784223447799</v>
      </c>
      <c r="N1786">
        <v>3.4429340052777802</v>
      </c>
      <c r="Q1786">
        <f t="shared" si="135"/>
        <v>4.0999999999999996</v>
      </c>
      <c r="R1786">
        <f t="shared" si="137"/>
        <v>3.5800040569472236</v>
      </c>
      <c r="S1786">
        <f t="shared" si="138"/>
        <v>0.51999594305277608</v>
      </c>
      <c r="T1786">
        <f t="shared" si="139"/>
        <v>0.27039578079134596</v>
      </c>
    </row>
    <row r="1787" spans="1:20" hidden="1" x14ac:dyDescent="0.25">
      <c r="A1787" t="str">
        <f t="shared" si="136"/>
        <v>RIP</v>
      </c>
      <c r="B1787" t="s">
        <v>1793</v>
      </c>
      <c r="C1787">
        <v>1.1533567090000001</v>
      </c>
      <c r="D1787">
        <v>8.8353627000000004E-2</v>
      </c>
      <c r="E1787">
        <v>0.65260973799999999</v>
      </c>
      <c r="F1787">
        <v>0.43662142399999998</v>
      </c>
      <c r="G1787">
        <v>0.69946162700000003</v>
      </c>
      <c r="H1787">
        <v>3.2</v>
      </c>
      <c r="I1787">
        <v>2.9172819108672301</v>
      </c>
      <c r="J1787">
        <v>2.7768338013363998</v>
      </c>
      <c r="K1787">
        <v>3.2411356863657299</v>
      </c>
      <c r="L1787">
        <v>3.2762319664655299</v>
      </c>
      <c r="M1787">
        <v>2.8470578561018201</v>
      </c>
      <c r="N1787">
        <v>2.8461916692526801</v>
      </c>
      <c r="Q1787">
        <f t="shared" si="135"/>
        <v>3.2</v>
      </c>
      <c r="R1787">
        <f t="shared" si="137"/>
        <v>2.8353984007256385</v>
      </c>
      <c r="S1787">
        <f t="shared" si="138"/>
        <v>0.36460159927436164</v>
      </c>
      <c r="T1787">
        <f t="shared" si="139"/>
        <v>0.13293432619342219</v>
      </c>
    </row>
    <row r="1788" spans="1:20" hidden="1" x14ac:dyDescent="0.25">
      <c r="A1788" t="str">
        <f t="shared" si="136"/>
        <v>RIP</v>
      </c>
      <c r="B1788" t="s">
        <v>1794</v>
      </c>
      <c r="C1788">
        <v>1.1668553779999999</v>
      </c>
      <c r="D1788">
        <v>8.8937057E-2</v>
      </c>
      <c r="E1788">
        <v>0.66345093499999996</v>
      </c>
      <c r="F1788">
        <v>0.472478132</v>
      </c>
      <c r="G1788">
        <v>0.71567951500000004</v>
      </c>
      <c r="H1788">
        <v>3.03</v>
      </c>
      <c r="I1788">
        <v>3.0888420534507799</v>
      </c>
      <c r="J1788">
        <v>2.9332354738679798</v>
      </c>
      <c r="K1788">
        <v>3.3892851034998701</v>
      </c>
      <c r="L1788">
        <v>3.4647227924078701</v>
      </c>
      <c r="M1788">
        <v>3.0110387636593798</v>
      </c>
      <c r="N1788">
        <v>3.0100334025317799</v>
      </c>
      <c r="Q1788">
        <f t="shared" si="135"/>
        <v>3.03</v>
      </c>
      <c r="R1788">
        <f t="shared" si="137"/>
        <v>3.0102253365454628</v>
      </c>
      <c r="S1788">
        <f t="shared" si="138"/>
        <v>1.9774663454537045E-2</v>
      </c>
      <c r="T1788">
        <f t="shared" si="139"/>
        <v>3.9103731474020298E-4</v>
      </c>
    </row>
    <row r="1789" spans="1:20" hidden="1" x14ac:dyDescent="0.25">
      <c r="A1789" t="str">
        <f t="shared" si="136"/>
        <v>RIP</v>
      </c>
      <c r="B1789" t="s">
        <v>1795</v>
      </c>
      <c r="C1789">
        <v>1.239325888</v>
      </c>
      <c r="D1789">
        <v>9.5525774999999993E-2</v>
      </c>
      <c r="E1789">
        <v>0.65430187500000003</v>
      </c>
      <c r="F1789">
        <v>0.47295134700000002</v>
      </c>
      <c r="G1789">
        <v>0.72572639299999997</v>
      </c>
      <c r="H1789">
        <v>3.33</v>
      </c>
      <c r="I1789">
        <v>3.1630698229873802</v>
      </c>
      <c r="J1789">
        <v>3.1194054361455299</v>
      </c>
      <c r="K1789">
        <v>3.2619192322733701</v>
      </c>
      <c r="L1789">
        <v>3.3283036642499702</v>
      </c>
      <c r="M1789">
        <v>3.1412376295664499</v>
      </c>
      <c r="N1789">
        <v>3.1411617597211898</v>
      </c>
      <c r="Q1789">
        <f t="shared" si="135"/>
        <v>3.33</v>
      </c>
      <c r="R1789">
        <f t="shared" si="137"/>
        <v>3.161366690762808</v>
      </c>
      <c r="S1789">
        <f t="shared" si="138"/>
        <v>0.16863330923719211</v>
      </c>
      <c r="T1789">
        <f t="shared" si="139"/>
        <v>2.8437192984286461E-2</v>
      </c>
    </row>
    <row r="1790" spans="1:20" hidden="1" x14ac:dyDescent="0.25">
      <c r="A1790" t="str">
        <f t="shared" si="136"/>
        <v>RIP</v>
      </c>
      <c r="B1790" t="s">
        <v>1796</v>
      </c>
      <c r="C1790">
        <v>1.2996294020000001</v>
      </c>
      <c r="D1790">
        <v>8.9743163000000001E-2</v>
      </c>
      <c r="E1790">
        <v>0.65790150599999997</v>
      </c>
      <c r="F1790">
        <v>0.49233178900000002</v>
      </c>
      <c r="G1790">
        <v>0.71647785900000005</v>
      </c>
      <c r="H1790">
        <v>3.28</v>
      </c>
      <c r="I1790">
        <v>3.0287332755364198</v>
      </c>
      <c r="J1790">
        <v>2.89533380079813</v>
      </c>
      <c r="K1790">
        <v>3.2247958941982602</v>
      </c>
      <c r="L1790">
        <v>3.3043794704496499</v>
      </c>
      <c r="M1790">
        <v>2.9620335381672702</v>
      </c>
      <c r="N1790">
        <v>2.9612824630998298</v>
      </c>
      <c r="Q1790">
        <f t="shared" si="135"/>
        <v>3.28</v>
      </c>
      <c r="R1790">
        <f t="shared" si="137"/>
        <v>2.9540213182830826</v>
      </c>
      <c r="S1790">
        <f t="shared" si="138"/>
        <v>0.32597868171691724</v>
      </c>
      <c r="T1790">
        <f t="shared" si="139"/>
        <v>0.10626210093389923</v>
      </c>
    </row>
    <row r="1791" spans="1:20" hidden="1" x14ac:dyDescent="0.25">
      <c r="A1791" t="str">
        <f t="shared" si="136"/>
        <v>RIP</v>
      </c>
      <c r="B1791" t="s">
        <v>1797</v>
      </c>
      <c r="C1791">
        <v>1.117060747</v>
      </c>
      <c r="D1791">
        <v>9.1959020000000002E-2</v>
      </c>
      <c r="E1791">
        <v>0.68015999000000005</v>
      </c>
      <c r="F1791">
        <v>0.49529794599999999</v>
      </c>
      <c r="G1791">
        <v>0.73433056699999999</v>
      </c>
      <c r="H1791">
        <v>3.42</v>
      </c>
      <c r="I1791">
        <v>3.3274159785794701</v>
      </c>
      <c r="J1791">
        <v>3.2114724057097401</v>
      </c>
      <c r="K1791">
        <v>3.61725544234922</v>
      </c>
      <c r="L1791">
        <v>3.71103423208839</v>
      </c>
      <c r="M1791">
        <v>3.26944419214461</v>
      </c>
      <c r="N1791">
        <v>3.2689301915956599</v>
      </c>
      <c r="Q1791">
        <f t="shared" si="135"/>
        <v>3.42</v>
      </c>
      <c r="R1791">
        <f t="shared" si="137"/>
        <v>3.3064709088077708</v>
      </c>
      <c r="S1791">
        <f t="shared" si="138"/>
        <v>0.11352909119222909</v>
      </c>
      <c r="T1791">
        <f t="shared" si="139"/>
        <v>1.2888854546933469E-2</v>
      </c>
    </row>
    <row r="1792" spans="1:20" hidden="1" x14ac:dyDescent="0.25">
      <c r="A1792" t="str">
        <f t="shared" si="136"/>
        <v>RIP</v>
      </c>
      <c r="B1792" t="s">
        <v>1798</v>
      </c>
      <c r="C1792">
        <v>1.1351126039999999</v>
      </c>
      <c r="D1792">
        <v>8.8139122E-2</v>
      </c>
      <c r="E1792">
        <v>0.68449051299999997</v>
      </c>
      <c r="F1792">
        <v>0.486075751</v>
      </c>
      <c r="G1792">
        <v>0.75033459000000002</v>
      </c>
      <c r="H1792">
        <v>3.13</v>
      </c>
      <c r="I1792">
        <v>3.1248006271196802</v>
      </c>
      <c r="J1792">
        <v>3.01730025285738</v>
      </c>
      <c r="K1792">
        <v>3.5371656921112402</v>
      </c>
      <c r="L1792">
        <v>3.61297586075802</v>
      </c>
      <c r="M1792">
        <v>3.0710504399885301</v>
      </c>
      <c r="N1792">
        <v>3.0705800302771999</v>
      </c>
      <c r="Q1792">
        <f t="shared" si="135"/>
        <v>3.13</v>
      </c>
      <c r="R1792">
        <f t="shared" si="137"/>
        <v>3.1121493953820938</v>
      </c>
      <c r="S1792">
        <f t="shared" si="138"/>
        <v>1.7850604617906107E-2</v>
      </c>
      <c r="T1792">
        <f t="shared" si="139"/>
        <v>3.1864408522481086E-4</v>
      </c>
    </row>
    <row r="1793" spans="1:20" hidden="1" x14ac:dyDescent="0.25">
      <c r="A1793" t="str">
        <f t="shared" si="136"/>
        <v>RIP</v>
      </c>
      <c r="B1793" t="s">
        <v>1799</v>
      </c>
      <c r="C1793">
        <v>1.0977398819999999</v>
      </c>
      <c r="D1793">
        <v>9.1032733000000005E-2</v>
      </c>
      <c r="E1793">
        <v>0.691627926</v>
      </c>
      <c r="F1793">
        <v>0.48527958900000001</v>
      </c>
      <c r="G1793">
        <v>0.75803023000000003</v>
      </c>
      <c r="H1793">
        <v>3.66</v>
      </c>
      <c r="I1793">
        <v>3.2416828580925499</v>
      </c>
      <c r="J1793">
        <v>3.1744390203414401</v>
      </c>
      <c r="K1793">
        <v>3.5635386573300898</v>
      </c>
      <c r="L1793">
        <v>3.6169472268445602</v>
      </c>
      <c r="M1793">
        <v>3.2080609392169999</v>
      </c>
      <c r="N1793">
        <v>3.2078847479766099</v>
      </c>
      <c r="Q1793">
        <f t="shared" ref="Q1793:Q1856" si="140">H1793</f>
        <v>3.66</v>
      </c>
      <c r="R1793">
        <f t="shared" si="137"/>
        <v>3.2705189931973124</v>
      </c>
      <c r="S1793">
        <f t="shared" si="138"/>
        <v>0.38948100680268771</v>
      </c>
      <c r="T1793">
        <f t="shared" si="139"/>
        <v>0.15169545466003528</v>
      </c>
    </row>
    <row r="1794" spans="1:20" hidden="1" x14ac:dyDescent="0.25">
      <c r="A1794" t="str">
        <f t="shared" si="136"/>
        <v>RIP</v>
      </c>
      <c r="B1794" t="s">
        <v>1800</v>
      </c>
      <c r="C1794">
        <v>1.091472625</v>
      </c>
      <c r="D1794">
        <v>9.3537444999999997E-2</v>
      </c>
      <c r="E1794">
        <v>0.68695371999999999</v>
      </c>
      <c r="F1794">
        <v>0.484049958</v>
      </c>
      <c r="G1794">
        <v>0.76496831499999995</v>
      </c>
      <c r="H1794">
        <v>3.19</v>
      </c>
      <c r="I1794">
        <v>3.3273151498448499</v>
      </c>
      <c r="J1794">
        <v>3.2731287355045402</v>
      </c>
      <c r="K1794">
        <v>3.5367687686093299</v>
      </c>
      <c r="L1794">
        <v>3.5875590397500301</v>
      </c>
      <c r="M1794">
        <v>3.3002219426746899</v>
      </c>
      <c r="N1794">
        <v>3.3001107298145</v>
      </c>
      <c r="Q1794">
        <f t="shared" si="140"/>
        <v>3.19</v>
      </c>
      <c r="R1794">
        <f t="shared" si="137"/>
        <v>3.3622901953094519</v>
      </c>
      <c r="S1794">
        <f t="shared" si="138"/>
        <v>-0.172290195309452</v>
      </c>
      <c r="T1794">
        <f t="shared" si="139"/>
        <v>2.9683911399769114E-2</v>
      </c>
    </row>
    <row r="1795" spans="1:20" hidden="1" x14ac:dyDescent="0.25">
      <c r="A1795" t="str">
        <f t="shared" ref="A1795:A1858" si="141">LEFT(B1795,3)</f>
        <v>RIP</v>
      </c>
      <c r="B1795" t="s">
        <v>1801</v>
      </c>
      <c r="C1795">
        <v>1.0362550260000001</v>
      </c>
      <c r="D1795">
        <v>9.4305887000000005E-2</v>
      </c>
      <c r="E1795">
        <v>0.68143359100000001</v>
      </c>
      <c r="F1795">
        <v>0.48697234099999998</v>
      </c>
      <c r="G1795">
        <v>0.74687165300000002</v>
      </c>
      <c r="H1795">
        <v>3.48</v>
      </c>
      <c r="I1795">
        <v>3.4457142326369001</v>
      </c>
      <c r="J1795">
        <v>3.3637101908801199</v>
      </c>
      <c r="K1795">
        <v>3.6799443073008402</v>
      </c>
      <c r="L1795">
        <v>3.7264838585213398</v>
      </c>
      <c r="M1795">
        <v>3.4047122117585098</v>
      </c>
      <c r="N1795">
        <v>3.4044653147273198</v>
      </c>
      <c r="Q1795">
        <f t="shared" si="140"/>
        <v>3.48</v>
      </c>
      <c r="R1795">
        <f t="shared" ref="R1795:R1858" si="142">$X$2*F1795+$X$3*D1795*E1795+($X$4/(D1795-$X$5))-$X$6*C1795</f>
        <v>3.4636109734450882</v>
      </c>
      <c r="S1795">
        <f t="shared" ref="S1795:S1858" si="143">Q1795-R1795</f>
        <v>1.6389026554911812E-2</v>
      </c>
      <c r="T1795">
        <f t="shared" ref="T1795:T1858" si="144">S1795^2</f>
        <v>2.6860019141760456E-4</v>
      </c>
    </row>
    <row r="1796" spans="1:20" hidden="1" x14ac:dyDescent="0.25">
      <c r="A1796" t="str">
        <f t="shared" si="141"/>
        <v>RIP</v>
      </c>
      <c r="B1796" t="s">
        <v>1802</v>
      </c>
      <c r="C1796">
        <v>1.253481305</v>
      </c>
      <c r="D1796">
        <v>9.3259282999999998E-2</v>
      </c>
      <c r="E1796">
        <v>0.70703763900000005</v>
      </c>
      <c r="F1796">
        <v>0.50802507699999999</v>
      </c>
      <c r="G1796">
        <v>0.78315501700000001</v>
      </c>
      <c r="H1796">
        <v>3.43</v>
      </c>
      <c r="I1796">
        <v>3.19630537714781</v>
      </c>
      <c r="J1796">
        <v>3.2194964180388501</v>
      </c>
      <c r="K1796">
        <v>3.3459930715274502</v>
      </c>
      <c r="L1796">
        <v>3.3862649713899202</v>
      </c>
      <c r="M1796">
        <v>3.2079008975933299</v>
      </c>
      <c r="N1796">
        <v>3.2078799405036502</v>
      </c>
      <c r="Q1796">
        <f t="shared" si="140"/>
        <v>3.43</v>
      </c>
      <c r="R1796">
        <f t="shared" si="142"/>
        <v>3.2906812668104406</v>
      </c>
      <c r="S1796">
        <f t="shared" si="143"/>
        <v>0.13931873318955956</v>
      </c>
      <c r="T1796">
        <f t="shared" si="144"/>
        <v>1.9409709417543684E-2</v>
      </c>
    </row>
    <row r="1797" spans="1:20" hidden="1" x14ac:dyDescent="0.25">
      <c r="A1797" t="str">
        <f t="shared" si="141"/>
        <v>RIP</v>
      </c>
      <c r="B1797" t="s">
        <v>1803</v>
      </c>
      <c r="C1797">
        <v>1.101060793</v>
      </c>
      <c r="D1797">
        <v>8.3733223999999995E-2</v>
      </c>
      <c r="E1797">
        <v>0.665142648</v>
      </c>
      <c r="F1797">
        <v>0.434982168</v>
      </c>
      <c r="G1797">
        <v>0.70494650299999995</v>
      </c>
      <c r="H1797">
        <v>1.69</v>
      </c>
      <c r="I1797">
        <v>2.87600581805237</v>
      </c>
      <c r="J1797">
        <v>2.6811109623763101</v>
      </c>
      <c r="K1797">
        <v>3.3554118078839901</v>
      </c>
      <c r="L1797">
        <v>3.37709031038486</v>
      </c>
      <c r="M1797">
        <v>2.7785583902143398</v>
      </c>
      <c r="N1797">
        <v>2.7768490644322501</v>
      </c>
      <c r="Q1797">
        <f t="shared" si="140"/>
        <v>1.69</v>
      </c>
      <c r="R1797">
        <f t="shared" si="142"/>
        <v>2.7583158338289158</v>
      </c>
      <c r="S1797">
        <f t="shared" si="143"/>
        <v>-1.0683158338289158</v>
      </c>
      <c r="T1797">
        <f t="shared" si="144"/>
        <v>1.1412987208095717</v>
      </c>
    </row>
    <row r="1798" spans="1:20" hidden="1" x14ac:dyDescent="0.25">
      <c r="A1798" t="str">
        <f t="shared" si="141"/>
        <v>RIP</v>
      </c>
      <c r="B1798" t="s">
        <v>1804</v>
      </c>
      <c r="C1798">
        <v>1.012400212</v>
      </c>
      <c r="D1798">
        <v>8.7052794000000003E-2</v>
      </c>
      <c r="E1798">
        <v>0.659407521</v>
      </c>
      <c r="F1798">
        <v>0.42323586299999999</v>
      </c>
      <c r="G1798">
        <v>0.69002119399999995</v>
      </c>
      <c r="H1798">
        <v>2.92</v>
      </c>
      <c r="I1798">
        <v>3.0418819184482202</v>
      </c>
      <c r="J1798">
        <v>2.8318769728425099</v>
      </c>
      <c r="K1798">
        <v>3.5404616051245199</v>
      </c>
      <c r="L1798">
        <v>3.5551707919684801</v>
      </c>
      <c r="M1798">
        <v>2.9368794456453702</v>
      </c>
      <c r="N1798">
        <v>2.9350017647285198</v>
      </c>
      <c r="Q1798">
        <f t="shared" si="140"/>
        <v>2.92</v>
      </c>
      <c r="R1798">
        <f t="shared" si="142"/>
        <v>2.9152491651091266</v>
      </c>
      <c r="S1798">
        <f t="shared" si="143"/>
        <v>4.7508348908733566E-3</v>
      </c>
      <c r="T1798">
        <f t="shared" si="144"/>
        <v>2.2570432160339658E-5</v>
      </c>
    </row>
    <row r="1799" spans="1:20" hidden="1" x14ac:dyDescent="0.25">
      <c r="A1799" t="str">
        <f t="shared" si="141"/>
        <v>RIP</v>
      </c>
      <c r="B1799" t="s">
        <v>1805</v>
      </c>
      <c r="C1799">
        <v>1.0153847460000001</v>
      </c>
      <c r="D1799">
        <v>9.0095049999999996E-2</v>
      </c>
      <c r="E1799">
        <v>0.69454881199999996</v>
      </c>
      <c r="F1799">
        <v>0.47564791699999998</v>
      </c>
      <c r="G1799">
        <v>0.75779728599999996</v>
      </c>
      <c r="H1799">
        <v>2.78</v>
      </c>
      <c r="I1799">
        <v>3.2792814801838599</v>
      </c>
      <c r="J1799">
        <v>3.1887458683704599</v>
      </c>
      <c r="K1799">
        <v>3.7511056646607801</v>
      </c>
      <c r="L1799">
        <v>3.8264047940665602</v>
      </c>
      <c r="M1799">
        <v>3.2340136742771599</v>
      </c>
      <c r="N1799">
        <v>3.2336968428039201</v>
      </c>
      <c r="Q1799">
        <f t="shared" si="140"/>
        <v>2.78</v>
      </c>
      <c r="R1799">
        <f t="shared" si="142"/>
        <v>3.2990064647243358</v>
      </c>
      <c r="S1799">
        <f t="shared" si="143"/>
        <v>-0.51900646472433598</v>
      </c>
      <c r="T1799">
        <f t="shared" si="144"/>
        <v>0.26936771042565338</v>
      </c>
    </row>
    <row r="1800" spans="1:20" hidden="1" x14ac:dyDescent="0.25">
      <c r="A1800" t="str">
        <f t="shared" si="141"/>
        <v>RIP</v>
      </c>
      <c r="B1800" t="s">
        <v>1806</v>
      </c>
      <c r="C1800">
        <v>1.251567028</v>
      </c>
      <c r="D1800">
        <v>8.9911567999999997E-2</v>
      </c>
      <c r="E1800">
        <v>0.66613261000000001</v>
      </c>
      <c r="F1800">
        <v>0.45970074300000002</v>
      </c>
      <c r="G1800">
        <v>0.72003483199999996</v>
      </c>
      <c r="H1800">
        <v>2.74</v>
      </c>
      <c r="I1800">
        <v>2.9150975472721301</v>
      </c>
      <c r="J1800">
        <v>2.8427654116466501</v>
      </c>
      <c r="K1800">
        <v>3.25575460349088</v>
      </c>
      <c r="L1800">
        <v>3.3556547183317802</v>
      </c>
      <c r="M1800">
        <v>2.8789314794593901</v>
      </c>
      <c r="N1800">
        <v>2.8787043055793702</v>
      </c>
      <c r="Q1800">
        <f t="shared" si="140"/>
        <v>2.74</v>
      </c>
      <c r="R1800">
        <f t="shared" si="142"/>
        <v>2.8917269634546825</v>
      </c>
      <c r="S1800">
        <f t="shared" si="143"/>
        <v>-0.15172696345468228</v>
      </c>
      <c r="T1800">
        <f t="shared" si="144"/>
        <v>2.3021071439178493E-2</v>
      </c>
    </row>
    <row r="1801" spans="1:20" hidden="1" x14ac:dyDescent="0.25">
      <c r="A1801" t="str">
        <f t="shared" si="141"/>
        <v>RIP</v>
      </c>
      <c r="B1801" t="s">
        <v>1807</v>
      </c>
      <c r="C1801">
        <v>1.037934728</v>
      </c>
      <c r="D1801">
        <v>8.6012097999999995E-2</v>
      </c>
      <c r="E1801">
        <v>0.67894608599999995</v>
      </c>
      <c r="F1801">
        <v>0.43024246900000002</v>
      </c>
      <c r="G1801">
        <v>0.72868378300000003</v>
      </c>
      <c r="H1801">
        <v>2.75</v>
      </c>
      <c r="I1801">
        <v>2.9516533469614199</v>
      </c>
      <c r="J1801">
        <v>2.82447014088907</v>
      </c>
      <c r="K1801">
        <v>3.4334293148802901</v>
      </c>
      <c r="L1801">
        <v>3.43398326910846</v>
      </c>
      <c r="M1801">
        <v>2.8880617439252401</v>
      </c>
      <c r="N1801">
        <v>2.8873615542130899</v>
      </c>
      <c r="Q1801">
        <f t="shared" si="140"/>
        <v>2.75</v>
      </c>
      <c r="R1801">
        <f t="shared" si="142"/>
        <v>2.9094714279159324</v>
      </c>
      <c r="S1801">
        <f t="shared" si="143"/>
        <v>-0.15947142791593238</v>
      </c>
      <c r="T1801">
        <f t="shared" si="144"/>
        <v>2.5431136321546418E-2</v>
      </c>
    </row>
    <row r="1802" spans="1:20" hidden="1" x14ac:dyDescent="0.25">
      <c r="A1802" t="str">
        <f t="shared" si="141"/>
        <v>RIP</v>
      </c>
      <c r="B1802" t="s">
        <v>1808</v>
      </c>
      <c r="C1802">
        <v>1.216024685</v>
      </c>
      <c r="D1802">
        <v>9.2906480999999999E-2</v>
      </c>
      <c r="E1802">
        <v>0.66666288299999998</v>
      </c>
      <c r="F1802">
        <v>0.490370219</v>
      </c>
      <c r="G1802">
        <v>0.72337160599999994</v>
      </c>
      <c r="H1802">
        <v>3.17</v>
      </c>
      <c r="I1802">
        <v>3.2069258401893799</v>
      </c>
      <c r="J1802">
        <v>3.1122800365677499</v>
      </c>
      <c r="K1802">
        <v>3.3722566291118898</v>
      </c>
      <c r="L1802">
        <v>3.4651779195039101</v>
      </c>
      <c r="M1802">
        <v>3.15960293837857</v>
      </c>
      <c r="N1802">
        <v>3.1592485295042398</v>
      </c>
      <c r="Q1802">
        <f t="shared" si="140"/>
        <v>3.17</v>
      </c>
      <c r="R1802">
        <f t="shared" si="142"/>
        <v>3.1796022293992507</v>
      </c>
      <c r="S1802">
        <f t="shared" si="143"/>
        <v>-9.6022293992508168E-3</v>
      </c>
      <c r="T1802">
        <f t="shared" si="144"/>
        <v>9.2202809435836699E-5</v>
      </c>
    </row>
    <row r="1803" spans="1:20" hidden="1" x14ac:dyDescent="0.25">
      <c r="A1803" t="str">
        <f t="shared" si="141"/>
        <v>RIP</v>
      </c>
      <c r="B1803" t="s">
        <v>1809</v>
      </c>
      <c r="C1803">
        <v>1.3508593799999999</v>
      </c>
      <c r="D1803">
        <v>9.2096852000000007E-2</v>
      </c>
      <c r="E1803">
        <v>0.67726785700000003</v>
      </c>
      <c r="F1803">
        <v>0.48715140400000001</v>
      </c>
      <c r="G1803">
        <v>0.73820816499999997</v>
      </c>
      <c r="H1803">
        <v>3.14</v>
      </c>
      <c r="I1803">
        <v>2.9561948934123401</v>
      </c>
      <c r="J1803">
        <v>2.94883816064752</v>
      </c>
      <c r="K1803">
        <v>3.0457278109898702</v>
      </c>
      <c r="L1803">
        <v>3.11639928456905</v>
      </c>
      <c r="M1803">
        <v>2.9525165270299301</v>
      </c>
      <c r="N1803">
        <v>2.9525142356990601</v>
      </c>
      <c r="Q1803">
        <f t="shared" si="140"/>
        <v>3.14</v>
      </c>
      <c r="R1803">
        <f t="shared" si="142"/>
        <v>2.9883071082167536</v>
      </c>
      <c r="S1803">
        <f t="shared" si="143"/>
        <v>0.15169289178324652</v>
      </c>
      <c r="T1803">
        <f t="shared" si="144"/>
        <v>2.3010733417563739E-2</v>
      </c>
    </row>
    <row r="1804" spans="1:20" hidden="1" x14ac:dyDescent="0.25">
      <c r="A1804" t="str">
        <f t="shared" si="141"/>
        <v>RIP</v>
      </c>
      <c r="B1804" t="s">
        <v>1810</v>
      </c>
      <c r="C1804">
        <v>1.34286335</v>
      </c>
      <c r="D1804">
        <v>9.5448854999999999E-2</v>
      </c>
      <c r="E1804">
        <v>0.69165867199999997</v>
      </c>
      <c r="F1804">
        <v>0.51942780700000002</v>
      </c>
      <c r="G1804">
        <v>0.76127889500000001</v>
      </c>
      <c r="H1804">
        <v>3.7</v>
      </c>
      <c r="I1804">
        <v>3.2072679906639201</v>
      </c>
      <c r="J1804">
        <v>3.2445436023626399</v>
      </c>
      <c r="K1804">
        <v>3.3016329277085901</v>
      </c>
      <c r="L1804">
        <v>3.3671295568730102</v>
      </c>
      <c r="M1804">
        <v>3.2259057965132798</v>
      </c>
      <c r="N1804">
        <v>3.22585195571203</v>
      </c>
      <c r="Q1804">
        <f t="shared" si="140"/>
        <v>3.7</v>
      </c>
      <c r="R1804">
        <f t="shared" si="142"/>
        <v>3.2952075947819637</v>
      </c>
      <c r="S1804">
        <f t="shared" si="143"/>
        <v>0.4047924052180365</v>
      </c>
      <c r="T1804">
        <f t="shared" si="144"/>
        <v>0.16385689132220307</v>
      </c>
    </row>
    <row r="1805" spans="1:20" hidden="1" x14ac:dyDescent="0.25">
      <c r="A1805" t="str">
        <f t="shared" si="141"/>
        <v>RIP</v>
      </c>
      <c r="B1805" t="s">
        <v>1811</v>
      </c>
      <c r="C1805">
        <v>1.157750177</v>
      </c>
      <c r="D1805">
        <v>9.8156903000000004E-2</v>
      </c>
      <c r="E1805">
        <v>0.70107020399999997</v>
      </c>
      <c r="F1805">
        <v>0.50085544100000001</v>
      </c>
      <c r="G1805">
        <v>0.77029566599999999</v>
      </c>
      <c r="H1805">
        <v>4.08</v>
      </c>
      <c r="I1805">
        <v>3.45101506512996</v>
      </c>
      <c r="J1805">
        <v>3.5078278871100701</v>
      </c>
      <c r="K1805">
        <v>3.60269294267286</v>
      </c>
      <c r="L1805">
        <v>3.6859828842642801</v>
      </c>
      <c r="M1805">
        <v>3.47942147612001</v>
      </c>
      <c r="N1805">
        <v>3.4793055175278602</v>
      </c>
      <c r="Q1805">
        <f t="shared" si="140"/>
        <v>4.08</v>
      </c>
      <c r="R1805">
        <f t="shared" si="142"/>
        <v>3.5755359755628158</v>
      </c>
      <c r="S1805">
        <f t="shared" si="143"/>
        <v>0.5044640244371843</v>
      </c>
      <c r="T1805">
        <f t="shared" si="144"/>
        <v>0.25448395195136009</v>
      </c>
    </row>
    <row r="1806" spans="1:20" hidden="1" x14ac:dyDescent="0.25">
      <c r="A1806" t="str">
        <f t="shared" si="141"/>
        <v>RIP</v>
      </c>
      <c r="B1806" t="s">
        <v>1812</v>
      </c>
      <c r="C1806">
        <v>1.298413619</v>
      </c>
      <c r="D1806">
        <v>9.2535145999999999E-2</v>
      </c>
      <c r="E1806">
        <v>0.68310246699999999</v>
      </c>
      <c r="F1806">
        <v>0.50057301099999996</v>
      </c>
      <c r="G1806">
        <v>0.74434636200000004</v>
      </c>
      <c r="H1806">
        <v>3.31</v>
      </c>
      <c r="I1806">
        <v>3.10127183120585</v>
      </c>
      <c r="J1806">
        <v>3.07806720680763</v>
      </c>
      <c r="K1806">
        <v>3.28860969900609</v>
      </c>
      <c r="L1806">
        <v>3.3649747686079001</v>
      </c>
      <c r="M1806">
        <v>3.08966951900674</v>
      </c>
      <c r="N1806">
        <v>3.0896477344563</v>
      </c>
      <c r="Q1806">
        <f t="shared" si="140"/>
        <v>3.31</v>
      </c>
      <c r="R1806">
        <f t="shared" si="142"/>
        <v>3.1360182849659939</v>
      </c>
      <c r="S1806">
        <f t="shared" si="143"/>
        <v>0.17398171503400617</v>
      </c>
      <c r="T1806">
        <f t="shared" si="144"/>
        <v>3.0269637166174129E-2</v>
      </c>
    </row>
    <row r="1807" spans="1:20" hidden="1" x14ac:dyDescent="0.25">
      <c r="A1807" t="str">
        <f t="shared" si="141"/>
        <v>RIP</v>
      </c>
      <c r="B1807" t="s">
        <v>1813</v>
      </c>
      <c r="C1807">
        <v>1.490814095</v>
      </c>
      <c r="D1807">
        <v>0.10073465500000001</v>
      </c>
      <c r="E1807">
        <v>0.68445476699999996</v>
      </c>
      <c r="F1807">
        <v>0.51119680599999995</v>
      </c>
      <c r="G1807">
        <v>0.75561558200000001</v>
      </c>
      <c r="H1807">
        <v>3.29</v>
      </c>
      <c r="I1807">
        <v>3.1527211388569998</v>
      </c>
      <c r="J1807">
        <v>3.3208416841388901</v>
      </c>
      <c r="K1807">
        <v>2.95872945330798</v>
      </c>
      <c r="L1807">
        <v>3.0878727353822302</v>
      </c>
      <c r="M1807">
        <v>3.2367814114979399</v>
      </c>
      <c r="N1807">
        <v>3.23568969099049</v>
      </c>
      <c r="Q1807">
        <f t="shared" si="140"/>
        <v>3.29</v>
      </c>
      <c r="R1807">
        <f t="shared" si="142"/>
        <v>3.3086926834604995</v>
      </c>
      <c r="S1807">
        <f t="shared" si="143"/>
        <v>-1.869268346049946E-2</v>
      </c>
      <c r="T1807">
        <f t="shared" si="144"/>
        <v>3.4941641495443005E-4</v>
      </c>
    </row>
    <row r="1808" spans="1:20" hidden="1" x14ac:dyDescent="0.25">
      <c r="A1808" t="str">
        <f t="shared" si="141"/>
        <v>RIP</v>
      </c>
      <c r="B1808" t="s">
        <v>1814</v>
      </c>
      <c r="C1808">
        <v>1.4405155599999999</v>
      </c>
      <c r="D1808">
        <v>9.5834824999999998E-2</v>
      </c>
      <c r="E1808">
        <v>0.68414836700000003</v>
      </c>
      <c r="F1808">
        <v>0.49982230999999999</v>
      </c>
      <c r="G1808">
        <v>0.74960019899999997</v>
      </c>
      <c r="H1808">
        <v>3.19</v>
      </c>
      <c r="I1808">
        <v>2.9949895436426002</v>
      </c>
      <c r="J1808">
        <v>3.0803466934563501</v>
      </c>
      <c r="K1808">
        <v>3.0460663492380999</v>
      </c>
      <c r="L1808">
        <v>3.1768878274655998</v>
      </c>
      <c r="M1808">
        <v>3.0376681185494698</v>
      </c>
      <c r="N1808">
        <v>3.0373682914154201</v>
      </c>
      <c r="Q1808">
        <f t="shared" si="140"/>
        <v>3.19</v>
      </c>
      <c r="R1808">
        <f t="shared" si="142"/>
        <v>3.0961952453921553</v>
      </c>
      <c r="S1808">
        <f t="shared" si="143"/>
        <v>9.3804754607844654E-2</v>
      </c>
      <c r="T1808">
        <f t="shared" si="144"/>
        <v>8.7993319870379536E-3</v>
      </c>
    </row>
    <row r="1809" spans="1:20" hidden="1" x14ac:dyDescent="0.25">
      <c r="A1809" t="str">
        <f t="shared" si="141"/>
        <v>RIP</v>
      </c>
      <c r="B1809" t="s">
        <v>1815</v>
      </c>
      <c r="C1809">
        <v>1.3916507149999999</v>
      </c>
      <c r="D1809">
        <v>0.10245860699999999</v>
      </c>
      <c r="E1809">
        <v>0.69837794200000003</v>
      </c>
      <c r="F1809">
        <v>0.50842813799999997</v>
      </c>
      <c r="G1809">
        <v>0.76713855099999995</v>
      </c>
      <c r="H1809">
        <v>3.28</v>
      </c>
      <c r="I1809">
        <v>3.3242530207456999</v>
      </c>
      <c r="J1809">
        <v>3.5334954686970499</v>
      </c>
      <c r="K1809">
        <v>3.1823629968149798</v>
      </c>
      <c r="L1809">
        <v>3.2768391587486998</v>
      </c>
      <c r="M1809">
        <v>3.42887424472138</v>
      </c>
      <c r="N1809">
        <v>3.4272777806310701</v>
      </c>
      <c r="Q1809">
        <f t="shared" si="140"/>
        <v>3.28</v>
      </c>
      <c r="R1809">
        <f t="shared" si="142"/>
        <v>3.530224254128334</v>
      </c>
      <c r="S1809">
        <f t="shared" si="143"/>
        <v>-0.25022425412833416</v>
      </c>
      <c r="T1809">
        <f t="shared" si="144"/>
        <v>6.2612177354081158E-2</v>
      </c>
    </row>
    <row r="1810" spans="1:20" hidden="1" x14ac:dyDescent="0.25">
      <c r="A1810" t="str">
        <f t="shared" si="141"/>
        <v>RIP</v>
      </c>
      <c r="B1810" t="s">
        <v>1816</v>
      </c>
      <c r="C1810">
        <v>1.4786910689999999</v>
      </c>
      <c r="D1810">
        <v>9.7253299000000001E-2</v>
      </c>
      <c r="E1810">
        <v>0.67860414000000002</v>
      </c>
      <c r="F1810">
        <v>0.49417807600000002</v>
      </c>
      <c r="G1810">
        <v>0.74383560199999998</v>
      </c>
      <c r="H1810">
        <v>3.48</v>
      </c>
      <c r="I1810">
        <v>2.9626943304961801</v>
      </c>
      <c r="J1810">
        <v>3.0796560095388701</v>
      </c>
      <c r="K1810">
        <v>2.9205908385019499</v>
      </c>
      <c r="L1810">
        <v>3.0410440217871901</v>
      </c>
      <c r="M1810">
        <v>3.0211751700175302</v>
      </c>
      <c r="N1810">
        <v>3.0206091106495898</v>
      </c>
      <c r="Q1810">
        <f t="shared" si="140"/>
        <v>3.48</v>
      </c>
      <c r="R1810">
        <f t="shared" si="142"/>
        <v>3.0776079881013301</v>
      </c>
      <c r="S1810">
        <f t="shared" si="143"/>
        <v>0.40239201189866991</v>
      </c>
      <c r="T1810">
        <f t="shared" si="144"/>
        <v>0.1619193312398593</v>
      </c>
    </row>
    <row r="1811" spans="1:20" hidden="1" x14ac:dyDescent="0.25">
      <c r="A1811" t="str">
        <f t="shared" si="141"/>
        <v>RIP</v>
      </c>
      <c r="B1811" t="s">
        <v>1817</v>
      </c>
      <c r="C1811">
        <v>1.3143627360000001</v>
      </c>
      <c r="D1811">
        <v>9.2189291000000007E-2</v>
      </c>
      <c r="E1811">
        <v>0.67455721000000002</v>
      </c>
      <c r="F1811">
        <v>0.49269457700000002</v>
      </c>
      <c r="G1811">
        <v>0.72854083599999997</v>
      </c>
      <c r="H1811">
        <v>3.04</v>
      </c>
      <c r="I1811">
        <v>3.0512577021414602</v>
      </c>
      <c r="J1811">
        <v>3.00519920016984</v>
      </c>
      <c r="K1811">
        <v>3.28077540154271</v>
      </c>
      <c r="L1811">
        <v>3.42477750552335</v>
      </c>
      <c r="M1811">
        <v>3.0282284511556501</v>
      </c>
      <c r="N1811">
        <v>3.0281408827839602</v>
      </c>
      <c r="Q1811">
        <f t="shared" si="140"/>
        <v>3.04</v>
      </c>
      <c r="R1811">
        <f t="shared" si="142"/>
        <v>3.0554668853206808</v>
      </c>
      <c r="S1811">
        <f t="shared" si="143"/>
        <v>-1.5466885320680746E-2</v>
      </c>
      <c r="T1811">
        <f t="shared" si="144"/>
        <v>2.3922454152308954E-4</v>
      </c>
    </row>
    <row r="1812" spans="1:20" hidden="1" x14ac:dyDescent="0.25">
      <c r="A1812" t="str">
        <f t="shared" si="141"/>
        <v>RIP</v>
      </c>
      <c r="B1812" t="s">
        <v>1818</v>
      </c>
      <c r="C1812">
        <v>1.4803657349999999</v>
      </c>
      <c r="D1812">
        <v>9.9033779000000002E-2</v>
      </c>
      <c r="E1812">
        <v>0.68700839599999997</v>
      </c>
      <c r="F1812">
        <v>0.50316638700000005</v>
      </c>
      <c r="G1812">
        <v>0.75712436999999999</v>
      </c>
      <c r="H1812">
        <v>3.54</v>
      </c>
      <c r="I1812">
        <v>3.0634610748042999</v>
      </c>
      <c r="J1812">
        <v>3.21480754622679</v>
      </c>
      <c r="K1812">
        <v>2.9019559784501698</v>
      </c>
      <c r="L1812">
        <v>2.95019213479166</v>
      </c>
      <c r="M1812">
        <v>3.13913431051555</v>
      </c>
      <c r="N1812">
        <v>3.13822207322122</v>
      </c>
      <c r="Q1812">
        <f t="shared" si="140"/>
        <v>3.54</v>
      </c>
      <c r="R1812">
        <f t="shared" si="142"/>
        <v>3.2097512862451958</v>
      </c>
      <c r="S1812">
        <f t="shared" si="143"/>
        <v>0.33024871375480425</v>
      </c>
      <c r="T1812">
        <f t="shared" si="144"/>
        <v>0.10906421293670263</v>
      </c>
    </row>
    <row r="1813" spans="1:20" hidden="1" x14ac:dyDescent="0.25">
      <c r="A1813" t="str">
        <f t="shared" si="141"/>
        <v>RIP</v>
      </c>
      <c r="B1813" t="s">
        <v>1819</v>
      </c>
      <c r="C1813">
        <v>1.3356598230000001</v>
      </c>
      <c r="D1813">
        <v>9.9977021999999999E-2</v>
      </c>
      <c r="E1813">
        <v>0.69816407999999996</v>
      </c>
      <c r="F1813">
        <v>0.51300669600000004</v>
      </c>
      <c r="G1813">
        <v>0.76298814000000004</v>
      </c>
      <c r="H1813">
        <v>3.58</v>
      </c>
      <c r="I1813">
        <v>3.3243743644302599</v>
      </c>
      <c r="J1813">
        <v>3.4648485090721199</v>
      </c>
      <c r="K1813">
        <v>3.23695417380674</v>
      </c>
      <c r="L1813">
        <v>3.3144013378911699</v>
      </c>
      <c r="M1813">
        <v>3.3946114367511901</v>
      </c>
      <c r="N1813">
        <v>3.3938847299508801</v>
      </c>
      <c r="Q1813">
        <f t="shared" si="140"/>
        <v>3.58</v>
      </c>
      <c r="R1813">
        <f t="shared" si="142"/>
        <v>3.4922407644807532</v>
      </c>
      <c r="S1813">
        <f t="shared" si="143"/>
        <v>8.7759235519246914E-2</v>
      </c>
      <c r="T1813">
        <f t="shared" si="144"/>
        <v>7.7016834189226491E-3</v>
      </c>
    </row>
    <row r="1814" spans="1:20" hidden="1" x14ac:dyDescent="0.25">
      <c r="A1814" t="str">
        <f t="shared" si="141"/>
        <v>RIP</v>
      </c>
      <c r="B1814" t="s">
        <v>1820</v>
      </c>
      <c r="C1814">
        <v>1.5168000509999999</v>
      </c>
      <c r="D1814">
        <v>9.8619119000000005E-2</v>
      </c>
      <c r="E1814">
        <v>0.69084095700000003</v>
      </c>
      <c r="F1814">
        <v>0.52196239600000005</v>
      </c>
      <c r="G1814">
        <v>0.76155357499999998</v>
      </c>
      <c r="H1814">
        <v>3.63</v>
      </c>
      <c r="I1814">
        <v>3.089274542878</v>
      </c>
      <c r="J1814">
        <v>3.2325057962477501</v>
      </c>
      <c r="K1814">
        <v>2.9468117429039098</v>
      </c>
      <c r="L1814">
        <v>2.9958424285092198</v>
      </c>
      <c r="M1814">
        <v>3.1608901695628702</v>
      </c>
      <c r="N1814">
        <v>3.16007877529244</v>
      </c>
      <c r="Q1814">
        <f t="shared" si="140"/>
        <v>3.63</v>
      </c>
      <c r="R1814">
        <f t="shared" si="142"/>
        <v>3.2335431509901142</v>
      </c>
      <c r="S1814">
        <f t="shared" si="143"/>
        <v>0.39645684900988565</v>
      </c>
      <c r="T1814">
        <f t="shared" si="144"/>
        <v>0.15717803312684728</v>
      </c>
    </row>
    <row r="1815" spans="1:20" hidden="1" x14ac:dyDescent="0.25">
      <c r="A1815" t="str">
        <f t="shared" si="141"/>
        <v>RIP</v>
      </c>
      <c r="B1815" t="s">
        <v>1821</v>
      </c>
      <c r="C1815">
        <v>1.4501951099999999</v>
      </c>
      <c r="D1815">
        <v>9.6557043999999995E-2</v>
      </c>
      <c r="E1815">
        <v>0.68021600199999999</v>
      </c>
      <c r="F1815">
        <v>0.51697187099999997</v>
      </c>
      <c r="G1815">
        <v>0.74794192699999995</v>
      </c>
      <c r="H1815">
        <v>3.89</v>
      </c>
      <c r="I1815">
        <v>3.0965653384760499</v>
      </c>
      <c r="J1815">
        <v>3.1610695427334199</v>
      </c>
      <c r="K1815">
        <v>3.0343992418053598</v>
      </c>
      <c r="L1815">
        <v>3.1354660148137601</v>
      </c>
      <c r="M1815">
        <v>3.1288174406047302</v>
      </c>
      <c r="N1815">
        <v>3.1286512075558401</v>
      </c>
      <c r="Q1815">
        <f t="shared" si="140"/>
        <v>3.89</v>
      </c>
      <c r="R1815">
        <f t="shared" si="142"/>
        <v>3.1822142499717376</v>
      </c>
      <c r="S1815">
        <f t="shared" si="143"/>
        <v>0.70778575002826249</v>
      </c>
      <c r="T1815">
        <f t="shared" si="144"/>
        <v>0.50096066794307004</v>
      </c>
    </row>
    <row r="1816" spans="1:20" hidden="1" x14ac:dyDescent="0.25">
      <c r="A1816" t="str">
        <f t="shared" si="141"/>
        <v>RIP</v>
      </c>
      <c r="B1816" t="s">
        <v>1822</v>
      </c>
      <c r="C1816">
        <v>1.3536287010000001</v>
      </c>
      <c r="D1816">
        <v>9.2761718000000007E-2</v>
      </c>
      <c r="E1816">
        <v>0.67067711699999999</v>
      </c>
      <c r="F1816">
        <v>0.49881985499999998</v>
      </c>
      <c r="G1816">
        <v>0.73052720599999998</v>
      </c>
      <c r="H1816">
        <v>3.37</v>
      </c>
      <c r="I1816">
        <v>3.0429899635995201</v>
      </c>
      <c r="J1816">
        <v>3.00605600451496</v>
      </c>
      <c r="K1816">
        <v>3.10783024858896</v>
      </c>
      <c r="L1816">
        <v>3.1657157601451198</v>
      </c>
      <c r="M1816">
        <v>3.0245229840572398</v>
      </c>
      <c r="N1816">
        <v>3.02446660615671</v>
      </c>
      <c r="Q1816">
        <f t="shared" si="140"/>
        <v>3.37</v>
      </c>
      <c r="R1816">
        <f t="shared" si="142"/>
        <v>3.0497948461783735</v>
      </c>
      <c r="S1816">
        <f t="shared" si="143"/>
        <v>0.32020515382162662</v>
      </c>
      <c r="T1816">
        <f t="shared" si="144"/>
        <v>0.10253134053393156</v>
      </c>
    </row>
    <row r="1817" spans="1:20" hidden="1" x14ac:dyDescent="0.25">
      <c r="A1817" t="str">
        <f t="shared" si="141"/>
        <v>RIP</v>
      </c>
      <c r="B1817" t="s">
        <v>1823</v>
      </c>
      <c r="C1817">
        <v>1.421854591</v>
      </c>
      <c r="D1817">
        <v>8.9111125999999999E-2</v>
      </c>
      <c r="E1817">
        <v>0.695994051</v>
      </c>
      <c r="F1817">
        <v>0.49141805399999999</v>
      </c>
      <c r="G1817">
        <v>0.75560660800000001</v>
      </c>
      <c r="H1817">
        <v>3.26</v>
      </c>
      <c r="I1817">
        <v>2.7767096670798002</v>
      </c>
      <c r="J1817">
        <v>2.8043352319106098</v>
      </c>
      <c r="K1817">
        <v>3.07209529524147</v>
      </c>
      <c r="L1817">
        <v>3.1554114294642401</v>
      </c>
      <c r="M1817">
        <v>2.7905224494951999</v>
      </c>
      <c r="N1817">
        <v>2.7904882634009902</v>
      </c>
      <c r="Q1817">
        <f t="shared" si="140"/>
        <v>3.26</v>
      </c>
      <c r="R1817">
        <f t="shared" si="142"/>
        <v>2.839690041304185</v>
      </c>
      <c r="S1817">
        <f t="shared" si="143"/>
        <v>0.42030995869581478</v>
      </c>
      <c r="T1817">
        <f t="shared" si="144"/>
        <v>0.17666046137887753</v>
      </c>
    </row>
    <row r="1818" spans="1:20" hidden="1" x14ac:dyDescent="0.25">
      <c r="A1818" t="str">
        <f t="shared" si="141"/>
        <v>RIP</v>
      </c>
      <c r="B1818" t="s">
        <v>1824</v>
      </c>
      <c r="C1818">
        <v>1.4484203339999999</v>
      </c>
      <c r="D1818">
        <v>8.9418227000000003E-2</v>
      </c>
      <c r="E1818">
        <v>0.69941957399999999</v>
      </c>
      <c r="F1818">
        <v>0.51984855100000005</v>
      </c>
      <c r="G1818">
        <v>0.76048278300000005</v>
      </c>
      <c r="H1818">
        <v>2.95</v>
      </c>
      <c r="I1818">
        <v>2.88111458176042</v>
      </c>
      <c r="J1818">
        <v>2.8992495929012301</v>
      </c>
      <c r="K1818">
        <v>3.1281625275157299</v>
      </c>
      <c r="L1818">
        <v>3.2287576219848</v>
      </c>
      <c r="M1818">
        <v>2.8901820873308299</v>
      </c>
      <c r="N1818">
        <v>2.8901678633378198</v>
      </c>
      <c r="Q1818">
        <f t="shared" si="140"/>
        <v>2.95</v>
      </c>
      <c r="R1818">
        <f t="shared" si="142"/>
        <v>2.9458643970782541</v>
      </c>
      <c r="S1818">
        <f t="shared" si="143"/>
        <v>4.1356029217460843E-3</v>
      </c>
      <c r="T1818">
        <f t="shared" si="144"/>
        <v>1.710321152635475E-5</v>
      </c>
    </row>
    <row r="1819" spans="1:20" hidden="1" x14ac:dyDescent="0.25">
      <c r="A1819" t="str">
        <f t="shared" si="141"/>
        <v>RIP</v>
      </c>
      <c r="B1819" t="s">
        <v>1825</v>
      </c>
      <c r="C1819">
        <v>1.451381636</v>
      </c>
      <c r="D1819">
        <v>9.8936302000000004E-2</v>
      </c>
      <c r="E1819">
        <v>0.70711736800000002</v>
      </c>
      <c r="F1819">
        <v>0.51866577999999997</v>
      </c>
      <c r="G1819">
        <v>0.77528863800000003</v>
      </c>
      <c r="H1819">
        <v>3.52</v>
      </c>
      <c r="I1819">
        <v>3.1554931257569399</v>
      </c>
      <c r="J1819">
        <v>3.32995422208894</v>
      </c>
      <c r="K1819">
        <v>3.0633016972372702</v>
      </c>
      <c r="L1819">
        <v>3.1389203624047202</v>
      </c>
      <c r="M1819">
        <v>3.2427236739229399</v>
      </c>
      <c r="N1819">
        <v>3.2415501934856601</v>
      </c>
      <c r="Q1819">
        <f t="shared" si="140"/>
        <v>3.52</v>
      </c>
      <c r="R1819">
        <f t="shared" si="142"/>
        <v>3.3422439299034945</v>
      </c>
      <c r="S1819">
        <f t="shared" si="143"/>
        <v>0.17775607009650551</v>
      </c>
      <c r="T1819">
        <f t="shared" si="144"/>
        <v>3.1597220456153784E-2</v>
      </c>
    </row>
    <row r="1820" spans="1:20" hidden="1" x14ac:dyDescent="0.25">
      <c r="A1820" t="str">
        <f t="shared" si="141"/>
        <v>RIP</v>
      </c>
      <c r="B1820" t="s">
        <v>1826</v>
      </c>
      <c r="C1820">
        <v>1.3641427420000001</v>
      </c>
      <c r="D1820">
        <v>9.1287235999999994E-2</v>
      </c>
      <c r="E1820">
        <v>0.71827979200000003</v>
      </c>
      <c r="F1820">
        <v>0.53150335699999995</v>
      </c>
      <c r="G1820">
        <v>0.77966163200000005</v>
      </c>
      <c r="H1820">
        <v>3.39</v>
      </c>
      <c r="I1820">
        <v>3.07387037105266</v>
      </c>
      <c r="J1820">
        <v>3.1300179900342302</v>
      </c>
      <c r="K1820">
        <v>3.3742775704675001</v>
      </c>
      <c r="L1820">
        <v>3.4317260728270602</v>
      </c>
      <c r="M1820">
        <v>3.1019441805434398</v>
      </c>
      <c r="N1820">
        <v>3.10181713845739</v>
      </c>
      <c r="Q1820">
        <f t="shared" si="140"/>
        <v>3.39</v>
      </c>
      <c r="R1820">
        <f t="shared" si="142"/>
        <v>3.1982182452493655</v>
      </c>
      <c r="S1820">
        <f t="shared" si="143"/>
        <v>0.19178175475063464</v>
      </c>
      <c r="T1820">
        <f t="shared" si="144"/>
        <v>3.6780241455232572E-2</v>
      </c>
    </row>
    <row r="1821" spans="1:20" hidden="1" x14ac:dyDescent="0.25">
      <c r="A1821" t="str">
        <f t="shared" si="141"/>
        <v>RIP</v>
      </c>
      <c r="B1821" t="s">
        <v>1827</v>
      </c>
      <c r="C1821">
        <v>1.235569286</v>
      </c>
      <c r="D1821">
        <v>9.3246671000000003E-2</v>
      </c>
      <c r="E1821">
        <v>0.72029352899999999</v>
      </c>
      <c r="F1821">
        <v>0.515858865</v>
      </c>
      <c r="G1821">
        <v>0.78191746600000001</v>
      </c>
      <c r="H1821">
        <v>3.48</v>
      </c>
      <c r="I1821">
        <v>3.2305878540612198</v>
      </c>
      <c r="J1821">
        <v>3.2869464274155602</v>
      </c>
      <c r="K1821">
        <v>3.6464619872430402</v>
      </c>
      <c r="L1821">
        <v>3.7594957103738702</v>
      </c>
      <c r="M1821">
        <v>3.25876714073839</v>
      </c>
      <c r="N1821">
        <v>3.2586453021706099</v>
      </c>
      <c r="Q1821">
        <f t="shared" si="140"/>
        <v>3.48</v>
      </c>
      <c r="R1821">
        <f t="shared" si="142"/>
        <v>3.3675090231152693</v>
      </c>
      <c r="S1821">
        <f t="shared" si="143"/>
        <v>0.11249097688473064</v>
      </c>
      <c r="T1821">
        <f t="shared" si="144"/>
        <v>1.2654219880481004E-2</v>
      </c>
    </row>
    <row r="1822" spans="1:20" hidden="1" x14ac:dyDescent="0.25">
      <c r="A1822" t="str">
        <f t="shared" si="141"/>
        <v>RIP</v>
      </c>
      <c r="B1822" t="s">
        <v>1828</v>
      </c>
      <c r="C1822">
        <v>1.36135118</v>
      </c>
      <c r="D1822">
        <v>9.3514425999999998E-2</v>
      </c>
      <c r="E1822">
        <v>0.71739834300000005</v>
      </c>
      <c r="F1822">
        <v>0.53318066200000003</v>
      </c>
      <c r="G1822">
        <v>0.77797886699999996</v>
      </c>
      <c r="H1822">
        <v>3.8</v>
      </c>
      <c r="I1822">
        <v>3.1517709149194002</v>
      </c>
      <c r="J1822">
        <v>3.2317819482447998</v>
      </c>
      <c r="K1822">
        <v>3.38855883009805</v>
      </c>
      <c r="L1822">
        <v>3.4317813020304802</v>
      </c>
      <c r="M1822">
        <v>3.1917764315820998</v>
      </c>
      <c r="N1822">
        <v>3.1915257084722799</v>
      </c>
      <c r="Q1822">
        <f t="shared" si="140"/>
        <v>3.8</v>
      </c>
      <c r="R1822">
        <f t="shared" si="142"/>
        <v>3.2950806074053762</v>
      </c>
      <c r="S1822">
        <f t="shared" si="143"/>
        <v>0.5049193925946236</v>
      </c>
      <c r="T1822">
        <f t="shared" si="144"/>
        <v>0.25494359301812364</v>
      </c>
    </row>
    <row r="1823" spans="1:20" hidden="1" x14ac:dyDescent="0.25">
      <c r="A1823" t="str">
        <f t="shared" si="141"/>
        <v>RIP</v>
      </c>
      <c r="B1823" t="s">
        <v>1829</v>
      </c>
      <c r="C1823">
        <v>1.47036795</v>
      </c>
      <c r="D1823">
        <v>9.1910054000000005E-2</v>
      </c>
      <c r="E1823">
        <v>0.71831948300000004</v>
      </c>
      <c r="F1823">
        <v>0.54479651900000003</v>
      </c>
      <c r="G1823">
        <v>0.78288628400000004</v>
      </c>
      <c r="H1823">
        <v>3.49</v>
      </c>
      <c r="I1823">
        <v>3.00965503762307</v>
      </c>
      <c r="J1823">
        <v>3.0984150633813101</v>
      </c>
      <c r="K1823">
        <v>3.21023042470908</v>
      </c>
      <c r="L1823">
        <v>3.23068853520286</v>
      </c>
      <c r="M1823">
        <v>3.0540350505021898</v>
      </c>
      <c r="N1823">
        <v>3.0537125772005398</v>
      </c>
      <c r="Q1823">
        <f t="shared" si="140"/>
        <v>3.49</v>
      </c>
      <c r="R1823">
        <f t="shared" si="142"/>
        <v>3.1503764231829718</v>
      </c>
      <c r="S1823">
        <f t="shared" si="143"/>
        <v>0.33962357681702837</v>
      </c>
      <c r="T1823">
        <f t="shared" si="144"/>
        <v>0.11534417392999197</v>
      </c>
    </row>
    <row r="1824" spans="1:20" hidden="1" x14ac:dyDescent="0.25">
      <c r="A1824" t="str">
        <f t="shared" si="141"/>
        <v>RIP</v>
      </c>
      <c r="B1824" t="s">
        <v>1830</v>
      </c>
      <c r="C1824">
        <v>1.4259938169999999</v>
      </c>
      <c r="D1824">
        <v>9.2601979000000001E-2</v>
      </c>
      <c r="E1824">
        <v>0.70696616999999995</v>
      </c>
      <c r="F1824">
        <v>0.52658743299999999</v>
      </c>
      <c r="G1824">
        <v>0.77459767800000001</v>
      </c>
      <c r="H1824">
        <v>3.12</v>
      </c>
      <c r="I1824">
        <v>3.0214516563819198</v>
      </c>
      <c r="J1824">
        <v>3.0869296932529799</v>
      </c>
      <c r="K1824">
        <v>3.1352922790564399</v>
      </c>
      <c r="L1824">
        <v>3.18403707614651</v>
      </c>
      <c r="M1824">
        <v>3.0541906748174501</v>
      </c>
      <c r="N1824">
        <v>3.0540151988511299</v>
      </c>
      <c r="Q1824">
        <f t="shared" si="140"/>
        <v>3.12</v>
      </c>
      <c r="R1824">
        <f t="shared" si="142"/>
        <v>3.1346224651842816</v>
      </c>
      <c r="S1824">
        <f t="shared" si="143"/>
        <v>-1.4622465184281452E-2</v>
      </c>
      <c r="T1824">
        <f t="shared" si="144"/>
        <v>2.1381648806552322E-4</v>
      </c>
    </row>
    <row r="1825" spans="1:20" hidden="1" x14ac:dyDescent="0.25">
      <c r="A1825" t="str">
        <f t="shared" si="141"/>
        <v>RIP</v>
      </c>
      <c r="B1825" t="s">
        <v>1831</v>
      </c>
      <c r="C1825">
        <v>1.446948144</v>
      </c>
      <c r="D1825">
        <v>9.6039201000000005E-2</v>
      </c>
      <c r="E1825">
        <v>0.703868614</v>
      </c>
      <c r="F1825">
        <v>0.51384032300000004</v>
      </c>
      <c r="G1825">
        <v>0.77012223700000004</v>
      </c>
      <c r="H1825">
        <v>3.3</v>
      </c>
      <c r="I1825">
        <v>3.0412656229005899</v>
      </c>
      <c r="J1825">
        <v>3.1675796523323601</v>
      </c>
      <c r="K1825">
        <v>3.0883476380533801</v>
      </c>
      <c r="L1825">
        <v>3.2078494354162701</v>
      </c>
      <c r="M1825">
        <v>3.1044226376164801</v>
      </c>
      <c r="N1825">
        <v>3.1037801314586999</v>
      </c>
      <c r="Q1825">
        <f t="shared" si="140"/>
        <v>3.3</v>
      </c>
      <c r="R1825">
        <f t="shared" si="142"/>
        <v>3.1909154614572355</v>
      </c>
      <c r="S1825">
        <f t="shared" si="143"/>
        <v>0.10908453854276434</v>
      </c>
      <c r="T1825">
        <f t="shared" si="144"/>
        <v>1.1899436549087839E-2</v>
      </c>
    </row>
    <row r="1826" spans="1:20" hidden="1" x14ac:dyDescent="0.25">
      <c r="A1826" t="str">
        <f t="shared" si="141"/>
        <v>RIP</v>
      </c>
      <c r="B1826" t="s">
        <v>1832</v>
      </c>
      <c r="C1826">
        <v>1.2933747579999999</v>
      </c>
      <c r="D1826">
        <v>8.9634144999999998E-2</v>
      </c>
      <c r="E1826">
        <v>0.69718915599999998</v>
      </c>
      <c r="F1826">
        <v>0.50525067000000001</v>
      </c>
      <c r="G1826">
        <v>0.75646481099999996</v>
      </c>
      <c r="H1826">
        <v>3.85</v>
      </c>
      <c r="I1826">
        <v>3.0326333321801702</v>
      </c>
      <c r="J1826">
        <v>3.0055922878303298</v>
      </c>
      <c r="K1826">
        <v>3.3939545858581699</v>
      </c>
      <c r="L1826">
        <v>3.4674453740523701</v>
      </c>
      <c r="M1826">
        <v>3.0191128100052498</v>
      </c>
      <c r="N1826">
        <v>3.0190825353106701</v>
      </c>
      <c r="Q1826">
        <f t="shared" si="140"/>
        <v>3.85</v>
      </c>
      <c r="R1826">
        <f t="shared" si="142"/>
        <v>3.0757955058441668</v>
      </c>
      <c r="S1826">
        <f t="shared" si="143"/>
        <v>0.77420449415583326</v>
      </c>
      <c r="T1826">
        <f t="shared" si="144"/>
        <v>0.59939259877108964</v>
      </c>
    </row>
    <row r="1827" spans="1:20" hidden="1" x14ac:dyDescent="0.25">
      <c r="A1827" t="str">
        <f t="shared" si="141"/>
        <v>RIP</v>
      </c>
      <c r="B1827" t="s">
        <v>1833</v>
      </c>
      <c r="C1827">
        <v>1.2260371109999999</v>
      </c>
      <c r="D1827">
        <v>8.8797907999999995E-2</v>
      </c>
      <c r="E1827">
        <v>0.70575825199999997</v>
      </c>
      <c r="F1827">
        <v>0.51345167700000005</v>
      </c>
      <c r="G1827">
        <v>0.76748352200000003</v>
      </c>
      <c r="H1827">
        <v>3.89</v>
      </c>
      <c r="I1827">
        <v>3.12495405301296</v>
      </c>
      <c r="J1827">
        <v>3.08410275533695</v>
      </c>
      <c r="K1827">
        <v>3.5768571673460001</v>
      </c>
      <c r="L1827">
        <v>3.6937188836398902</v>
      </c>
      <c r="M1827">
        <v>3.1045284041749501</v>
      </c>
      <c r="N1827">
        <v>3.1044612101294802</v>
      </c>
      <c r="Q1827">
        <f t="shared" si="140"/>
        <v>3.89</v>
      </c>
      <c r="R1827">
        <f t="shared" si="142"/>
        <v>3.1760152261705481</v>
      </c>
      <c r="S1827">
        <f t="shared" si="143"/>
        <v>0.71398477382945202</v>
      </c>
      <c r="T1827">
        <f t="shared" si="144"/>
        <v>0.50977425726029379</v>
      </c>
    </row>
    <row r="1828" spans="1:20" hidden="1" x14ac:dyDescent="0.25">
      <c r="A1828" t="str">
        <f t="shared" si="141"/>
        <v>RIP</v>
      </c>
      <c r="B1828" t="s">
        <v>1834</v>
      </c>
      <c r="C1828">
        <v>1.349674147</v>
      </c>
      <c r="D1828">
        <v>8.9722228000000001E-2</v>
      </c>
      <c r="E1828">
        <v>0.680139783</v>
      </c>
      <c r="F1828">
        <v>0.48721340200000002</v>
      </c>
      <c r="G1828">
        <v>0.73835333199999997</v>
      </c>
      <c r="H1828">
        <v>2.54</v>
      </c>
      <c r="I1828">
        <v>2.89360975823366</v>
      </c>
      <c r="J1828">
        <v>2.8600935144194302</v>
      </c>
      <c r="K1828">
        <v>3.1313444809655802</v>
      </c>
      <c r="L1828">
        <v>3.2457051425107801</v>
      </c>
      <c r="M1828">
        <v>2.8768516363265402</v>
      </c>
      <c r="N1828">
        <v>2.8768028265393601</v>
      </c>
      <c r="Q1828">
        <f t="shared" si="140"/>
        <v>2.54</v>
      </c>
      <c r="R1828">
        <f t="shared" si="142"/>
        <v>2.906119997115415</v>
      </c>
      <c r="S1828">
        <f t="shared" si="143"/>
        <v>-0.36611999711541499</v>
      </c>
      <c r="T1828">
        <f t="shared" si="144"/>
        <v>0.13404385228779148</v>
      </c>
    </row>
    <row r="1829" spans="1:20" hidden="1" x14ac:dyDescent="0.25">
      <c r="A1829" t="str">
        <f t="shared" si="141"/>
        <v>RIP</v>
      </c>
      <c r="B1829" t="s">
        <v>1835</v>
      </c>
      <c r="C1829">
        <v>1.297869089</v>
      </c>
      <c r="D1829">
        <v>8.7836628E-2</v>
      </c>
      <c r="E1829">
        <v>0.68413825500000003</v>
      </c>
      <c r="F1829">
        <v>0.48987268</v>
      </c>
      <c r="G1829">
        <v>0.737466654</v>
      </c>
      <c r="H1829">
        <v>2.98</v>
      </c>
      <c r="I1829">
        <v>2.9329774485188498</v>
      </c>
      <c r="J1829">
        <v>2.8567891816982498</v>
      </c>
      <c r="K1829">
        <v>3.2236897939059799</v>
      </c>
      <c r="L1829">
        <v>3.3097453830504899</v>
      </c>
      <c r="M1829">
        <v>2.89488331510855</v>
      </c>
      <c r="N1829">
        <v>2.8946326615122699</v>
      </c>
      <c r="Q1829">
        <f t="shared" si="140"/>
        <v>2.98</v>
      </c>
      <c r="R1829">
        <f t="shared" si="142"/>
        <v>2.9197538676223811</v>
      </c>
      <c r="S1829">
        <f t="shared" si="143"/>
        <v>6.0246132377618888E-2</v>
      </c>
      <c r="T1829">
        <f t="shared" si="144"/>
        <v>3.6295964664615791E-3</v>
      </c>
    </row>
    <row r="1830" spans="1:20" hidden="1" x14ac:dyDescent="0.25">
      <c r="A1830" t="str">
        <f t="shared" si="141"/>
        <v>RIP</v>
      </c>
      <c r="B1830" t="s">
        <v>1836</v>
      </c>
      <c r="C1830">
        <v>1.469089394</v>
      </c>
      <c r="D1830">
        <v>8.9320180999999998E-2</v>
      </c>
      <c r="E1830">
        <v>0.690219362</v>
      </c>
      <c r="F1830">
        <v>0.50621240899999997</v>
      </c>
      <c r="G1830">
        <v>0.74822017900000004</v>
      </c>
      <c r="H1830">
        <v>3.16</v>
      </c>
      <c r="I1830">
        <v>2.7999074963361998</v>
      </c>
      <c r="J1830">
        <v>2.8105527605618099</v>
      </c>
      <c r="K1830">
        <v>2.9420863427939001</v>
      </c>
      <c r="L1830">
        <v>3.0174228292998699</v>
      </c>
      <c r="M1830">
        <v>2.80523012844901</v>
      </c>
      <c r="N1830">
        <v>2.80522507887432</v>
      </c>
      <c r="Q1830">
        <f t="shared" si="140"/>
        <v>3.16</v>
      </c>
      <c r="R1830">
        <f t="shared" si="142"/>
        <v>2.8441332610680234</v>
      </c>
      <c r="S1830">
        <f t="shared" si="143"/>
        <v>0.3158667389319767</v>
      </c>
      <c r="T1830">
        <f t="shared" si="144"/>
        <v>9.977179676352152E-2</v>
      </c>
    </row>
    <row r="1831" spans="1:20" hidden="1" x14ac:dyDescent="0.25">
      <c r="A1831" t="str">
        <f t="shared" si="141"/>
        <v>RIP</v>
      </c>
      <c r="B1831" t="s">
        <v>1837</v>
      </c>
      <c r="C1831">
        <v>1.4569175910000001</v>
      </c>
      <c r="D1831">
        <v>9.3061331999999997E-2</v>
      </c>
      <c r="E1831">
        <v>0.72445647599999996</v>
      </c>
      <c r="F1831">
        <v>0.54696605200000004</v>
      </c>
      <c r="G1831">
        <v>0.78550322900000003</v>
      </c>
      <c r="H1831">
        <v>3.65</v>
      </c>
      <c r="I1831">
        <v>3.0626829577899799</v>
      </c>
      <c r="J1831">
        <v>3.1785002874144799</v>
      </c>
      <c r="K1831">
        <v>3.21012467377362</v>
      </c>
      <c r="L1831">
        <v>3.2250528046723601</v>
      </c>
      <c r="M1831">
        <v>3.1205916226022299</v>
      </c>
      <c r="N1831">
        <v>3.1200542722194502</v>
      </c>
      <c r="Q1831">
        <f t="shared" si="140"/>
        <v>3.65</v>
      </c>
      <c r="R1831">
        <f t="shared" si="142"/>
        <v>3.2316215018425805</v>
      </c>
      <c r="S1831">
        <f t="shared" si="143"/>
        <v>0.41837849815741945</v>
      </c>
      <c r="T1831">
        <f t="shared" si="144"/>
        <v>0.17504056772045784</v>
      </c>
    </row>
    <row r="1832" spans="1:20" hidden="1" x14ac:dyDescent="0.25">
      <c r="A1832" t="str">
        <f t="shared" si="141"/>
        <v>RIP</v>
      </c>
      <c r="B1832" t="s">
        <v>1838</v>
      </c>
      <c r="C1832">
        <v>1.3280212739999999</v>
      </c>
      <c r="D1832">
        <v>9.3968370999999995E-2</v>
      </c>
      <c r="E1832">
        <v>0.71751397699999997</v>
      </c>
      <c r="F1832">
        <v>0.51514555699999998</v>
      </c>
      <c r="G1832">
        <v>0.77847042799999999</v>
      </c>
      <c r="H1832">
        <v>3.85</v>
      </c>
      <c r="I1832">
        <v>3.1267766598880198</v>
      </c>
      <c r="J1832">
        <v>3.2190425211736602</v>
      </c>
      <c r="K1832">
        <v>3.4208895351533699</v>
      </c>
      <c r="L1832">
        <v>3.5894117650144901</v>
      </c>
      <c r="M1832">
        <v>3.17290959053084</v>
      </c>
      <c r="N1832">
        <v>3.1725741949390098</v>
      </c>
      <c r="Q1832">
        <f t="shared" si="140"/>
        <v>3.85</v>
      </c>
      <c r="R1832">
        <f t="shared" si="142"/>
        <v>3.2769219078349088</v>
      </c>
      <c r="S1832">
        <f t="shared" si="143"/>
        <v>0.57307809216509131</v>
      </c>
      <c r="T1832">
        <f t="shared" si="144"/>
        <v>0.32841849971958087</v>
      </c>
    </row>
    <row r="1833" spans="1:20" hidden="1" x14ac:dyDescent="0.25">
      <c r="A1833" t="str">
        <f t="shared" si="141"/>
        <v>RIP</v>
      </c>
      <c r="B1833" t="s">
        <v>1839</v>
      </c>
      <c r="C1833">
        <v>1.4726872660000001</v>
      </c>
      <c r="D1833">
        <v>9.3583166999999995E-2</v>
      </c>
      <c r="E1833">
        <v>0.695003763</v>
      </c>
      <c r="F1833">
        <v>0.52684587199999999</v>
      </c>
      <c r="G1833">
        <v>0.76170749999999998</v>
      </c>
      <c r="H1833">
        <v>3.13</v>
      </c>
      <c r="I1833">
        <v>3.00330616175895</v>
      </c>
      <c r="J1833">
        <v>3.0640535399619</v>
      </c>
      <c r="K1833">
        <v>3.0812198783372602</v>
      </c>
      <c r="L1833">
        <v>3.1872305588958199</v>
      </c>
      <c r="M1833">
        <v>3.0336798508604201</v>
      </c>
      <c r="N1833">
        <v>3.0335277939268801</v>
      </c>
      <c r="Q1833">
        <f t="shared" si="140"/>
        <v>3.13</v>
      </c>
      <c r="R1833">
        <f t="shared" si="142"/>
        <v>3.0982506393780196</v>
      </c>
      <c r="S1833">
        <f t="shared" si="143"/>
        <v>3.1749360621980305E-2</v>
      </c>
      <c r="T1833">
        <f t="shared" si="144"/>
        <v>1.0080218999045537E-3</v>
      </c>
    </row>
    <row r="1834" spans="1:20" hidden="1" x14ac:dyDescent="0.25">
      <c r="A1834" t="str">
        <f t="shared" si="141"/>
        <v>RIP</v>
      </c>
      <c r="B1834" t="s">
        <v>1840</v>
      </c>
      <c r="C1834">
        <v>1.367011583</v>
      </c>
      <c r="D1834">
        <v>9.3860782000000004E-2</v>
      </c>
      <c r="E1834">
        <v>0.70315660000000002</v>
      </c>
      <c r="F1834">
        <v>0.51842499200000003</v>
      </c>
      <c r="G1834">
        <v>0.76425385800000001</v>
      </c>
      <c r="H1834">
        <v>3.32</v>
      </c>
      <c r="I1834">
        <v>3.10390677769831</v>
      </c>
      <c r="J1834">
        <v>3.1641005848167398</v>
      </c>
      <c r="K1834">
        <v>3.3584984456767502</v>
      </c>
      <c r="L1834">
        <v>3.5014613164408699</v>
      </c>
      <c r="M1834">
        <v>3.13400368125752</v>
      </c>
      <c r="N1834">
        <v>3.1338591625233998</v>
      </c>
      <c r="Q1834">
        <f t="shared" si="140"/>
        <v>3.32</v>
      </c>
      <c r="R1834">
        <f t="shared" si="142"/>
        <v>3.2152489442984056</v>
      </c>
      <c r="S1834">
        <f t="shared" si="143"/>
        <v>0.10475105570159426</v>
      </c>
      <c r="T1834">
        <f t="shared" si="144"/>
        <v>1.0972783670598504E-2</v>
      </c>
    </row>
    <row r="1835" spans="1:20" hidden="1" x14ac:dyDescent="0.25">
      <c r="A1835" t="str">
        <f t="shared" si="141"/>
        <v>RIP</v>
      </c>
      <c r="B1835" t="s">
        <v>1841</v>
      </c>
      <c r="C1835">
        <v>1.4175168760000001</v>
      </c>
      <c r="D1835">
        <v>9.5457424999999999E-2</v>
      </c>
      <c r="E1835">
        <v>0.68764632800000003</v>
      </c>
      <c r="F1835">
        <v>0.50376266199999997</v>
      </c>
      <c r="G1835">
        <v>0.75141266699999998</v>
      </c>
      <c r="H1835">
        <v>3.7</v>
      </c>
      <c r="I1835">
        <v>3.0301426003201199</v>
      </c>
      <c r="J1835">
        <v>3.10614846999266</v>
      </c>
      <c r="K1835">
        <v>3.1554284108651598</v>
      </c>
      <c r="L1835">
        <v>3.2512918451978501</v>
      </c>
      <c r="M1835">
        <v>3.0681455351563902</v>
      </c>
      <c r="N1835">
        <v>3.0679101684768901</v>
      </c>
      <c r="Q1835">
        <f t="shared" si="140"/>
        <v>3.7</v>
      </c>
      <c r="R1835">
        <f t="shared" si="142"/>
        <v>3.1309873021283137</v>
      </c>
      <c r="S1835">
        <f t="shared" si="143"/>
        <v>0.56901269787168651</v>
      </c>
      <c r="T1835">
        <f t="shared" si="144"/>
        <v>0.32377545033921518</v>
      </c>
    </row>
    <row r="1836" spans="1:20" hidden="1" x14ac:dyDescent="0.25">
      <c r="A1836" t="str">
        <f t="shared" si="141"/>
        <v>RIP</v>
      </c>
      <c r="B1836" t="s">
        <v>1842</v>
      </c>
      <c r="C1836">
        <v>1.468146937</v>
      </c>
      <c r="D1836">
        <v>9.6754498999999994E-2</v>
      </c>
      <c r="E1836">
        <v>0.69465149800000003</v>
      </c>
      <c r="F1836">
        <v>0.51741024599999996</v>
      </c>
      <c r="G1836">
        <v>0.76380852499999996</v>
      </c>
      <c r="H1836">
        <v>3.31</v>
      </c>
      <c r="I1836">
        <v>3.0652513568494002</v>
      </c>
      <c r="J1836">
        <v>3.1782277498022502</v>
      </c>
      <c r="K1836">
        <v>3.0977908185777299</v>
      </c>
      <c r="L1836">
        <v>3.2311560405201001</v>
      </c>
      <c r="M1836">
        <v>3.1217395533258201</v>
      </c>
      <c r="N1836">
        <v>3.1212284316367702</v>
      </c>
      <c r="Q1836">
        <f t="shared" si="140"/>
        <v>3.31</v>
      </c>
      <c r="R1836">
        <f t="shared" si="142"/>
        <v>3.1957567607596413</v>
      </c>
      <c r="S1836">
        <f t="shared" si="143"/>
        <v>0.11424323924035873</v>
      </c>
      <c r="T1836">
        <f t="shared" si="144"/>
        <v>1.305151771212984E-2</v>
      </c>
    </row>
    <row r="1837" spans="1:20" hidden="1" x14ac:dyDescent="0.25">
      <c r="A1837" t="str">
        <f t="shared" si="141"/>
        <v>RIP</v>
      </c>
      <c r="B1837" t="s">
        <v>1843</v>
      </c>
      <c r="C1837">
        <v>1.3086252220000001</v>
      </c>
      <c r="D1837">
        <v>9.8505433000000003E-2</v>
      </c>
      <c r="E1837">
        <v>0.706235434</v>
      </c>
      <c r="F1837">
        <v>0.527731281</v>
      </c>
      <c r="G1837">
        <v>0.77184610799999998</v>
      </c>
      <c r="H1837">
        <v>3.72</v>
      </c>
      <c r="I1837">
        <v>3.3743606923005598</v>
      </c>
      <c r="J1837">
        <v>3.4821917260623101</v>
      </c>
      <c r="K1837">
        <v>3.3514868647839098</v>
      </c>
      <c r="L1837">
        <v>3.4329076216599601</v>
      </c>
      <c r="M1837">
        <v>3.42827620918144</v>
      </c>
      <c r="N1837">
        <v>3.4278522260270998</v>
      </c>
      <c r="Q1837">
        <f t="shared" si="140"/>
        <v>3.72</v>
      </c>
      <c r="R1837">
        <f t="shared" si="142"/>
        <v>3.5327102282975344</v>
      </c>
      <c r="S1837">
        <f t="shared" si="143"/>
        <v>0.18728977170246575</v>
      </c>
      <c r="T1837">
        <f t="shared" si="144"/>
        <v>3.5077458584361738E-2</v>
      </c>
    </row>
    <row r="1838" spans="1:20" hidden="1" x14ac:dyDescent="0.25">
      <c r="A1838" t="str">
        <f t="shared" si="141"/>
        <v>RIP</v>
      </c>
      <c r="B1838" t="s">
        <v>1844</v>
      </c>
      <c r="C1838">
        <v>1.3667012039999999</v>
      </c>
      <c r="D1838">
        <v>9.7184990999999998E-2</v>
      </c>
      <c r="E1838">
        <v>0.71944593000000001</v>
      </c>
      <c r="F1838">
        <v>0.55203608299999996</v>
      </c>
      <c r="G1838">
        <v>0.78070458200000004</v>
      </c>
      <c r="H1838">
        <v>3.25</v>
      </c>
      <c r="I1838">
        <v>3.3443217445157298</v>
      </c>
      <c r="J1838">
        <v>3.4692524180689399</v>
      </c>
      <c r="K1838">
        <v>3.3038413245394902</v>
      </c>
      <c r="L1838">
        <v>3.3322634417271999</v>
      </c>
      <c r="M1838">
        <v>3.4067870812923302</v>
      </c>
      <c r="N1838">
        <v>3.4062143647988101</v>
      </c>
      <c r="Q1838">
        <f t="shared" si="140"/>
        <v>3.25</v>
      </c>
      <c r="R1838">
        <f t="shared" si="142"/>
        <v>3.5292117718257376</v>
      </c>
      <c r="S1838">
        <f t="shared" si="143"/>
        <v>-0.27921177182573764</v>
      </c>
      <c r="T1838">
        <f t="shared" si="144"/>
        <v>7.7959213526067786E-2</v>
      </c>
    </row>
    <row r="1839" spans="1:20" hidden="1" x14ac:dyDescent="0.25">
      <c r="A1839" t="str">
        <f t="shared" si="141"/>
        <v>RIP</v>
      </c>
      <c r="B1839" t="s">
        <v>1845</v>
      </c>
      <c r="C1839">
        <v>1.3151855990000001</v>
      </c>
      <c r="D1839">
        <v>9.8558451000000005E-2</v>
      </c>
      <c r="E1839">
        <v>0.71749834099999998</v>
      </c>
      <c r="F1839">
        <v>0.51665605699999995</v>
      </c>
      <c r="G1839">
        <v>0.77997649499999999</v>
      </c>
      <c r="H1839">
        <v>3.28</v>
      </c>
      <c r="I1839">
        <v>3.2994191593375399</v>
      </c>
      <c r="J1839">
        <v>3.4568218795415699</v>
      </c>
      <c r="K1839">
        <v>3.3019072468191402</v>
      </c>
      <c r="L1839">
        <v>3.33904549532549</v>
      </c>
      <c r="M1839">
        <v>3.3781205194395501</v>
      </c>
      <c r="N1839">
        <v>3.3772036272301702</v>
      </c>
      <c r="Q1839">
        <f t="shared" si="140"/>
        <v>3.28</v>
      </c>
      <c r="R1839">
        <f t="shared" si="142"/>
        <v>3.4995051069738334</v>
      </c>
      <c r="S1839">
        <f t="shared" si="143"/>
        <v>-0.21950510697383363</v>
      </c>
      <c r="T1839">
        <f t="shared" si="144"/>
        <v>4.8182491987594146E-2</v>
      </c>
    </row>
    <row r="1840" spans="1:20" hidden="1" x14ac:dyDescent="0.25">
      <c r="A1840" t="str">
        <f t="shared" si="141"/>
        <v>RIP</v>
      </c>
      <c r="B1840" t="s">
        <v>1846</v>
      </c>
      <c r="C1840">
        <v>1.314009228</v>
      </c>
      <c r="D1840">
        <v>9.8933403000000003E-2</v>
      </c>
      <c r="E1840">
        <v>0.71725819199999996</v>
      </c>
      <c r="F1840">
        <v>0.52631793800000004</v>
      </c>
      <c r="G1840">
        <v>0.77750598000000004</v>
      </c>
      <c r="H1840">
        <v>3.98</v>
      </c>
      <c r="I1840">
        <v>3.3563534638865402</v>
      </c>
      <c r="J1840">
        <v>3.5125769145008698</v>
      </c>
      <c r="K1840">
        <v>3.3364943490722498</v>
      </c>
      <c r="L1840">
        <v>3.3827656192758302</v>
      </c>
      <c r="M1840">
        <v>3.4344651891937001</v>
      </c>
      <c r="N1840">
        <v>3.4335768076676101</v>
      </c>
      <c r="Q1840">
        <f t="shared" si="140"/>
        <v>3.98</v>
      </c>
      <c r="R1840">
        <f t="shared" si="142"/>
        <v>3.5595182318210044</v>
      </c>
      <c r="S1840">
        <f t="shared" si="143"/>
        <v>0.42048176817899563</v>
      </c>
      <c r="T1840">
        <f t="shared" si="144"/>
        <v>0.17680491737093462</v>
      </c>
    </row>
    <row r="1841" spans="1:20" hidden="1" x14ac:dyDescent="0.25">
      <c r="A1841" t="str">
        <f t="shared" si="141"/>
        <v>RIP</v>
      </c>
      <c r="B1841" t="s">
        <v>1847</v>
      </c>
      <c r="C1841">
        <v>1.393406218</v>
      </c>
      <c r="D1841">
        <v>9.3540070000000003E-2</v>
      </c>
      <c r="E1841">
        <v>0.69657275799999996</v>
      </c>
      <c r="F1841">
        <v>0.50131117599999997</v>
      </c>
      <c r="G1841">
        <v>0.75295014599999999</v>
      </c>
      <c r="H1841">
        <v>3.48</v>
      </c>
      <c r="I1841">
        <v>2.98452472620705</v>
      </c>
      <c r="J1841">
        <v>3.0502161121375102</v>
      </c>
      <c r="K1841">
        <v>3.12525344269643</v>
      </c>
      <c r="L1841">
        <v>3.2190031838824198</v>
      </c>
      <c r="M1841">
        <v>3.0173704191722801</v>
      </c>
      <c r="N1841">
        <v>3.0171916423968699</v>
      </c>
      <c r="Q1841">
        <f t="shared" si="140"/>
        <v>3.48</v>
      </c>
      <c r="R1841">
        <f t="shared" si="142"/>
        <v>3.0859160600007653</v>
      </c>
      <c r="S1841">
        <f t="shared" si="143"/>
        <v>0.39408393999923463</v>
      </c>
      <c r="T1841">
        <f t="shared" si="144"/>
        <v>0.15530215176532036</v>
      </c>
    </row>
    <row r="1842" spans="1:20" hidden="1" x14ac:dyDescent="0.25">
      <c r="A1842" t="str">
        <f t="shared" si="141"/>
        <v>RIP</v>
      </c>
      <c r="B1842" t="s">
        <v>1848</v>
      </c>
      <c r="C1842">
        <v>1.348046055</v>
      </c>
      <c r="D1842">
        <v>9.1777418999999999E-2</v>
      </c>
      <c r="E1842">
        <v>0.68893766700000003</v>
      </c>
      <c r="F1842">
        <v>0.51562348800000002</v>
      </c>
      <c r="G1842">
        <v>0.74675945700000002</v>
      </c>
      <c r="H1842">
        <v>2.83</v>
      </c>
      <c r="I1842">
        <v>3.08219285497161</v>
      </c>
      <c r="J1842">
        <v>3.0615815072712702</v>
      </c>
      <c r="K1842">
        <v>3.2196759959200101</v>
      </c>
      <c r="L1842">
        <v>3.3062181306930798</v>
      </c>
      <c r="M1842">
        <v>3.0718871811214399</v>
      </c>
      <c r="N1842">
        <v>3.07186989415644</v>
      </c>
      <c r="Q1842">
        <f t="shared" si="140"/>
        <v>2.83</v>
      </c>
      <c r="R1842">
        <f t="shared" si="142"/>
        <v>3.1206310676483628</v>
      </c>
      <c r="S1842">
        <f t="shared" si="143"/>
        <v>-0.29063106764836277</v>
      </c>
      <c r="T1842">
        <f t="shared" si="144"/>
        <v>8.4466417482427225E-2</v>
      </c>
    </row>
    <row r="1843" spans="1:20" hidden="1" x14ac:dyDescent="0.25">
      <c r="A1843" t="str">
        <f t="shared" si="141"/>
        <v>RIP</v>
      </c>
      <c r="B1843" t="s">
        <v>1849</v>
      </c>
      <c r="C1843">
        <v>1.084106843</v>
      </c>
      <c r="D1843">
        <v>9.0708805000000003E-2</v>
      </c>
      <c r="E1843">
        <v>0.72370511299999996</v>
      </c>
      <c r="F1843">
        <v>0.48597908400000001</v>
      </c>
      <c r="G1843">
        <v>0.78915046799999999</v>
      </c>
      <c r="H1843">
        <v>3.64</v>
      </c>
      <c r="I1843">
        <v>3.2197573419255701</v>
      </c>
      <c r="J1843">
        <v>3.22784382083274</v>
      </c>
      <c r="K1843">
        <v>3.6196075636980898</v>
      </c>
      <c r="L1843">
        <v>3.6674204010107698</v>
      </c>
      <c r="M1843">
        <v>3.2238005813791499</v>
      </c>
      <c r="N1843">
        <v>3.2237980458948301</v>
      </c>
      <c r="Q1843">
        <f t="shared" si="140"/>
        <v>3.64</v>
      </c>
      <c r="R1843">
        <f t="shared" si="142"/>
        <v>3.3297456997619332</v>
      </c>
      <c r="S1843">
        <f t="shared" si="143"/>
        <v>0.31025430023806688</v>
      </c>
      <c r="T1843">
        <f t="shared" si="144"/>
        <v>9.6257730816212542E-2</v>
      </c>
    </row>
    <row r="1844" spans="1:20" hidden="1" x14ac:dyDescent="0.25">
      <c r="A1844" t="str">
        <f t="shared" si="141"/>
        <v>RIP</v>
      </c>
      <c r="B1844" t="s">
        <v>1850</v>
      </c>
      <c r="C1844">
        <v>1.0712059380000001</v>
      </c>
      <c r="D1844">
        <v>8.9727171999999994E-2</v>
      </c>
      <c r="E1844">
        <v>0.71132607299999995</v>
      </c>
      <c r="F1844">
        <v>0.52010893999999996</v>
      </c>
      <c r="G1844">
        <v>0.77662687699999999</v>
      </c>
      <c r="H1844">
        <v>3.38</v>
      </c>
      <c r="I1844">
        <v>3.3767694818321101</v>
      </c>
      <c r="J1844">
        <v>3.3078124192865501</v>
      </c>
      <c r="K1844">
        <v>3.80257025235451</v>
      </c>
      <c r="L1844">
        <v>3.8501094167083898</v>
      </c>
      <c r="M1844">
        <v>3.3422909505593301</v>
      </c>
      <c r="N1844">
        <v>3.3421131083600502</v>
      </c>
      <c r="Q1844">
        <f t="shared" si="140"/>
        <v>3.38</v>
      </c>
      <c r="R1844">
        <f t="shared" si="142"/>
        <v>3.4351412148185405</v>
      </c>
      <c r="S1844">
        <f t="shared" si="143"/>
        <v>-5.5141214818540618E-2</v>
      </c>
      <c r="T1844">
        <f t="shared" si="144"/>
        <v>3.0405535716644433E-3</v>
      </c>
    </row>
    <row r="1845" spans="1:20" hidden="1" x14ac:dyDescent="0.25">
      <c r="A1845" t="str">
        <f t="shared" si="141"/>
        <v>RIP</v>
      </c>
      <c r="B1845" t="s">
        <v>1851</v>
      </c>
      <c r="C1845">
        <v>1.1257128409999999</v>
      </c>
      <c r="D1845">
        <v>9.4288650000000002E-2</v>
      </c>
      <c r="E1845">
        <v>0.72290769300000002</v>
      </c>
      <c r="F1845">
        <v>0.48311024400000002</v>
      </c>
      <c r="G1845">
        <v>0.79056511799999996</v>
      </c>
      <c r="H1845">
        <v>3.55</v>
      </c>
      <c r="I1845">
        <v>3.2653610726133899</v>
      </c>
      <c r="J1845">
        <v>3.3267321805616001</v>
      </c>
      <c r="K1845">
        <v>3.62332157229342</v>
      </c>
      <c r="L1845">
        <v>3.6753989871839998</v>
      </c>
      <c r="M1845">
        <v>3.2960466265875001</v>
      </c>
      <c r="N1845">
        <v>3.29590378521827</v>
      </c>
      <c r="Q1845">
        <f t="shared" si="140"/>
        <v>3.55</v>
      </c>
      <c r="R1845">
        <f t="shared" si="142"/>
        <v>3.4074126349073453</v>
      </c>
      <c r="S1845">
        <f t="shared" si="143"/>
        <v>0.14258736509265457</v>
      </c>
      <c r="T1845">
        <f t="shared" si="144"/>
        <v>2.0331156684065967E-2</v>
      </c>
    </row>
    <row r="1846" spans="1:20" hidden="1" x14ac:dyDescent="0.25">
      <c r="A1846" t="str">
        <f t="shared" si="141"/>
        <v>RIP</v>
      </c>
      <c r="B1846" t="s">
        <v>1852</v>
      </c>
      <c r="C1846">
        <v>1.104974828</v>
      </c>
      <c r="D1846">
        <v>9.3845089000000007E-2</v>
      </c>
      <c r="E1846">
        <v>0.72317977200000005</v>
      </c>
      <c r="F1846">
        <v>0.519293385</v>
      </c>
      <c r="G1846">
        <v>0.789585231</v>
      </c>
      <c r="H1846">
        <v>3.7</v>
      </c>
      <c r="I1846">
        <v>3.4378544228493801</v>
      </c>
      <c r="J1846">
        <v>3.4610361918935899</v>
      </c>
      <c r="K1846">
        <v>3.7944428595566499</v>
      </c>
      <c r="L1846">
        <v>3.83944942212878</v>
      </c>
      <c r="M1846">
        <v>3.4494453073714801</v>
      </c>
      <c r="N1846">
        <v>3.4494258333733101</v>
      </c>
      <c r="Q1846">
        <f t="shared" si="140"/>
        <v>3.7</v>
      </c>
      <c r="R1846">
        <f t="shared" si="142"/>
        <v>3.5698608714377205</v>
      </c>
      <c r="S1846">
        <f t="shared" si="143"/>
        <v>0.13013912856227972</v>
      </c>
      <c r="T1846">
        <f t="shared" si="144"/>
        <v>1.6936192782949569E-2</v>
      </c>
    </row>
    <row r="1847" spans="1:20" hidden="1" x14ac:dyDescent="0.25">
      <c r="A1847" t="str">
        <f t="shared" si="141"/>
        <v>RIP</v>
      </c>
      <c r="B1847" t="s">
        <v>1853</v>
      </c>
      <c r="C1847">
        <v>1.173267251</v>
      </c>
      <c r="D1847">
        <v>9.3378474000000003E-2</v>
      </c>
      <c r="E1847">
        <v>0.72124687499999995</v>
      </c>
      <c r="F1847">
        <v>0.52608103399999995</v>
      </c>
      <c r="G1847">
        <v>0.78955892999999999</v>
      </c>
      <c r="H1847">
        <v>3.74</v>
      </c>
      <c r="I1847">
        <v>3.3651067244389599</v>
      </c>
      <c r="J1847">
        <v>3.3940578699136101</v>
      </c>
      <c r="K1847">
        <v>3.6262799618538</v>
      </c>
      <c r="L1847">
        <v>3.6753827150443801</v>
      </c>
      <c r="M1847">
        <v>3.3795822971762801</v>
      </c>
      <c r="N1847">
        <v>3.3795512958351801</v>
      </c>
      <c r="Q1847">
        <f t="shared" si="140"/>
        <v>3.74</v>
      </c>
      <c r="R1847">
        <f t="shared" si="142"/>
        <v>3.4938504073883037</v>
      </c>
      <c r="S1847">
        <f t="shared" si="143"/>
        <v>0.24614959261169655</v>
      </c>
      <c r="T1847">
        <f t="shared" si="144"/>
        <v>6.0589621942904182E-2</v>
      </c>
    </row>
    <row r="1848" spans="1:20" hidden="1" x14ac:dyDescent="0.25">
      <c r="A1848" t="str">
        <f t="shared" si="141"/>
        <v>RIP</v>
      </c>
      <c r="B1848" t="s">
        <v>1854</v>
      </c>
      <c r="C1848">
        <v>0.99999194599999996</v>
      </c>
      <c r="D1848">
        <v>9.4388802999999993E-2</v>
      </c>
      <c r="E1848">
        <v>0.72286637099999995</v>
      </c>
      <c r="F1848">
        <v>0.498319503</v>
      </c>
      <c r="G1848">
        <v>0.79026623900000004</v>
      </c>
      <c r="H1848">
        <v>3.25</v>
      </c>
      <c r="I1848">
        <v>3.5032181756607899</v>
      </c>
      <c r="J1848">
        <v>3.5127433235746501</v>
      </c>
      <c r="K1848">
        <v>3.9051940386862398</v>
      </c>
      <c r="L1848">
        <v>3.9860266678784901</v>
      </c>
      <c r="M1848">
        <v>3.5079807496177202</v>
      </c>
      <c r="N1848">
        <v>3.5079775166864802</v>
      </c>
      <c r="Q1848">
        <f t="shared" si="140"/>
        <v>3.25</v>
      </c>
      <c r="R1848">
        <f t="shared" si="142"/>
        <v>3.6292912224213785</v>
      </c>
      <c r="S1848">
        <f t="shared" si="143"/>
        <v>-0.37929122242137847</v>
      </c>
      <c r="T1848">
        <f t="shared" si="144"/>
        <v>0.14386183140590358</v>
      </c>
    </row>
    <row r="1849" spans="1:20" hidden="1" x14ac:dyDescent="0.25">
      <c r="A1849" t="str">
        <f t="shared" si="141"/>
        <v>RIP</v>
      </c>
      <c r="B1849" t="s">
        <v>1855</v>
      </c>
      <c r="C1849">
        <v>1.033174453</v>
      </c>
      <c r="D1849">
        <v>9.4797171999999999E-2</v>
      </c>
      <c r="E1849">
        <v>0.72407207500000004</v>
      </c>
      <c r="F1849">
        <v>0.49040531199999998</v>
      </c>
      <c r="G1849">
        <v>0.78314299399999998</v>
      </c>
      <c r="H1849">
        <v>3.47</v>
      </c>
      <c r="I1849">
        <v>3.4318111723776101</v>
      </c>
      <c r="J1849">
        <v>3.4709595212444899</v>
      </c>
      <c r="K1849">
        <v>3.7659095392646602</v>
      </c>
      <c r="L1849">
        <v>3.8297033965779201</v>
      </c>
      <c r="M1849">
        <v>3.4513853468110498</v>
      </c>
      <c r="N1849">
        <v>3.4513298399134902</v>
      </c>
      <c r="Q1849">
        <f t="shared" si="140"/>
        <v>3.47</v>
      </c>
      <c r="R1849">
        <f t="shared" si="142"/>
        <v>3.5741836287853435</v>
      </c>
      <c r="S1849">
        <f t="shared" si="143"/>
        <v>-0.10418362878534326</v>
      </c>
      <c r="T1849">
        <f t="shared" si="144"/>
        <v>1.0854228506882205E-2</v>
      </c>
    </row>
    <row r="1850" spans="1:20" hidden="1" x14ac:dyDescent="0.25">
      <c r="A1850" t="str">
        <f t="shared" si="141"/>
        <v>RIP</v>
      </c>
      <c r="B1850" t="s">
        <v>1856</v>
      </c>
      <c r="C1850">
        <v>1.1807985329999999</v>
      </c>
      <c r="D1850">
        <v>9.5979405000000004E-2</v>
      </c>
      <c r="E1850">
        <v>0.72414735299999999</v>
      </c>
      <c r="F1850">
        <v>0.49868920900000002</v>
      </c>
      <c r="G1850">
        <v>0.78699993400000001</v>
      </c>
      <c r="H1850">
        <v>3.63</v>
      </c>
      <c r="I1850">
        <v>3.30897057524421</v>
      </c>
      <c r="J1850">
        <v>3.4088287638730201</v>
      </c>
      <c r="K1850">
        <v>3.5020600913092599</v>
      </c>
      <c r="L1850">
        <v>3.5730106461356499</v>
      </c>
      <c r="M1850">
        <v>3.35889966955861</v>
      </c>
      <c r="N1850">
        <v>3.3585285581191502</v>
      </c>
      <c r="Q1850">
        <f t="shared" si="140"/>
        <v>3.63</v>
      </c>
      <c r="R1850">
        <f t="shared" si="142"/>
        <v>3.4811143677778773</v>
      </c>
      <c r="S1850">
        <f t="shared" si="143"/>
        <v>0.14888563222212259</v>
      </c>
      <c r="T1850">
        <f t="shared" si="144"/>
        <v>2.2166931482181147E-2</v>
      </c>
    </row>
    <row r="1851" spans="1:20" hidden="1" x14ac:dyDescent="0.25">
      <c r="A1851" t="str">
        <f t="shared" si="141"/>
        <v>RIP</v>
      </c>
      <c r="B1851" t="s">
        <v>1857</v>
      </c>
      <c r="C1851">
        <v>1.160665541</v>
      </c>
      <c r="D1851">
        <v>9.9075049999999998E-2</v>
      </c>
      <c r="E1851">
        <v>0.72957465300000002</v>
      </c>
      <c r="F1851">
        <v>0.54037362099999997</v>
      </c>
      <c r="G1851">
        <v>0.80531096899999999</v>
      </c>
      <c r="H1851">
        <v>3.14</v>
      </c>
      <c r="I1851">
        <v>3.66282239599902</v>
      </c>
      <c r="J1851">
        <v>3.7460184568489998</v>
      </c>
      <c r="K1851">
        <v>3.6396524369826402</v>
      </c>
      <c r="L1851">
        <v>3.6602152836392099</v>
      </c>
      <c r="M1851">
        <v>3.7044204264240101</v>
      </c>
      <c r="N1851">
        <v>3.7041868607796</v>
      </c>
      <c r="Q1851">
        <f t="shared" si="140"/>
        <v>3.14</v>
      </c>
      <c r="R1851">
        <f t="shared" si="142"/>
        <v>3.8343256409774158</v>
      </c>
      <c r="S1851">
        <f t="shared" si="143"/>
        <v>-0.69432564097741567</v>
      </c>
      <c r="T1851">
        <f t="shared" si="144"/>
        <v>0.48208809571869915</v>
      </c>
    </row>
    <row r="1852" spans="1:20" hidden="1" x14ac:dyDescent="0.25">
      <c r="A1852" t="str">
        <f t="shared" si="141"/>
        <v>RIP</v>
      </c>
      <c r="B1852" t="s">
        <v>1858</v>
      </c>
      <c r="C1852">
        <v>1.0523960139999999</v>
      </c>
      <c r="D1852">
        <v>9.4844418E-2</v>
      </c>
      <c r="E1852">
        <v>0.72516978399999998</v>
      </c>
      <c r="F1852">
        <v>0.53937164199999998</v>
      </c>
      <c r="G1852">
        <v>0.79418661700000004</v>
      </c>
      <c r="H1852">
        <v>3.19</v>
      </c>
      <c r="I1852">
        <v>3.6288048187286202</v>
      </c>
      <c r="J1852">
        <v>3.6355237831995901</v>
      </c>
      <c r="K1852">
        <v>3.9144167872244702</v>
      </c>
      <c r="L1852">
        <v>3.969470034824</v>
      </c>
      <c r="M1852">
        <v>3.63216430096411</v>
      </c>
      <c r="N1852">
        <v>3.6321627473279898</v>
      </c>
      <c r="Q1852">
        <f t="shared" si="140"/>
        <v>3.19</v>
      </c>
      <c r="R1852">
        <f t="shared" si="142"/>
        <v>3.7645781154445932</v>
      </c>
      <c r="S1852">
        <f t="shared" si="143"/>
        <v>-0.57457811544459325</v>
      </c>
      <c r="T1852">
        <f t="shared" si="144"/>
        <v>0.33014001074786031</v>
      </c>
    </row>
    <row r="1853" spans="1:20" hidden="1" x14ac:dyDescent="0.25">
      <c r="A1853" t="str">
        <f t="shared" si="141"/>
        <v>RIP</v>
      </c>
      <c r="B1853" t="s">
        <v>1859</v>
      </c>
      <c r="C1853">
        <v>1.1413817020000001</v>
      </c>
      <c r="D1853">
        <v>9.7510079999999999E-2</v>
      </c>
      <c r="E1853">
        <v>0.73520443000000002</v>
      </c>
      <c r="F1853">
        <v>0.51376920500000001</v>
      </c>
      <c r="G1853">
        <v>0.80671219000000005</v>
      </c>
      <c r="H1853">
        <v>3.37</v>
      </c>
      <c r="I1853">
        <v>3.4961848509989699</v>
      </c>
      <c r="J1853">
        <v>3.5966289935129399</v>
      </c>
      <c r="K1853">
        <v>3.5693228190414001</v>
      </c>
      <c r="L1853">
        <v>3.6052453501538002</v>
      </c>
      <c r="M1853">
        <v>3.54640692225595</v>
      </c>
      <c r="N1853">
        <v>3.5460512971167799</v>
      </c>
      <c r="Q1853">
        <f t="shared" si="140"/>
        <v>3.37</v>
      </c>
      <c r="R1853">
        <f t="shared" si="142"/>
        <v>3.6806905381604667</v>
      </c>
      <c r="S1853">
        <f t="shared" si="143"/>
        <v>-0.31069053816046655</v>
      </c>
      <c r="T1853">
        <f t="shared" si="144"/>
        <v>9.6528610502440312E-2</v>
      </c>
    </row>
    <row r="1854" spans="1:20" hidden="1" x14ac:dyDescent="0.25">
      <c r="A1854" t="str">
        <f t="shared" si="141"/>
        <v>RIP</v>
      </c>
      <c r="B1854" t="s">
        <v>1860</v>
      </c>
      <c r="C1854">
        <v>0.97243025299999997</v>
      </c>
      <c r="D1854">
        <v>9.6721034999999997E-2</v>
      </c>
      <c r="E1854">
        <v>0.72782876500000004</v>
      </c>
      <c r="F1854">
        <v>0.51261596200000004</v>
      </c>
      <c r="G1854">
        <v>0.79986446700000002</v>
      </c>
      <c r="H1854">
        <v>3.72</v>
      </c>
      <c r="I1854">
        <v>3.6873855361538599</v>
      </c>
      <c r="J1854">
        <v>3.71005592893186</v>
      </c>
      <c r="K1854">
        <v>3.9136318059512201</v>
      </c>
      <c r="L1854">
        <v>3.9655505712191799</v>
      </c>
      <c r="M1854">
        <v>3.6987207325428599</v>
      </c>
      <c r="N1854">
        <v>3.6987033634322701</v>
      </c>
      <c r="Q1854">
        <f t="shared" si="140"/>
        <v>3.72</v>
      </c>
      <c r="R1854">
        <f t="shared" si="142"/>
        <v>3.8325941142828803</v>
      </c>
      <c r="S1854">
        <f t="shared" si="143"/>
        <v>-0.11259411428288013</v>
      </c>
      <c r="T1854">
        <f t="shared" si="144"/>
        <v>1.2677434571146272E-2</v>
      </c>
    </row>
    <row r="1855" spans="1:20" hidden="1" x14ac:dyDescent="0.25">
      <c r="A1855" t="str">
        <f t="shared" si="141"/>
        <v>RIP</v>
      </c>
      <c r="B1855" t="s">
        <v>1861</v>
      </c>
      <c r="C1855">
        <v>1.0484981470000001</v>
      </c>
      <c r="D1855">
        <v>0.102581911</v>
      </c>
      <c r="E1855">
        <v>0.74329800999999995</v>
      </c>
      <c r="F1855">
        <v>0.52258211799999998</v>
      </c>
      <c r="G1855">
        <v>0.81905789500000004</v>
      </c>
      <c r="H1855">
        <v>3.64</v>
      </c>
      <c r="I1855">
        <v>3.9012394835133799</v>
      </c>
      <c r="J1855">
        <v>4.0154683830781996</v>
      </c>
      <c r="K1855">
        <v>3.7927407070544001</v>
      </c>
      <c r="L1855">
        <v>3.83377646928417</v>
      </c>
      <c r="M1855">
        <v>3.9583539332957902</v>
      </c>
      <c r="N1855">
        <v>3.9579418642603001</v>
      </c>
      <c r="Q1855">
        <f t="shared" si="140"/>
        <v>3.64</v>
      </c>
      <c r="R1855">
        <f t="shared" si="142"/>
        <v>4.0959764654287358</v>
      </c>
      <c r="S1855">
        <f t="shared" si="143"/>
        <v>-0.45597646542873571</v>
      </c>
      <c r="T1855">
        <f t="shared" si="144"/>
        <v>0.20791453702488302</v>
      </c>
    </row>
    <row r="1856" spans="1:20" hidden="1" x14ac:dyDescent="0.25">
      <c r="A1856" t="str">
        <f t="shared" si="141"/>
        <v>RIP</v>
      </c>
      <c r="B1856" t="s">
        <v>1862</v>
      </c>
      <c r="C1856">
        <v>1.045289586</v>
      </c>
      <c r="D1856">
        <v>9.7493015000000002E-2</v>
      </c>
      <c r="E1856">
        <v>0.73428574099999999</v>
      </c>
      <c r="F1856">
        <v>0.52567639300000002</v>
      </c>
      <c r="G1856">
        <v>0.80976314800000004</v>
      </c>
      <c r="H1856">
        <v>3.87</v>
      </c>
      <c r="I1856">
        <v>3.6860239181910699</v>
      </c>
      <c r="J1856">
        <v>3.7340529588663101</v>
      </c>
      <c r="K1856">
        <v>3.80758202224842</v>
      </c>
      <c r="L1856">
        <v>3.83748597071386</v>
      </c>
      <c r="M1856">
        <v>3.7100384385286902</v>
      </c>
      <c r="N1856">
        <v>3.7099607165269699</v>
      </c>
      <c r="Q1856">
        <f t="shared" si="140"/>
        <v>3.87</v>
      </c>
      <c r="R1856">
        <f t="shared" si="142"/>
        <v>3.8459941390710446</v>
      </c>
      <c r="S1856">
        <f t="shared" si="143"/>
        <v>2.4005860928955514E-2</v>
      </c>
      <c r="T1856">
        <f t="shared" si="144"/>
        <v>5.7628135894035291E-4</v>
      </c>
    </row>
    <row r="1857" spans="1:20" hidden="1" x14ac:dyDescent="0.25">
      <c r="A1857" t="str">
        <f t="shared" si="141"/>
        <v>RIP</v>
      </c>
      <c r="B1857" t="s">
        <v>1863</v>
      </c>
      <c r="C1857">
        <v>1.0212267209999999</v>
      </c>
      <c r="D1857">
        <v>9.3294126000000005E-2</v>
      </c>
      <c r="E1857">
        <v>0.71827814999999995</v>
      </c>
      <c r="F1857">
        <v>0.50984779599999996</v>
      </c>
      <c r="G1857">
        <v>0.78543104500000005</v>
      </c>
      <c r="H1857">
        <v>2.79</v>
      </c>
      <c r="I1857">
        <v>3.4951570939657501</v>
      </c>
      <c r="J1857">
        <v>3.4780320410216099</v>
      </c>
      <c r="K1857">
        <v>3.9162477876405002</v>
      </c>
      <c r="L1857">
        <v>4.0055582072208296</v>
      </c>
      <c r="M1857">
        <v>3.4865945674936798</v>
      </c>
      <c r="N1857">
        <v>3.48658405337041</v>
      </c>
      <c r="Q1857">
        <f t="shared" ref="Q1857:Q1920" si="145">H1857</f>
        <v>2.79</v>
      </c>
      <c r="R1857">
        <f t="shared" si="142"/>
        <v>3.6004788545206932</v>
      </c>
      <c r="S1857">
        <f t="shared" si="143"/>
        <v>-0.81047885452069313</v>
      </c>
      <c r="T1857">
        <f t="shared" si="144"/>
        <v>0.6568759736251748</v>
      </c>
    </row>
    <row r="1858" spans="1:20" hidden="1" x14ac:dyDescent="0.25">
      <c r="A1858" t="str">
        <f t="shared" si="141"/>
        <v>RIP</v>
      </c>
      <c r="B1858" t="s">
        <v>1864</v>
      </c>
      <c r="C1858">
        <v>1.1470852330000001</v>
      </c>
      <c r="D1858">
        <v>9.8296700000000001E-2</v>
      </c>
      <c r="E1858">
        <v>0.7391278</v>
      </c>
      <c r="F1858">
        <v>0.549753351</v>
      </c>
      <c r="G1858">
        <v>0.80476466800000002</v>
      </c>
      <c r="H1858">
        <v>3.73</v>
      </c>
      <c r="I1858">
        <v>3.6535149922816701</v>
      </c>
      <c r="J1858">
        <v>3.7696743591941</v>
      </c>
      <c r="K1858">
        <v>3.78071918271832</v>
      </c>
      <c r="L1858">
        <v>3.8291100219648699</v>
      </c>
      <c r="M1858">
        <v>3.7115946757378899</v>
      </c>
      <c r="N1858">
        <v>3.7111402273877299</v>
      </c>
      <c r="Q1858">
        <f t="shared" si="145"/>
        <v>3.73</v>
      </c>
      <c r="R1858">
        <f t="shared" si="142"/>
        <v>3.8711116646524344</v>
      </c>
      <c r="S1858">
        <f t="shared" si="143"/>
        <v>-0.14111166465243441</v>
      </c>
      <c r="T1858">
        <f t="shared" si="144"/>
        <v>1.9912501900981108E-2</v>
      </c>
    </row>
    <row r="1859" spans="1:20" hidden="1" x14ac:dyDescent="0.25">
      <c r="A1859" t="str">
        <f t="shared" ref="A1859:A1922" si="146">LEFT(B1859,3)</f>
        <v>RIP</v>
      </c>
      <c r="B1859" t="s">
        <v>1865</v>
      </c>
      <c r="C1859">
        <v>1.1428750320000001</v>
      </c>
      <c r="D1859">
        <v>9.5608936000000005E-2</v>
      </c>
      <c r="E1859">
        <v>0.72643837600000005</v>
      </c>
      <c r="F1859">
        <v>0.53471222500000004</v>
      </c>
      <c r="G1859">
        <v>0.793409641</v>
      </c>
      <c r="H1859">
        <v>3.42</v>
      </c>
      <c r="I1859">
        <v>3.5112368281900301</v>
      </c>
      <c r="J1859">
        <v>3.5653826985789498</v>
      </c>
      <c r="K1859">
        <v>3.6841314789274802</v>
      </c>
      <c r="L1859">
        <v>3.7238523964445598</v>
      </c>
      <c r="M1859">
        <v>3.5383097633844902</v>
      </c>
      <c r="N1859">
        <v>3.5382061892775498</v>
      </c>
      <c r="Q1859">
        <f t="shared" si="145"/>
        <v>3.42</v>
      </c>
      <c r="R1859">
        <f t="shared" ref="R1859:R1922" si="147">$X$2*F1859+$X$3*D1859*E1859+($X$4/(D1859-$X$5))-$X$6*C1859</f>
        <v>3.6694571082311591</v>
      </c>
      <c r="S1859">
        <f t="shared" ref="S1859:S1922" si="148">Q1859-R1859</f>
        <v>-0.24945710823115919</v>
      </c>
      <c r="T1859">
        <f t="shared" ref="T1859:T1922" si="149">S1859^2</f>
        <v>6.2228848847052265E-2</v>
      </c>
    </row>
    <row r="1860" spans="1:20" hidden="1" x14ac:dyDescent="0.25">
      <c r="A1860" t="str">
        <f t="shared" si="146"/>
        <v>RIP</v>
      </c>
      <c r="B1860" t="s">
        <v>1866</v>
      </c>
      <c r="C1860">
        <v>0.98988509800000002</v>
      </c>
      <c r="D1860">
        <v>9.9165897000000003E-2</v>
      </c>
      <c r="E1860">
        <v>0.72699812200000002</v>
      </c>
      <c r="F1860">
        <v>0.47074607400000001</v>
      </c>
      <c r="G1860">
        <v>0.80178437999999996</v>
      </c>
      <c r="H1860">
        <v>3.18</v>
      </c>
      <c r="I1860">
        <v>3.5891422782273099</v>
      </c>
      <c r="J1860">
        <v>3.6614876668572802</v>
      </c>
      <c r="K1860">
        <v>3.5851202739147299</v>
      </c>
      <c r="L1860">
        <v>3.6065456945646401</v>
      </c>
      <c r="M1860">
        <v>3.6253149725423</v>
      </c>
      <c r="N1860">
        <v>3.6251345059632398</v>
      </c>
      <c r="Q1860">
        <f t="shared" si="145"/>
        <v>3.18</v>
      </c>
      <c r="R1860">
        <f t="shared" si="147"/>
        <v>3.74295636681678</v>
      </c>
      <c r="S1860">
        <f t="shared" si="148"/>
        <v>-0.56295636681677985</v>
      </c>
      <c r="T1860">
        <f t="shared" si="149"/>
        <v>0.31691987093954876</v>
      </c>
    </row>
    <row r="1861" spans="1:20" hidden="1" x14ac:dyDescent="0.25">
      <c r="A1861" t="str">
        <f t="shared" si="146"/>
        <v>RIP</v>
      </c>
      <c r="B1861" t="s">
        <v>1867</v>
      </c>
      <c r="C1861">
        <v>1.199367627</v>
      </c>
      <c r="D1861">
        <v>9.0388228000000001E-2</v>
      </c>
      <c r="E1861">
        <v>0.69029581100000004</v>
      </c>
      <c r="F1861">
        <v>0.47890347700000002</v>
      </c>
      <c r="G1861">
        <v>0.75196668</v>
      </c>
      <c r="H1861">
        <v>2.23</v>
      </c>
      <c r="I1861">
        <v>3.0591508460245098</v>
      </c>
      <c r="J1861">
        <v>3.0216365960522902</v>
      </c>
      <c r="K1861">
        <v>3.3669400949742001</v>
      </c>
      <c r="L1861">
        <v>3.4401019436518498</v>
      </c>
      <c r="M1861">
        <v>3.0403937210384</v>
      </c>
      <c r="N1861">
        <v>3.0403358612482201</v>
      </c>
      <c r="Q1861">
        <f t="shared" si="145"/>
        <v>2.23</v>
      </c>
      <c r="R1861">
        <f t="shared" si="147"/>
        <v>3.0936309382423159</v>
      </c>
      <c r="S1861">
        <f t="shared" si="148"/>
        <v>-0.86363093824231596</v>
      </c>
      <c r="T1861">
        <f t="shared" si="149"/>
        <v>0.74585839748930294</v>
      </c>
    </row>
    <row r="1862" spans="1:20" hidden="1" x14ac:dyDescent="0.25">
      <c r="A1862" t="str">
        <f t="shared" si="146"/>
        <v>RIP</v>
      </c>
      <c r="B1862" t="s">
        <v>1868</v>
      </c>
      <c r="C1862">
        <v>1.1755339549999999</v>
      </c>
      <c r="D1862">
        <v>8.9442456000000004E-2</v>
      </c>
      <c r="E1862">
        <v>0.69643838999999996</v>
      </c>
      <c r="F1862">
        <v>0.49796908899999998</v>
      </c>
      <c r="G1862">
        <v>0.75612078199999999</v>
      </c>
      <c r="H1862">
        <v>3.17</v>
      </c>
      <c r="I1862">
        <v>3.15370555933261</v>
      </c>
      <c r="J1862">
        <v>3.0881189236398598</v>
      </c>
      <c r="K1862">
        <v>3.4737844069491199</v>
      </c>
      <c r="L1862">
        <v>3.5407082064578899</v>
      </c>
      <c r="M1862">
        <v>3.1209122414862298</v>
      </c>
      <c r="N1862">
        <v>3.1207399470899899</v>
      </c>
      <c r="Q1862">
        <f t="shared" si="145"/>
        <v>3.17</v>
      </c>
      <c r="R1862">
        <f t="shared" si="147"/>
        <v>3.1794464212084463</v>
      </c>
      <c r="S1862">
        <f t="shared" si="148"/>
        <v>-9.4464212084464094E-3</v>
      </c>
      <c r="T1862">
        <f t="shared" si="149"/>
        <v>8.9234873647386117E-5</v>
      </c>
    </row>
    <row r="1863" spans="1:20" hidden="1" x14ac:dyDescent="0.25">
      <c r="A1863" t="str">
        <f t="shared" si="146"/>
        <v>RIP</v>
      </c>
      <c r="B1863" t="s">
        <v>1869</v>
      </c>
      <c r="C1863">
        <v>1.2578332139999999</v>
      </c>
      <c r="D1863">
        <v>9.6402742999999999E-2</v>
      </c>
      <c r="E1863">
        <v>0.741437032</v>
      </c>
      <c r="F1863">
        <v>0.54880481400000003</v>
      </c>
      <c r="G1863">
        <v>0.80819706599999996</v>
      </c>
      <c r="H1863">
        <v>3.97</v>
      </c>
      <c r="I1863">
        <v>3.4343554713796598</v>
      </c>
      <c r="J1863">
        <v>3.5647851209368402</v>
      </c>
      <c r="K1863">
        <v>3.4831798229589199</v>
      </c>
      <c r="L1863">
        <v>3.4972725968886702</v>
      </c>
      <c r="M1863">
        <v>3.4995702961582502</v>
      </c>
      <c r="N1863">
        <v>3.4989626011694099</v>
      </c>
      <c r="Q1863">
        <f t="shared" si="145"/>
        <v>3.97</v>
      </c>
      <c r="R1863">
        <f t="shared" si="147"/>
        <v>3.6505859723495271</v>
      </c>
      <c r="S1863">
        <f t="shared" si="148"/>
        <v>0.31941402765047311</v>
      </c>
      <c r="T1863">
        <f t="shared" si="149"/>
        <v>0.1020253210598972</v>
      </c>
    </row>
    <row r="1864" spans="1:20" hidden="1" x14ac:dyDescent="0.25">
      <c r="A1864" t="str">
        <f t="shared" si="146"/>
        <v>RIP</v>
      </c>
      <c r="B1864" t="s">
        <v>1870</v>
      </c>
      <c r="C1864">
        <v>1.204723585</v>
      </c>
      <c r="D1864">
        <v>9.0106813999999993E-2</v>
      </c>
      <c r="E1864">
        <v>0.704904262</v>
      </c>
      <c r="F1864">
        <v>0.52746700999999996</v>
      </c>
      <c r="G1864">
        <v>0.76793213500000002</v>
      </c>
      <c r="H1864">
        <v>3.01</v>
      </c>
      <c r="I1864">
        <v>3.2557884718090202</v>
      </c>
      <c r="J1864">
        <v>3.2062686562882199</v>
      </c>
      <c r="K1864">
        <v>3.52661908963838</v>
      </c>
      <c r="L1864">
        <v>3.56423119774349</v>
      </c>
      <c r="M1864">
        <v>3.23102856404862</v>
      </c>
      <c r="N1864">
        <v>3.23093369301596</v>
      </c>
      <c r="Q1864">
        <f t="shared" si="145"/>
        <v>3.01</v>
      </c>
      <c r="R1864">
        <f t="shared" si="147"/>
        <v>3.308348971880676</v>
      </c>
      <c r="S1864">
        <f t="shared" si="148"/>
        <v>-0.29834897188067622</v>
      </c>
      <c r="T1864">
        <f t="shared" si="149"/>
        <v>8.9012109022256522E-2</v>
      </c>
    </row>
    <row r="1865" spans="1:20" hidden="1" x14ac:dyDescent="0.25">
      <c r="A1865" t="str">
        <f t="shared" si="146"/>
        <v>RIP</v>
      </c>
      <c r="B1865" t="s">
        <v>1871</v>
      </c>
      <c r="C1865">
        <v>1.1821857689999999</v>
      </c>
      <c r="D1865">
        <v>9.6033563000000002E-2</v>
      </c>
      <c r="E1865">
        <v>0.70632039099999999</v>
      </c>
      <c r="F1865">
        <v>0.508596304</v>
      </c>
      <c r="G1865">
        <v>0.77869111999999996</v>
      </c>
      <c r="H1865">
        <v>2.9</v>
      </c>
      <c r="I1865">
        <v>3.3809784745025899</v>
      </c>
      <c r="J1865">
        <v>3.4168767317256901</v>
      </c>
      <c r="K1865">
        <v>3.4459339278857501</v>
      </c>
      <c r="L1865">
        <v>3.4850567497992402</v>
      </c>
      <c r="M1865">
        <v>3.39892760311414</v>
      </c>
      <c r="N1865">
        <v>3.3988802097151498</v>
      </c>
      <c r="Q1865">
        <f t="shared" si="145"/>
        <v>2.9</v>
      </c>
      <c r="R1865">
        <f t="shared" si="147"/>
        <v>3.4937592078448163</v>
      </c>
      <c r="S1865">
        <f t="shared" si="148"/>
        <v>-0.59375920784481639</v>
      </c>
      <c r="T1865">
        <f t="shared" si="149"/>
        <v>0.35254999690050387</v>
      </c>
    </row>
    <row r="1866" spans="1:20" hidden="1" x14ac:dyDescent="0.25">
      <c r="A1866" t="str">
        <f t="shared" si="146"/>
        <v>RIP</v>
      </c>
      <c r="B1866" t="s">
        <v>1872</v>
      </c>
      <c r="C1866">
        <v>1.1231703399999999</v>
      </c>
      <c r="D1866">
        <v>8.6522004999999999E-2</v>
      </c>
      <c r="E1866">
        <v>0.68837907799999998</v>
      </c>
      <c r="F1866">
        <v>0.48662802999999999</v>
      </c>
      <c r="G1866">
        <v>0.74420556000000004</v>
      </c>
      <c r="H1866">
        <v>3.08</v>
      </c>
      <c r="I1866">
        <v>3.1135084113676998</v>
      </c>
      <c r="J1866">
        <v>2.97836569662095</v>
      </c>
      <c r="K1866">
        <v>3.5010874328493702</v>
      </c>
      <c r="L1866">
        <v>3.54915990726131</v>
      </c>
      <c r="M1866">
        <v>3.04593705399432</v>
      </c>
      <c r="N1866">
        <v>3.0451874570473199</v>
      </c>
      <c r="Q1866">
        <f t="shared" si="145"/>
        <v>3.08</v>
      </c>
      <c r="R1866">
        <f t="shared" si="147"/>
        <v>3.0793364784921158</v>
      </c>
      <c r="S1866">
        <f t="shared" si="148"/>
        <v>6.6352150788429043E-4</v>
      </c>
      <c r="T1866">
        <f t="shared" si="149"/>
        <v>4.4026079142504247E-7</v>
      </c>
    </row>
    <row r="1867" spans="1:20" hidden="1" x14ac:dyDescent="0.25">
      <c r="A1867" t="str">
        <f t="shared" si="146"/>
        <v>RIP</v>
      </c>
      <c r="B1867" t="s">
        <v>1873</v>
      </c>
      <c r="C1867">
        <v>1.145249629</v>
      </c>
      <c r="D1867">
        <v>9.0375713999999996E-2</v>
      </c>
      <c r="E1867">
        <v>0.71075949699999996</v>
      </c>
      <c r="F1867">
        <v>0.50170646399999996</v>
      </c>
      <c r="G1867">
        <v>0.77228830699999995</v>
      </c>
      <c r="H1867">
        <v>3.32</v>
      </c>
      <c r="I1867">
        <v>3.2155695150713699</v>
      </c>
      <c r="J1867">
        <v>3.1908949410697098</v>
      </c>
      <c r="K1867">
        <v>3.5969204132261599</v>
      </c>
      <c r="L1867">
        <v>3.6719610364195199</v>
      </c>
      <c r="M1867">
        <v>3.2032322280705401</v>
      </c>
      <c r="N1867">
        <v>3.20320846937866</v>
      </c>
      <c r="Q1867">
        <f t="shared" si="145"/>
        <v>3.32</v>
      </c>
      <c r="R1867">
        <f t="shared" si="147"/>
        <v>3.2895336726286426</v>
      </c>
      <c r="S1867">
        <f t="shared" si="148"/>
        <v>3.0466327371357238E-2</v>
      </c>
      <c r="T1867">
        <f t="shared" si="149"/>
        <v>9.2819710349871119E-4</v>
      </c>
    </row>
    <row r="1868" spans="1:20" hidden="1" x14ac:dyDescent="0.25">
      <c r="A1868" t="str">
        <f t="shared" si="146"/>
        <v>RIP</v>
      </c>
      <c r="B1868" t="s">
        <v>1874</v>
      </c>
      <c r="C1868">
        <v>1.18946836</v>
      </c>
      <c r="D1868">
        <v>9.4260561000000007E-2</v>
      </c>
      <c r="E1868">
        <v>0.715543398</v>
      </c>
      <c r="F1868">
        <v>0.53221042399999996</v>
      </c>
      <c r="G1868">
        <v>0.77769001599999998</v>
      </c>
      <c r="H1868">
        <v>3.8</v>
      </c>
      <c r="I1868">
        <v>3.4058698847406701</v>
      </c>
      <c r="J1868">
        <v>3.4300748213302898</v>
      </c>
      <c r="K1868">
        <v>3.7532376325576902</v>
      </c>
      <c r="L1868">
        <v>3.8758406889346899</v>
      </c>
      <c r="M1868">
        <v>3.4179723530354802</v>
      </c>
      <c r="N1868">
        <v>3.4179509265605401</v>
      </c>
      <c r="Q1868">
        <f t="shared" si="145"/>
        <v>3.8</v>
      </c>
      <c r="R1868">
        <f t="shared" si="147"/>
        <v>3.5269589174822369</v>
      </c>
      <c r="S1868">
        <f t="shared" si="148"/>
        <v>0.27304108251776293</v>
      </c>
      <c r="T1868">
        <f t="shared" si="149"/>
        <v>7.4551432742471821E-2</v>
      </c>
    </row>
    <row r="1869" spans="1:20" hidden="1" x14ac:dyDescent="0.25">
      <c r="A1869" t="str">
        <f t="shared" si="146"/>
        <v>RIP</v>
      </c>
      <c r="B1869" t="s">
        <v>1875</v>
      </c>
      <c r="C1869">
        <v>1.465175396</v>
      </c>
      <c r="D1869">
        <v>9.5738554000000003E-2</v>
      </c>
      <c r="E1869">
        <v>0.72133687499999999</v>
      </c>
      <c r="F1869">
        <v>0.53619387900000004</v>
      </c>
      <c r="G1869">
        <v>0.78588455000000002</v>
      </c>
      <c r="H1869">
        <v>3.46</v>
      </c>
      <c r="I1869">
        <v>3.0918232075724199</v>
      </c>
      <c r="J1869">
        <v>3.2461874631468302</v>
      </c>
      <c r="K1869">
        <v>3.1168403004946299</v>
      </c>
      <c r="L1869">
        <v>3.1998873022129199</v>
      </c>
      <c r="M1869">
        <v>3.1690053353596199</v>
      </c>
      <c r="N1869">
        <v>3.1680652983623898</v>
      </c>
      <c r="Q1869">
        <f t="shared" si="145"/>
        <v>3.46</v>
      </c>
      <c r="R1869">
        <f t="shared" si="147"/>
        <v>3.2814818678849385</v>
      </c>
      <c r="S1869">
        <f t="shared" si="148"/>
        <v>0.17851813211506151</v>
      </c>
      <c r="T1869">
        <f t="shared" si="149"/>
        <v>3.1868723493850559E-2</v>
      </c>
    </row>
    <row r="1870" spans="1:20" hidden="1" x14ac:dyDescent="0.25">
      <c r="A1870" t="str">
        <f t="shared" si="146"/>
        <v>RIP</v>
      </c>
      <c r="B1870" t="s">
        <v>1876</v>
      </c>
      <c r="C1870">
        <v>1.1918343760000001</v>
      </c>
      <c r="D1870">
        <v>9.7214244000000005E-2</v>
      </c>
      <c r="E1870">
        <v>0.71884575399999995</v>
      </c>
      <c r="F1870">
        <v>0.53845652499999996</v>
      </c>
      <c r="G1870">
        <v>0.785339075</v>
      </c>
      <c r="H1870">
        <v>3.67</v>
      </c>
      <c r="I1870">
        <v>3.5253231352602499</v>
      </c>
      <c r="J1870">
        <v>3.59468232647817</v>
      </c>
      <c r="K1870">
        <v>3.6533924225406298</v>
      </c>
      <c r="L1870">
        <v>3.7257930436200102</v>
      </c>
      <c r="M1870">
        <v>3.5600027308692099</v>
      </c>
      <c r="N1870">
        <v>3.5598338120542401</v>
      </c>
      <c r="Q1870">
        <f t="shared" si="145"/>
        <v>3.67</v>
      </c>
      <c r="R1870">
        <f t="shared" si="147"/>
        <v>3.6835334041587533</v>
      </c>
      <c r="S1870">
        <f t="shared" si="148"/>
        <v>-1.353340415875337E-2</v>
      </c>
      <c r="T1870">
        <f t="shared" si="149"/>
        <v>1.8315302812416302E-4</v>
      </c>
    </row>
    <row r="1871" spans="1:20" hidden="1" x14ac:dyDescent="0.25">
      <c r="A1871" t="str">
        <f t="shared" si="146"/>
        <v>RIP</v>
      </c>
      <c r="B1871" t="s">
        <v>1877</v>
      </c>
      <c r="C1871">
        <v>1.327850988</v>
      </c>
      <c r="D1871">
        <v>9.9173709999999998E-2</v>
      </c>
      <c r="E1871">
        <v>0.74252203299999997</v>
      </c>
      <c r="F1871">
        <v>0.58974425100000005</v>
      </c>
      <c r="G1871">
        <v>0.81037519499999999</v>
      </c>
      <c r="H1871">
        <v>4.09</v>
      </c>
      <c r="I1871">
        <v>3.6212566831665498</v>
      </c>
      <c r="J1871">
        <v>3.7875157746223098</v>
      </c>
      <c r="K1871">
        <v>3.5644887825473801</v>
      </c>
      <c r="L1871">
        <v>3.5734948469616699</v>
      </c>
      <c r="M1871">
        <v>3.70438622889443</v>
      </c>
      <c r="N1871">
        <v>3.7034533629370499</v>
      </c>
      <c r="Q1871">
        <f t="shared" si="145"/>
        <v>4.09</v>
      </c>
      <c r="R1871">
        <f t="shared" si="147"/>
        <v>3.8705846470037026</v>
      </c>
      <c r="S1871">
        <f t="shared" si="148"/>
        <v>0.21941535299629722</v>
      </c>
      <c r="T1871">
        <f t="shared" si="149"/>
        <v>4.8143097130489712E-2</v>
      </c>
    </row>
    <row r="1872" spans="1:20" hidden="1" x14ac:dyDescent="0.25">
      <c r="A1872" t="str">
        <f t="shared" si="146"/>
        <v>RIP</v>
      </c>
      <c r="B1872" t="s">
        <v>1878</v>
      </c>
      <c r="C1872">
        <v>1.284918418</v>
      </c>
      <c r="D1872">
        <v>9.6554801999999995E-2</v>
      </c>
      <c r="E1872">
        <v>0.73583462600000005</v>
      </c>
      <c r="F1872">
        <v>0.56894449700000005</v>
      </c>
      <c r="G1872">
        <v>0.80133343099999998</v>
      </c>
      <c r="H1872">
        <v>3.63</v>
      </c>
      <c r="I1872">
        <v>3.4928076923943601</v>
      </c>
      <c r="J1872">
        <v>3.6097083293529399</v>
      </c>
      <c r="K1872">
        <v>3.5106992787048799</v>
      </c>
      <c r="L1872">
        <v>3.5538580878754198</v>
      </c>
      <c r="M1872">
        <v>3.5512580108736498</v>
      </c>
      <c r="N1872">
        <v>3.55077696005592</v>
      </c>
      <c r="Q1872">
        <f t="shared" si="145"/>
        <v>3.63</v>
      </c>
      <c r="R1872">
        <f t="shared" si="147"/>
        <v>3.7011407147909003</v>
      </c>
      <c r="S1872">
        <f t="shared" si="148"/>
        <v>-7.114071479090045E-2</v>
      </c>
      <c r="T1872">
        <f t="shared" si="149"/>
        <v>5.0610013009602418E-3</v>
      </c>
    </row>
    <row r="1873" spans="1:20" hidden="1" x14ac:dyDescent="0.25">
      <c r="A1873" t="str">
        <f t="shared" si="146"/>
        <v>RIP</v>
      </c>
      <c r="B1873" t="s">
        <v>1879</v>
      </c>
      <c r="C1873">
        <v>1.2343892460000001</v>
      </c>
      <c r="D1873">
        <v>0.101111694</v>
      </c>
      <c r="E1873">
        <v>0.71204216300000001</v>
      </c>
      <c r="F1873">
        <v>0.50785822300000005</v>
      </c>
      <c r="G1873">
        <v>0.77699735599999997</v>
      </c>
      <c r="H1873">
        <v>3.24</v>
      </c>
      <c r="I1873">
        <v>3.4688743692341601</v>
      </c>
      <c r="J1873">
        <v>3.6341793340330399</v>
      </c>
      <c r="K1873">
        <v>3.5629595142292798</v>
      </c>
      <c r="L1873">
        <v>3.7205882057797202</v>
      </c>
      <c r="M1873">
        <v>3.5515268516336</v>
      </c>
      <c r="N1873">
        <v>3.5505649613868102</v>
      </c>
      <c r="Q1873">
        <f t="shared" si="145"/>
        <v>3.24</v>
      </c>
      <c r="R1873">
        <f t="shared" si="147"/>
        <v>3.6740415165294542</v>
      </c>
      <c r="S1873">
        <f t="shared" si="148"/>
        <v>-0.434041516529454</v>
      </c>
      <c r="T1873">
        <f t="shared" si="149"/>
        <v>0.18839203807118829</v>
      </c>
    </row>
    <row r="1874" spans="1:20" hidden="1" x14ac:dyDescent="0.25">
      <c r="A1874" t="str">
        <f t="shared" si="146"/>
        <v>RIP</v>
      </c>
      <c r="B1874" t="s">
        <v>1880</v>
      </c>
      <c r="C1874">
        <v>1.3718369749999999</v>
      </c>
      <c r="D1874">
        <v>9.6846115999999996E-2</v>
      </c>
      <c r="E1874">
        <v>0.68728720600000004</v>
      </c>
      <c r="F1874">
        <v>0.49111247000000002</v>
      </c>
      <c r="G1874">
        <v>0.753007337</v>
      </c>
      <c r="H1874">
        <v>2.68</v>
      </c>
      <c r="I1874">
        <v>3.0745347475048601</v>
      </c>
      <c r="J1874">
        <v>3.1700735883626501</v>
      </c>
      <c r="K1874">
        <v>3.14197781512723</v>
      </c>
      <c r="L1874">
        <v>3.27811733512458</v>
      </c>
      <c r="M1874">
        <v>3.1223041679337502</v>
      </c>
      <c r="N1874">
        <v>3.12193872450572</v>
      </c>
      <c r="Q1874">
        <f t="shared" si="145"/>
        <v>2.68</v>
      </c>
      <c r="R1874">
        <f t="shared" si="147"/>
        <v>3.1912580946189228</v>
      </c>
      <c r="S1874">
        <f t="shared" si="148"/>
        <v>-0.51125809461892269</v>
      </c>
      <c r="T1874">
        <f t="shared" si="149"/>
        <v>0.26138483931337131</v>
      </c>
    </row>
    <row r="1875" spans="1:20" hidden="1" x14ac:dyDescent="0.25">
      <c r="A1875" t="str">
        <f t="shared" si="146"/>
        <v>RIP</v>
      </c>
      <c r="B1875" t="s">
        <v>1881</v>
      </c>
      <c r="C1875">
        <v>1.3374150250000001</v>
      </c>
      <c r="D1875">
        <v>9.4147014000000001E-2</v>
      </c>
      <c r="E1875">
        <v>0.68022697799999998</v>
      </c>
      <c r="F1875">
        <v>0.49189050200000001</v>
      </c>
      <c r="G1875">
        <v>0.74211571700000001</v>
      </c>
      <c r="H1875">
        <v>3.1</v>
      </c>
      <c r="I1875">
        <v>3.0521908102815298</v>
      </c>
      <c r="J1875">
        <v>3.0716546945055301</v>
      </c>
      <c r="K1875">
        <v>3.24884320327202</v>
      </c>
      <c r="L1875">
        <v>3.4159233538318499</v>
      </c>
      <c r="M1875">
        <v>3.0619227523935302</v>
      </c>
      <c r="N1875">
        <v>3.0619072864683301</v>
      </c>
      <c r="Q1875">
        <f t="shared" si="145"/>
        <v>3.1</v>
      </c>
      <c r="R1875">
        <f t="shared" si="147"/>
        <v>3.1106633975122966</v>
      </c>
      <c r="S1875">
        <f t="shared" si="148"/>
        <v>-1.0663397512296502E-2</v>
      </c>
      <c r="T1875">
        <f t="shared" si="149"/>
        <v>1.1370804650525123E-4</v>
      </c>
    </row>
    <row r="1876" spans="1:20" hidden="1" x14ac:dyDescent="0.25">
      <c r="A1876" t="str">
        <f t="shared" si="146"/>
        <v>RIP</v>
      </c>
      <c r="B1876" t="s">
        <v>1882</v>
      </c>
      <c r="C1876">
        <v>1.2558455989999999</v>
      </c>
      <c r="D1876">
        <v>9.8262850999999998E-2</v>
      </c>
      <c r="E1876">
        <v>0.72346924099999999</v>
      </c>
      <c r="F1876">
        <v>0.52863902200000001</v>
      </c>
      <c r="G1876">
        <v>0.78957649299999999</v>
      </c>
      <c r="H1876">
        <v>3.5</v>
      </c>
      <c r="I1876">
        <v>3.4264041713831999</v>
      </c>
      <c r="J1876">
        <v>3.5550958603973202</v>
      </c>
      <c r="K1876">
        <v>3.5058961064159999</v>
      </c>
      <c r="L1876">
        <v>3.6368586913596102</v>
      </c>
      <c r="M1876">
        <v>3.49075001589026</v>
      </c>
      <c r="N1876">
        <v>3.4901569141992099</v>
      </c>
      <c r="Q1876">
        <f t="shared" si="145"/>
        <v>3.5</v>
      </c>
      <c r="R1876">
        <f t="shared" si="147"/>
        <v>3.6196137556811738</v>
      </c>
      <c r="S1876">
        <f t="shared" si="148"/>
        <v>-0.11961375568117383</v>
      </c>
      <c r="T1876">
        <f t="shared" si="149"/>
        <v>1.4307450548155545E-2</v>
      </c>
    </row>
    <row r="1877" spans="1:20" hidden="1" x14ac:dyDescent="0.25">
      <c r="A1877" t="str">
        <f t="shared" si="146"/>
        <v>RIP</v>
      </c>
      <c r="B1877" t="s">
        <v>1883</v>
      </c>
      <c r="C1877">
        <v>1.3316521100000001</v>
      </c>
      <c r="D1877">
        <v>9.6475092999999998E-2</v>
      </c>
      <c r="E1877">
        <v>0.73440095599999999</v>
      </c>
      <c r="F1877">
        <v>0.55935581000000001</v>
      </c>
      <c r="G1877">
        <v>0.79962858299999995</v>
      </c>
      <c r="H1877">
        <v>3.63</v>
      </c>
      <c r="I1877">
        <v>3.3870562112729901</v>
      </c>
      <c r="J1877">
        <v>3.5215140230578199</v>
      </c>
      <c r="K1877">
        <v>3.4015375580987701</v>
      </c>
      <c r="L1877">
        <v>3.4552448678480299</v>
      </c>
      <c r="M1877">
        <v>3.4542851171654001</v>
      </c>
      <c r="N1877">
        <v>3.45363083506082</v>
      </c>
      <c r="Q1877">
        <f t="shared" si="145"/>
        <v>3.63</v>
      </c>
      <c r="R1877">
        <f t="shared" si="147"/>
        <v>3.5973230859344962</v>
      </c>
      <c r="S1877">
        <f t="shared" si="148"/>
        <v>3.2676914065503659E-2</v>
      </c>
      <c r="T1877">
        <f t="shared" si="149"/>
        <v>1.0677807128443109E-3</v>
      </c>
    </row>
    <row r="1878" spans="1:20" hidden="1" x14ac:dyDescent="0.25">
      <c r="A1878" t="str">
        <f t="shared" si="146"/>
        <v>RIP</v>
      </c>
      <c r="B1878" t="s">
        <v>1884</v>
      </c>
      <c r="C1878">
        <v>1.3489967679999999</v>
      </c>
      <c r="D1878">
        <v>9.2571141999999995E-2</v>
      </c>
      <c r="E1878">
        <v>0.695789887</v>
      </c>
      <c r="F1878">
        <v>0.52922027900000002</v>
      </c>
      <c r="G1878">
        <v>0.755278899</v>
      </c>
      <c r="H1878">
        <v>3.29</v>
      </c>
      <c r="I1878">
        <v>3.1570371591889899</v>
      </c>
      <c r="J1878">
        <v>3.1544523874656698</v>
      </c>
      <c r="K1878">
        <v>3.3542785587315902</v>
      </c>
      <c r="L1878">
        <v>3.4598989801201299</v>
      </c>
      <c r="M1878">
        <v>3.1557447733273301</v>
      </c>
      <c r="N1878">
        <v>3.15574450868912</v>
      </c>
      <c r="Q1878">
        <f t="shared" si="145"/>
        <v>3.29</v>
      </c>
      <c r="R1878">
        <f t="shared" si="147"/>
        <v>3.2197282842908019</v>
      </c>
      <c r="S1878">
        <f t="shared" si="148"/>
        <v>7.0271715709198102E-2</v>
      </c>
      <c r="T1878">
        <f t="shared" si="149"/>
        <v>4.9381140287143594E-3</v>
      </c>
    </row>
    <row r="1879" spans="1:20" hidden="1" x14ac:dyDescent="0.25">
      <c r="A1879" t="str">
        <f t="shared" si="146"/>
        <v>RIP</v>
      </c>
      <c r="B1879" t="s">
        <v>1885</v>
      </c>
      <c r="C1879">
        <v>1.459125164</v>
      </c>
      <c r="D1879">
        <v>9.4029029E-2</v>
      </c>
      <c r="E1879">
        <v>0.69366643100000003</v>
      </c>
      <c r="F1879">
        <v>0.5088916</v>
      </c>
      <c r="G1879">
        <v>0.75749643099999997</v>
      </c>
      <c r="H1879">
        <v>2.62</v>
      </c>
      <c r="I1879">
        <v>2.9485195089507301</v>
      </c>
      <c r="J1879">
        <v>3.0289987351873702</v>
      </c>
      <c r="K1879">
        <v>3.00243076094148</v>
      </c>
      <c r="L1879">
        <v>3.05931560233287</v>
      </c>
      <c r="M1879">
        <v>2.9887591220690499</v>
      </c>
      <c r="N1879">
        <v>2.98848822371564</v>
      </c>
      <c r="Q1879">
        <f t="shared" si="145"/>
        <v>2.62</v>
      </c>
      <c r="R1879">
        <f t="shared" si="147"/>
        <v>3.0535346358529267</v>
      </c>
      <c r="S1879">
        <f t="shared" si="148"/>
        <v>-0.43353463585292662</v>
      </c>
      <c r="T1879">
        <f t="shared" si="149"/>
        <v>0.18795228048412968</v>
      </c>
    </row>
    <row r="1880" spans="1:20" hidden="1" x14ac:dyDescent="0.25">
      <c r="A1880" t="str">
        <f t="shared" si="146"/>
        <v>RIP</v>
      </c>
      <c r="B1880" t="s">
        <v>1886</v>
      </c>
      <c r="C1880">
        <v>1.285328126</v>
      </c>
      <c r="D1880">
        <v>9.6020383000000001E-2</v>
      </c>
      <c r="E1880">
        <v>0.69909715699999997</v>
      </c>
      <c r="F1880">
        <v>0.50239311900000005</v>
      </c>
      <c r="G1880">
        <v>0.76078433300000003</v>
      </c>
      <c r="H1880">
        <v>3.41</v>
      </c>
      <c r="I1880">
        <v>3.2088005940546802</v>
      </c>
      <c r="J1880">
        <v>3.27837254041021</v>
      </c>
      <c r="K1880">
        <v>3.4526477316803899</v>
      </c>
      <c r="L1880">
        <v>3.6275482611022598</v>
      </c>
      <c r="M1880">
        <v>3.2435865672324402</v>
      </c>
      <c r="N1880">
        <v>3.2434000300919998</v>
      </c>
      <c r="Q1880">
        <f t="shared" si="145"/>
        <v>3.41</v>
      </c>
      <c r="R1880">
        <f t="shared" si="147"/>
        <v>3.3290547579170044</v>
      </c>
      <c r="S1880">
        <f t="shared" si="148"/>
        <v>8.0945242082995694E-2</v>
      </c>
      <c r="T1880">
        <f t="shared" si="149"/>
        <v>6.5521322158747768E-3</v>
      </c>
    </row>
    <row r="1881" spans="1:20" hidden="1" x14ac:dyDescent="0.25">
      <c r="A1881" t="str">
        <f t="shared" si="146"/>
        <v>RIP</v>
      </c>
      <c r="B1881" t="s">
        <v>1887</v>
      </c>
      <c r="C1881">
        <v>1.521609446</v>
      </c>
      <c r="D1881">
        <v>9.8592350999999995E-2</v>
      </c>
      <c r="E1881">
        <v>0.72302991299999997</v>
      </c>
      <c r="F1881">
        <v>0.52884520199999996</v>
      </c>
      <c r="G1881">
        <v>0.79184640500000003</v>
      </c>
      <c r="H1881">
        <v>2.89</v>
      </c>
      <c r="I1881">
        <v>3.08937309205804</v>
      </c>
      <c r="J1881">
        <v>3.30631984030454</v>
      </c>
      <c r="K1881">
        <v>3.0055098252365799</v>
      </c>
      <c r="L1881">
        <v>3.2198295702033799</v>
      </c>
      <c r="M1881">
        <v>3.1978464661812902</v>
      </c>
      <c r="N1881">
        <v>3.1960061871614802</v>
      </c>
      <c r="Q1881">
        <f t="shared" si="145"/>
        <v>2.89</v>
      </c>
      <c r="R1881">
        <f t="shared" si="147"/>
        <v>3.3124872793630402</v>
      </c>
      <c r="S1881">
        <f t="shared" si="148"/>
        <v>-0.42248727936304009</v>
      </c>
      <c r="T1881">
        <f t="shared" si="149"/>
        <v>0.17849550122358349</v>
      </c>
    </row>
    <row r="1882" spans="1:20" hidden="1" x14ac:dyDescent="0.25">
      <c r="A1882" t="str">
        <f t="shared" si="146"/>
        <v>RIP</v>
      </c>
      <c r="B1882" t="s">
        <v>1888</v>
      </c>
      <c r="C1882">
        <v>1.4714413879999999</v>
      </c>
      <c r="D1882">
        <v>9.5053177000000003E-2</v>
      </c>
      <c r="E1882">
        <v>0.717207496</v>
      </c>
      <c r="F1882">
        <v>0.53146225999999996</v>
      </c>
      <c r="G1882">
        <v>0.78130780399999999</v>
      </c>
      <c r="H1882">
        <v>3.32</v>
      </c>
      <c r="I1882">
        <v>3.0434890475441798</v>
      </c>
      <c r="J1882">
        <v>3.18395021451092</v>
      </c>
      <c r="K1882">
        <v>3.0400914807627499</v>
      </c>
      <c r="L1882">
        <v>3.1826679206777202</v>
      </c>
      <c r="M1882">
        <v>3.1137196310275499</v>
      </c>
      <c r="N1882">
        <v>3.1129274976764099</v>
      </c>
      <c r="Q1882">
        <f t="shared" si="145"/>
        <v>3.32</v>
      </c>
      <c r="R1882">
        <f t="shared" si="147"/>
        <v>3.2173677958746185</v>
      </c>
      <c r="S1882">
        <f t="shared" si="148"/>
        <v>0.10263220412538132</v>
      </c>
      <c r="T1882">
        <f t="shared" si="149"/>
        <v>1.0533369323633938E-2</v>
      </c>
    </row>
    <row r="1883" spans="1:20" hidden="1" x14ac:dyDescent="0.25">
      <c r="A1883" t="str">
        <f t="shared" si="146"/>
        <v>RIP</v>
      </c>
      <c r="B1883" t="s">
        <v>1889</v>
      </c>
      <c r="C1883">
        <v>0.99371968700000002</v>
      </c>
      <c r="D1883">
        <v>0.1037858</v>
      </c>
      <c r="E1883">
        <v>0.68381000800000002</v>
      </c>
      <c r="F1883">
        <v>0.43972917299999997</v>
      </c>
      <c r="G1883">
        <v>0.74221980099999996</v>
      </c>
      <c r="H1883">
        <v>3.13</v>
      </c>
      <c r="I1883">
        <v>3.5705859719414801</v>
      </c>
      <c r="J1883">
        <v>3.7346459438617399</v>
      </c>
      <c r="K1883">
        <v>3.6080484180331198</v>
      </c>
      <c r="L1883">
        <v>3.63174195870323</v>
      </c>
      <c r="M1883">
        <v>3.65261595790161</v>
      </c>
      <c r="N1883">
        <v>3.6516947322196698</v>
      </c>
      <c r="Q1883">
        <f t="shared" si="145"/>
        <v>3.13</v>
      </c>
      <c r="R1883">
        <f t="shared" si="147"/>
        <v>3.7633043572572795</v>
      </c>
      <c r="S1883">
        <f t="shared" si="148"/>
        <v>-0.63330435725727963</v>
      </c>
      <c r="T1883">
        <f t="shared" si="149"/>
        <v>0.40107440892105606</v>
      </c>
    </row>
    <row r="1884" spans="1:20" hidden="1" x14ac:dyDescent="0.25">
      <c r="A1884" t="str">
        <f t="shared" si="146"/>
        <v>RIP</v>
      </c>
      <c r="B1884" t="s">
        <v>1890</v>
      </c>
      <c r="C1884">
        <v>0.83871097299999997</v>
      </c>
      <c r="D1884">
        <v>0.100352787</v>
      </c>
      <c r="E1884">
        <v>0.68454884199999999</v>
      </c>
      <c r="F1884">
        <v>0.4098156</v>
      </c>
      <c r="G1884">
        <v>0.75181275199999997</v>
      </c>
      <c r="H1884">
        <v>3.82</v>
      </c>
      <c r="I1884">
        <v>3.5282371566380801</v>
      </c>
      <c r="J1884">
        <v>3.5797403410037099</v>
      </c>
      <c r="K1884">
        <v>3.6348380622185998</v>
      </c>
      <c r="L1884">
        <v>3.50448008112344</v>
      </c>
      <c r="M1884">
        <v>3.5539887488208999</v>
      </c>
      <c r="N1884">
        <v>3.5538954517888599</v>
      </c>
      <c r="Q1884">
        <f t="shared" si="145"/>
        <v>3.82</v>
      </c>
      <c r="R1884">
        <f t="shared" si="147"/>
        <v>3.6471019546306609</v>
      </c>
      <c r="S1884">
        <f t="shared" si="148"/>
        <v>0.17289804536933895</v>
      </c>
      <c r="T1884">
        <f t="shared" si="149"/>
        <v>2.9893734092537989E-2</v>
      </c>
    </row>
    <row r="1885" spans="1:20" hidden="1" x14ac:dyDescent="0.25">
      <c r="A1885" t="str">
        <f t="shared" si="146"/>
        <v>RIP</v>
      </c>
      <c r="B1885" t="s">
        <v>1891</v>
      </c>
      <c r="C1885">
        <v>1.1571816859999999</v>
      </c>
      <c r="D1885">
        <v>9.9127738000000007E-2</v>
      </c>
      <c r="E1885">
        <v>0.68792782600000002</v>
      </c>
      <c r="F1885">
        <v>0.425100904</v>
      </c>
      <c r="G1885">
        <v>0.75036325400000004</v>
      </c>
      <c r="H1885">
        <v>3.6</v>
      </c>
      <c r="I1885">
        <v>3.1083182384961199</v>
      </c>
      <c r="J1885">
        <v>3.2577563818113999</v>
      </c>
      <c r="K1885">
        <v>3.19864275249182</v>
      </c>
      <c r="L1885">
        <v>3.2214827756152</v>
      </c>
      <c r="M1885">
        <v>3.1830373101537601</v>
      </c>
      <c r="N1885">
        <v>3.1821602062375001</v>
      </c>
      <c r="Q1885">
        <f t="shared" si="145"/>
        <v>3.6</v>
      </c>
      <c r="R1885">
        <f t="shared" si="147"/>
        <v>3.2734483825985867</v>
      </c>
      <c r="S1885">
        <f t="shared" si="148"/>
        <v>0.32655161740141336</v>
      </c>
      <c r="T1885">
        <f t="shared" si="149"/>
        <v>0.10663595882747906</v>
      </c>
    </row>
    <row r="1886" spans="1:20" hidden="1" x14ac:dyDescent="0.25">
      <c r="A1886" t="str">
        <f t="shared" si="146"/>
        <v>RIP</v>
      </c>
      <c r="B1886" t="s">
        <v>1892</v>
      </c>
      <c r="C1886">
        <v>1.1869497790000001</v>
      </c>
      <c r="D1886">
        <v>0.10271402</v>
      </c>
      <c r="E1886">
        <v>0.67454459700000002</v>
      </c>
      <c r="F1886">
        <v>0.407574357</v>
      </c>
      <c r="G1886">
        <v>0.73635795400000004</v>
      </c>
      <c r="H1886">
        <v>3.5</v>
      </c>
      <c r="I1886">
        <v>3.09382951183344</v>
      </c>
      <c r="J1886">
        <v>3.34093637282177</v>
      </c>
      <c r="K1886">
        <v>3.0305146323008398</v>
      </c>
      <c r="L1886">
        <v>3.0103527343622201</v>
      </c>
      <c r="M1886">
        <v>3.2173829423276099</v>
      </c>
      <c r="N1886">
        <v>3.2150097274182201</v>
      </c>
      <c r="Q1886">
        <f t="shared" si="145"/>
        <v>3.5</v>
      </c>
      <c r="R1886">
        <f t="shared" si="147"/>
        <v>3.3162972708423761</v>
      </c>
      <c r="S1886">
        <f t="shared" si="148"/>
        <v>0.18370272915762387</v>
      </c>
      <c r="T1886">
        <f t="shared" si="149"/>
        <v>3.3746692699959308E-2</v>
      </c>
    </row>
    <row r="1887" spans="1:20" hidden="1" x14ac:dyDescent="0.25">
      <c r="A1887" t="str">
        <f t="shared" si="146"/>
        <v>RIP</v>
      </c>
      <c r="B1887" t="s">
        <v>1893</v>
      </c>
      <c r="C1887">
        <v>0.88363288600000001</v>
      </c>
      <c r="D1887">
        <v>9.8219235000000002E-2</v>
      </c>
      <c r="E1887">
        <v>0.67810334500000002</v>
      </c>
      <c r="F1887">
        <v>0.40967884900000001</v>
      </c>
      <c r="G1887">
        <v>0.73270559400000002</v>
      </c>
      <c r="H1887">
        <v>3.28</v>
      </c>
      <c r="I1887">
        <v>3.3834773167212799</v>
      </c>
      <c r="J1887">
        <v>3.4113544737869299</v>
      </c>
      <c r="K1887">
        <v>3.7586971100570499</v>
      </c>
      <c r="L1887">
        <v>3.7134401384625999</v>
      </c>
      <c r="M1887">
        <v>3.39741589525411</v>
      </c>
      <c r="N1887">
        <v>3.3973873022300198</v>
      </c>
      <c r="Q1887">
        <f t="shared" si="145"/>
        <v>3.28</v>
      </c>
      <c r="R1887">
        <f t="shared" si="147"/>
        <v>3.4801351056118657</v>
      </c>
      <c r="S1887">
        <f t="shared" si="148"/>
        <v>-0.20013510561186587</v>
      </c>
      <c r="T1887">
        <f t="shared" si="149"/>
        <v>4.0054060498272703E-2</v>
      </c>
    </row>
    <row r="1888" spans="1:20" hidden="1" x14ac:dyDescent="0.25">
      <c r="A1888" t="str">
        <f t="shared" si="146"/>
        <v>RIP</v>
      </c>
      <c r="B1888" t="s">
        <v>1894</v>
      </c>
      <c r="C1888">
        <v>1.1943862839999999</v>
      </c>
      <c r="D1888">
        <v>0.11170771</v>
      </c>
      <c r="E1888">
        <v>0.65243259200000003</v>
      </c>
      <c r="F1888">
        <v>0.450723398</v>
      </c>
      <c r="G1888">
        <v>0.72978553099999999</v>
      </c>
      <c r="H1888">
        <v>3.77</v>
      </c>
      <c r="I1888">
        <v>3.7633628152810901</v>
      </c>
      <c r="J1888">
        <v>4.1239634250898796</v>
      </c>
      <c r="K1888">
        <v>3.3764815481310002</v>
      </c>
      <c r="L1888">
        <v>3.5055245429823998</v>
      </c>
      <c r="M1888">
        <v>3.9436631201854899</v>
      </c>
      <c r="N1888">
        <v>3.9395393900254998</v>
      </c>
      <c r="Q1888">
        <f t="shared" si="145"/>
        <v>3.77</v>
      </c>
      <c r="R1888">
        <f t="shared" si="147"/>
        <v>4.016277970026553</v>
      </c>
      <c r="S1888">
        <f t="shared" si="148"/>
        <v>-0.24627797002655294</v>
      </c>
      <c r="T1888">
        <f t="shared" si="149"/>
        <v>6.065283852039971E-2</v>
      </c>
    </row>
    <row r="1889" spans="1:20" hidden="1" x14ac:dyDescent="0.25">
      <c r="A1889" t="str">
        <f t="shared" si="146"/>
        <v>RIP</v>
      </c>
      <c r="B1889" t="s">
        <v>1895</v>
      </c>
      <c r="C1889">
        <v>1.2787494109999999</v>
      </c>
      <c r="D1889">
        <v>0.111135232</v>
      </c>
      <c r="E1889">
        <v>0.64794143800000004</v>
      </c>
      <c r="F1889">
        <v>0.435613364</v>
      </c>
      <c r="G1889">
        <v>0.72684861999999995</v>
      </c>
      <c r="H1889">
        <v>3.8</v>
      </c>
      <c r="I1889">
        <v>3.5390818578926302</v>
      </c>
      <c r="J1889">
        <v>3.9224400965270898</v>
      </c>
      <c r="K1889">
        <v>3.0675145545938798</v>
      </c>
      <c r="L1889">
        <v>3.1561526392862298</v>
      </c>
      <c r="M1889">
        <v>3.7307609772098602</v>
      </c>
      <c r="N1889">
        <v>3.7258336764125199</v>
      </c>
      <c r="Q1889">
        <f t="shared" si="145"/>
        <v>3.8</v>
      </c>
      <c r="R1889">
        <f t="shared" si="147"/>
        <v>3.7973037319520477</v>
      </c>
      <c r="S1889">
        <f t="shared" si="148"/>
        <v>2.6962680479520884E-3</v>
      </c>
      <c r="T1889">
        <f t="shared" si="149"/>
        <v>7.2698613864073652E-6</v>
      </c>
    </row>
    <row r="1890" spans="1:20" hidden="1" x14ac:dyDescent="0.25">
      <c r="A1890" t="str">
        <f t="shared" si="146"/>
        <v>RIP</v>
      </c>
      <c r="B1890" t="s">
        <v>1896</v>
      </c>
      <c r="C1890">
        <v>1.041965917</v>
      </c>
      <c r="D1890">
        <v>0.111536564</v>
      </c>
      <c r="E1890">
        <v>0.65895575900000003</v>
      </c>
      <c r="F1890">
        <v>0.43082111299999998</v>
      </c>
      <c r="G1890">
        <v>0.73306299399999997</v>
      </c>
      <c r="H1890">
        <v>3.58</v>
      </c>
      <c r="I1890">
        <v>3.8459999783410899</v>
      </c>
      <c r="J1890">
        <v>4.1997801445695799</v>
      </c>
      <c r="K1890">
        <v>3.50526654760451</v>
      </c>
      <c r="L1890">
        <v>3.5273783590499499</v>
      </c>
      <c r="M1890">
        <v>4.02289006145533</v>
      </c>
      <c r="N1890">
        <v>4.0189991720640998</v>
      </c>
      <c r="Q1890">
        <f t="shared" si="145"/>
        <v>3.58</v>
      </c>
      <c r="R1890">
        <f t="shared" si="147"/>
        <v>4.1159816602997159</v>
      </c>
      <c r="S1890">
        <f t="shared" si="148"/>
        <v>-0.53598166029971583</v>
      </c>
      <c r="T1890">
        <f t="shared" si="149"/>
        <v>0.28727634017763998</v>
      </c>
    </row>
    <row r="1891" spans="1:20" hidden="1" x14ac:dyDescent="0.25">
      <c r="A1891" t="str">
        <f t="shared" si="146"/>
        <v>RIP</v>
      </c>
      <c r="B1891" t="s">
        <v>1897</v>
      </c>
      <c r="C1891">
        <v>1.259714971</v>
      </c>
      <c r="D1891">
        <v>0.112015792</v>
      </c>
      <c r="E1891">
        <v>0.65418913099999998</v>
      </c>
      <c r="F1891">
        <v>0.44610415599999997</v>
      </c>
      <c r="G1891">
        <v>0.73379378200000001</v>
      </c>
      <c r="H1891">
        <v>3.8</v>
      </c>
      <c r="I1891">
        <v>3.6795777812444901</v>
      </c>
      <c r="J1891">
        <v>4.0743881249459299</v>
      </c>
      <c r="K1891">
        <v>3.1233085299319598</v>
      </c>
      <c r="L1891">
        <v>3.2214224444506501</v>
      </c>
      <c r="M1891">
        <v>3.8769829530952098</v>
      </c>
      <c r="N1891">
        <v>3.8719540308115001</v>
      </c>
      <c r="Q1891">
        <f t="shared" si="145"/>
        <v>3.8</v>
      </c>
      <c r="R1891">
        <f t="shared" si="147"/>
        <v>3.9442818784379043</v>
      </c>
      <c r="S1891">
        <f t="shared" si="148"/>
        <v>-0.14428187843790452</v>
      </c>
      <c r="T1891">
        <f t="shared" si="149"/>
        <v>2.0817260445570258E-2</v>
      </c>
    </row>
    <row r="1892" spans="1:20" hidden="1" x14ac:dyDescent="0.25">
      <c r="A1892" t="str">
        <f t="shared" si="146"/>
        <v>RIP</v>
      </c>
      <c r="B1892" t="s">
        <v>1898</v>
      </c>
      <c r="C1892">
        <v>1.0168572849999999</v>
      </c>
      <c r="D1892">
        <v>0.109143711</v>
      </c>
      <c r="E1892">
        <v>0.66677855600000002</v>
      </c>
      <c r="F1892">
        <v>0.45396723999999999</v>
      </c>
      <c r="G1892">
        <v>0.75017832600000001</v>
      </c>
      <c r="H1892">
        <v>3.58</v>
      </c>
      <c r="I1892">
        <v>3.95047864797316</v>
      </c>
      <c r="J1892">
        <v>4.1159389637217298</v>
      </c>
      <c r="K1892">
        <v>3.7034073702475099</v>
      </c>
      <c r="L1892">
        <v>3.77654430787894</v>
      </c>
      <c r="M1892">
        <v>4.0332088058474396</v>
      </c>
      <c r="N1892">
        <v>4.0323602260392697</v>
      </c>
      <c r="Q1892">
        <f t="shared" si="145"/>
        <v>3.58</v>
      </c>
      <c r="R1892">
        <f t="shared" si="147"/>
        <v>4.090007149130888</v>
      </c>
      <c r="S1892">
        <f t="shared" si="148"/>
        <v>-0.51000714913088796</v>
      </c>
      <c r="T1892">
        <f t="shared" si="149"/>
        <v>0.26010729216461581</v>
      </c>
    </row>
    <row r="1893" spans="1:20" hidden="1" x14ac:dyDescent="0.25">
      <c r="A1893" t="str">
        <f t="shared" si="146"/>
        <v>RIP</v>
      </c>
      <c r="B1893" t="s">
        <v>1899</v>
      </c>
      <c r="C1893">
        <v>1.20831008</v>
      </c>
      <c r="D1893">
        <v>0.108430648</v>
      </c>
      <c r="E1893">
        <v>0.642482267</v>
      </c>
      <c r="F1893">
        <v>0.42975031899999999</v>
      </c>
      <c r="G1893">
        <v>0.71290709299999999</v>
      </c>
      <c r="H1893">
        <v>4.1399999999999997</v>
      </c>
      <c r="I1893">
        <v>3.43433078563642</v>
      </c>
      <c r="J1893">
        <v>3.7330500804047002</v>
      </c>
      <c r="K1893">
        <v>3.0179943521658799</v>
      </c>
      <c r="L1893">
        <v>3.01655887562706</v>
      </c>
      <c r="M1893">
        <v>3.5836904330205601</v>
      </c>
      <c r="N1893">
        <v>3.5805766037687801</v>
      </c>
      <c r="Q1893">
        <f t="shared" si="145"/>
        <v>4.1399999999999997</v>
      </c>
      <c r="R1893">
        <f t="shared" si="147"/>
        <v>3.6593615683504837</v>
      </c>
      <c r="S1893">
        <f t="shared" si="148"/>
        <v>0.48063843164951603</v>
      </c>
      <c r="T1893">
        <f t="shared" si="149"/>
        <v>0.2310133019785065</v>
      </c>
    </row>
    <row r="1894" spans="1:20" hidden="1" x14ac:dyDescent="0.25">
      <c r="A1894" t="str">
        <f t="shared" si="146"/>
        <v>RIP</v>
      </c>
      <c r="B1894" t="s">
        <v>1900</v>
      </c>
      <c r="C1894">
        <v>1.268330081</v>
      </c>
      <c r="D1894">
        <v>0.108025016</v>
      </c>
      <c r="E1894">
        <v>0.657576987</v>
      </c>
      <c r="F1894">
        <v>0.45488795999999998</v>
      </c>
      <c r="G1894">
        <v>0.73099258499999997</v>
      </c>
      <c r="H1894">
        <v>4.6100000000000003</v>
      </c>
      <c r="I1894">
        <v>3.4822806201692602</v>
      </c>
      <c r="J1894">
        <v>3.7621213398474</v>
      </c>
      <c r="K1894">
        <v>2.9446419856413901</v>
      </c>
      <c r="L1894">
        <v>2.9597579396667899</v>
      </c>
      <c r="M1894">
        <v>3.6222009800083299</v>
      </c>
      <c r="N1894">
        <v>3.61949751104705</v>
      </c>
      <c r="Q1894">
        <f t="shared" si="145"/>
        <v>4.6100000000000003</v>
      </c>
      <c r="R1894">
        <f t="shared" si="147"/>
        <v>3.697075173017554</v>
      </c>
      <c r="S1894">
        <f t="shared" si="148"/>
        <v>0.91292482698244637</v>
      </c>
      <c r="T1894">
        <f t="shared" si="149"/>
        <v>0.83343173972092965</v>
      </c>
    </row>
    <row r="1895" spans="1:20" hidden="1" x14ac:dyDescent="0.25">
      <c r="A1895" t="str">
        <f t="shared" si="146"/>
        <v>RIP</v>
      </c>
      <c r="B1895" t="s">
        <v>1901</v>
      </c>
      <c r="C1895">
        <v>1.3439303520000001</v>
      </c>
      <c r="D1895">
        <v>0.103897041</v>
      </c>
      <c r="E1895">
        <v>0.634527603</v>
      </c>
      <c r="F1895">
        <v>0.43342894700000001</v>
      </c>
      <c r="G1895">
        <v>0.702382583</v>
      </c>
      <c r="H1895">
        <v>4.1100000000000003</v>
      </c>
      <c r="I1895">
        <v>3.0799374730294198</v>
      </c>
      <c r="J1895">
        <v>3.2800395444485702</v>
      </c>
      <c r="K1895">
        <v>2.7900920268306502</v>
      </c>
      <c r="L1895">
        <v>2.8167337776852701</v>
      </c>
      <c r="M1895">
        <v>3.1799885087390001</v>
      </c>
      <c r="N1895">
        <v>3.1784141809974198</v>
      </c>
      <c r="Q1895">
        <f t="shared" si="145"/>
        <v>4.1100000000000003</v>
      </c>
      <c r="R1895">
        <f t="shared" si="147"/>
        <v>3.2261401634168028</v>
      </c>
      <c r="S1895">
        <f t="shared" si="148"/>
        <v>0.88385983658319756</v>
      </c>
      <c r="T1895">
        <f t="shared" si="149"/>
        <v>0.78120821072487667</v>
      </c>
    </row>
    <row r="1896" spans="1:20" hidden="1" x14ac:dyDescent="0.25">
      <c r="A1896" t="str">
        <f t="shared" si="146"/>
        <v>RIP</v>
      </c>
      <c r="B1896" t="s">
        <v>1902</v>
      </c>
      <c r="C1896">
        <v>1.083970042</v>
      </c>
      <c r="D1896">
        <v>0.10230112299999999</v>
      </c>
      <c r="E1896">
        <v>0.65376143399999997</v>
      </c>
      <c r="F1896">
        <v>0.45294599499999999</v>
      </c>
      <c r="G1896">
        <v>0.71950901499999997</v>
      </c>
      <c r="H1896">
        <v>3.98</v>
      </c>
      <c r="I1896">
        <v>3.4932479969361898</v>
      </c>
      <c r="J1896">
        <v>3.5493333524650401</v>
      </c>
      <c r="K1896">
        <v>3.4780237141318699</v>
      </c>
      <c r="L1896">
        <v>3.5271936595561799</v>
      </c>
      <c r="M1896">
        <v>3.5212906747006101</v>
      </c>
      <c r="N1896">
        <v>3.5211790104959602</v>
      </c>
      <c r="Q1896">
        <f t="shared" si="145"/>
        <v>3.98</v>
      </c>
      <c r="R1896">
        <f t="shared" si="147"/>
        <v>3.5763307406967333</v>
      </c>
      <c r="S1896">
        <f t="shared" si="148"/>
        <v>0.40366925930326669</v>
      </c>
      <c r="T1896">
        <f t="shared" si="149"/>
        <v>0.16294887090644797</v>
      </c>
    </row>
    <row r="1897" spans="1:20" hidden="1" x14ac:dyDescent="0.25">
      <c r="A1897" t="str">
        <f t="shared" si="146"/>
        <v>RIP</v>
      </c>
      <c r="B1897" t="s">
        <v>1903</v>
      </c>
      <c r="C1897">
        <v>1.2589116469999999</v>
      </c>
      <c r="D1897">
        <v>0.103020508</v>
      </c>
      <c r="E1897">
        <v>0.66075881599999997</v>
      </c>
      <c r="F1897">
        <v>0.454976622</v>
      </c>
      <c r="G1897">
        <v>0.72507873499999997</v>
      </c>
      <c r="H1897">
        <v>3.89</v>
      </c>
      <c r="I1897">
        <v>3.2702325178353799</v>
      </c>
      <c r="J1897">
        <v>3.43708610115358</v>
      </c>
      <c r="K1897">
        <v>3.0502034942868801</v>
      </c>
      <c r="L1897">
        <v>3.0906082603653799</v>
      </c>
      <c r="M1897">
        <v>3.3536593094944802</v>
      </c>
      <c r="N1897">
        <v>3.35262147201149</v>
      </c>
      <c r="Q1897">
        <f t="shared" si="145"/>
        <v>3.89</v>
      </c>
      <c r="R1897">
        <f t="shared" si="147"/>
        <v>3.4230589938297324</v>
      </c>
      <c r="S1897">
        <f t="shared" si="148"/>
        <v>0.46694100617026768</v>
      </c>
      <c r="T1897">
        <f t="shared" si="149"/>
        <v>0.21803390324330196</v>
      </c>
    </row>
    <row r="1898" spans="1:20" hidden="1" x14ac:dyDescent="0.25">
      <c r="A1898" t="str">
        <f t="shared" si="146"/>
        <v>RIP</v>
      </c>
      <c r="B1898" t="s">
        <v>1904</v>
      </c>
      <c r="C1898">
        <v>1.219153248</v>
      </c>
      <c r="D1898">
        <v>0.104229719</v>
      </c>
      <c r="E1898">
        <v>0.66933876000000003</v>
      </c>
      <c r="F1898">
        <v>0.451728674</v>
      </c>
      <c r="G1898">
        <v>0.75518602199999996</v>
      </c>
      <c r="H1898">
        <v>3.57</v>
      </c>
      <c r="I1898">
        <v>3.4389164006791</v>
      </c>
      <c r="J1898">
        <v>3.5555215167535801</v>
      </c>
      <c r="K1898">
        <v>3.0841815963666401</v>
      </c>
      <c r="L1898">
        <v>3.1112204784986699</v>
      </c>
      <c r="M1898">
        <v>3.4972189587163398</v>
      </c>
      <c r="N1898">
        <v>3.49673294046476</v>
      </c>
      <c r="Q1898">
        <f t="shared" si="145"/>
        <v>3.57</v>
      </c>
      <c r="R1898">
        <f t="shared" si="147"/>
        <v>3.5388006340813947</v>
      </c>
      <c r="S1898">
        <f t="shared" si="148"/>
        <v>3.1199365918605171E-2</v>
      </c>
      <c r="T1898">
        <f t="shared" si="149"/>
        <v>9.7340043372302182E-4</v>
      </c>
    </row>
    <row r="1899" spans="1:20" hidden="1" x14ac:dyDescent="0.25">
      <c r="A1899" t="str">
        <f t="shared" si="146"/>
        <v>RIP</v>
      </c>
      <c r="B1899" t="s">
        <v>1905</v>
      </c>
      <c r="C1899">
        <v>0.88094991</v>
      </c>
      <c r="D1899">
        <v>9.9837281999999999E-2</v>
      </c>
      <c r="E1899">
        <v>0.66760736200000004</v>
      </c>
      <c r="F1899">
        <v>0.38978769499999999</v>
      </c>
      <c r="G1899">
        <v>0.75366414500000001</v>
      </c>
      <c r="H1899">
        <v>4.07</v>
      </c>
      <c r="I1899">
        <v>3.40910855723383</v>
      </c>
      <c r="J1899">
        <v>3.40687997698448</v>
      </c>
      <c r="K1899">
        <v>3.28275826172767</v>
      </c>
      <c r="L1899">
        <v>3.1329830857877501</v>
      </c>
      <c r="M1899">
        <v>3.4079942671091499</v>
      </c>
      <c r="N1899">
        <v>3.4079940849429899</v>
      </c>
      <c r="Q1899">
        <f t="shared" si="145"/>
        <v>4.07</v>
      </c>
      <c r="R1899">
        <f t="shared" si="147"/>
        <v>3.4549366573674618</v>
      </c>
      <c r="S1899">
        <f t="shared" si="148"/>
        <v>0.61506334263253848</v>
      </c>
      <c r="T1899">
        <f t="shared" si="149"/>
        <v>0.37830291545031142</v>
      </c>
    </row>
    <row r="1900" spans="1:20" hidden="1" x14ac:dyDescent="0.25">
      <c r="A1900" t="str">
        <f t="shared" si="146"/>
        <v>RIP</v>
      </c>
      <c r="B1900" t="s">
        <v>1906</v>
      </c>
      <c r="C1900">
        <v>1.3502278270000001</v>
      </c>
      <c r="D1900">
        <v>0.10844229900000001</v>
      </c>
      <c r="E1900">
        <v>0.66116735900000001</v>
      </c>
      <c r="F1900">
        <v>0.46914905400000001</v>
      </c>
      <c r="G1900">
        <v>0.75106414300000002</v>
      </c>
      <c r="H1900">
        <v>4.45</v>
      </c>
      <c r="I1900">
        <v>3.5782361666990399</v>
      </c>
      <c r="J1900">
        <v>3.7716755985110799</v>
      </c>
      <c r="K1900">
        <v>2.7768332931827699</v>
      </c>
      <c r="L1900">
        <v>2.7733409409755998</v>
      </c>
      <c r="M1900">
        <v>3.6749558826050599</v>
      </c>
      <c r="N1900">
        <v>3.6736828980804201</v>
      </c>
      <c r="Q1900">
        <f t="shared" si="145"/>
        <v>4.45</v>
      </c>
      <c r="R1900">
        <f t="shared" si="147"/>
        <v>3.6928211304336589</v>
      </c>
      <c r="S1900">
        <f t="shared" si="148"/>
        <v>0.75717886956634128</v>
      </c>
      <c r="T1900">
        <f t="shared" si="149"/>
        <v>0.57331984051776241</v>
      </c>
    </row>
    <row r="1901" spans="1:20" hidden="1" x14ac:dyDescent="0.25">
      <c r="A1901" t="str">
        <f t="shared" si="146"/>
        <v>RIP</v>
      </c>
      <c r="B1901" t="s">
        <v>1907</v>
      </c>
      <c r="C1901">
        <v>0.97554272399999997</v>
      </c>
      <c r="D1901">
        <v>0.10755084400000001</v>
      </c>
      <c r="E1901">
        <v>0.66885461999999996</v>
      </c>
      <c r="F1901">
        <v>0.38026616299999999</v>
      </c>
      <c r="G1901">
        <v>0.75775554199999995</v>
      </c>
      <c r="H1901">
        <v>3.6</v>
      </c>
      <c r="I1901">
        <v>3.6095304641991999</v>
      </c>
      <c r="J1901">
        <v>3.7658335041276598</v>
      </c>
      <c r="K1901">
        <v>3.1671396322519101</v>
      </c>
      <c r="L1901">
        <v>3.03876599400638</v>
      </c>
      <c r="M1901">
        <v>3.6876819841634298</v>
      </c>
      <c r="N1901">
        <v>3.6868537747313499</v>
      </c>
      <c r="Q1901">
        <f t="shared" si="145"/>
        <v>3.6</v>
      </c>
      <c r="R1901">
        <f t="shared" si="147"/>
        <v>3.7240034176121046</v>
      </c>
      <c r="S1901">
        <f t="shared" si="148"/>
        <v>-0.12400341761210454</v>
      </c>
      <c r="T1901">
        <f t="shared" si="149"/>
        <v>1.5376847579481998E-2</v>
      </c>
    </row>
    <row r="1902" spans="1:20" hidden="1" x14ac:dyDescent="0.25">
      <c r="A1902" t="str">
        <f t="shared" si="146"/>
        <v>RIP</v>
      </c>
      <c r="B1902" t="s">
        <v>1908</v>
      </c>
      <c r="C1902">
        <v>1.133116059</v>
      </c>
      <c r="D1902">
        <v>0.104535577</v>
      </c>
      <c r="E1902">
        <v>0.66721334899999996</v>
      </c>
      <c r="F1902">
        <v>0.43627887999999998</v>
      </c>
      <c r="G1902">
        <v>0.753737773</v>
      </c>
      <c r="H1902">
        <v>3.28</v>
      </c>
      <c r="I1902">
        <v>3.49709031118747</v>
      </c>
      <c r="J1902">
        <v>3.6007005985145502</v>
      </c>
      <c r="K1902">
        <v>3.3040034461225498</v>
      </c>
      <c r="L1902">
        <v>3.3423317142109399</v>
      </c>
      <c r="M1902">
        <v>3.5488954548510101</v>
      </c>
      <c r="N1902">
        <v>3.54851732087532</v>
      </c>
      <c r="Q1902">
        <f t="shared" si="145"/>
        <v>3.28</v>
      </c>
      <c r="R1902">
        <f t="shared" si="147"/>
        <v>3.5901314143562741</v>
      </c>
      <c r="S1902">
        <f t="shared" si="148"/>
        <v>-0.31013141435627434</v>
      </c>
      <c r="T1902">
        <f t="shared" si="149"/>
        <v>9.6181494170623119E-2</v>
      </c>
    </row>
    <row r="1903" spans="1:20" hidden="1" x14ac:dyDescent="0.25">
      <c r="A1903" t="str">
        <f t="shared" si="146"/>
        <v>RIP</v>
      </c>
      <c r="B1903" t="s">
        <v>1909</v>
      </c>
      <c r="C1903">
        <v>1.1315667970000001</v>
      </c>
      <c r="D1903">
        <v>9.4599834999999993E-2</v>
      </c>
      <c r="E1903">
        <v>0.67990968200000002</v>
      </c>
      <c r="F1903">
        <v>0.476292035</v>
      </c>
      <c r="G1903">
        <v>0.74536935199999999</v>
      </c>
      <c r="H1903">
        <v>3.39</v>
      </c>
      <c r="I1903">
        <v>3.2709538242452298</v>
      </c>
      <c r="J1903">
        <v>3.2397316685331101</v>
      </c>
      <c r="K1903">
        <v>3.59050055086146</v>
      </c>
      <c r="L1903">
        <v>3.7503728521606901</v>
      </c>
      <c r="M1903">
        <v>3.2553427463891702</v>
      </c>
      <c r="N1903">
        <v>3.2553053145161002</v>
      </c>
      <c r="Q1903">
        <f t="shared" si="145"/>
        <v>3.39</v>
      </c>
      <c r="R1903">
        <f t="shared" si="147"/>
        <v>3.3115890984809564</v>
      </c>
      <c r="S1903">
        <f t="shared" si="148"/>
        <v>7.841090151904373E-2</v>
      </c>
      <c r="T1903">
        <f t="shared" si="149"/>
        <v>6.1482694770291745E-3</v>
      </c>
    </row>
    <row r="1904" spans="1:20" hidden="1" x14ac:dyDescent="0.25">
      <c r="A1904" t="str">
        <f t="shared" si="146"/>
        <v>RIP</v>
      </c>
      <c r="B1904" t="s">
        <v>1910</v>
      </c>
      <c r="C1904">
        <v>1.156823105</v>
      </c>
      <c r="D1904">
        <v>9.7272629999999999E-2</v>
      </c>
      <c r="E1904">
        <v>0.68463854700000004</v>
      </c>
      <c r="F1904">
        <v>0.47780898599999999</v>
      </c>
      <c r="G1904">
        <v>0.75722310699999995</v>
      </c>
      <c r="H1904">
        <v>3.69</v>
      </c>
      <c r="I1904">
        <v>3.3290015281362</v>
      </c>
      <c r="J1904">
        <v>3.3524682831289399</v>
      </c>
      <c r="K1904">
        <v>3.3127681263780402</v>
      </c>
      <c r="L1904">
        <v>3.3587632128390101</v>
      </c>
      <c r="M1904">
        <v>3.3407349056325701</v>
      </c>
      <c r="N1904">
        <v>3.3407143004998798</v>
      </c>
      <c r="Q1904">
        <f t="shared" si="145"/>
        <v>3.69</v>
      </c>
      <c r="R1904">
        <f t="shared" si="147"/>
        <v>3.4094393459825652</v>
      </c>
      <c r="S1904">
        <f t="shared" si="148"/>
        <v>0.2805606540174348</v>
      </c>
      <c r="T1904">
        <f t="shared" si="149"/>
        <v>7.8714280582690754E-2</v>
      </c>
    </row>
    <row r="1905" spans="1:20" hidden="1" x14ac:dyDescent="0.25">
      <c r="A1905" t="str">
        <f t="shared" si="146"/>
        <v>RIP</v>
      </c>
      <c r="B1905" t="s">
        <v>1911</v>
      </c>
      <c r="C1905">
        <v>1.376273493</v>
      </c>
      <c r="D1905">
        <v>9.6551149000000003E-2</v>
      </c>
      <c r="E1905">
        <v>0.67407460500000005</v>
      </c>
      <c r="F1905">
        <v>0.48195772799999997</v>
      </c>
      <c r="G1905">
        <v>0.73669854700000004</v>
      </c>
      <c r="H1905">
        <v>4.16</v>
      </c>
      <c r="I1905">
        <v>3.0245524595992501</v>
      </c>
      <c r="J1905">
        <v>3.0958936107718098</v>
      </c>
      <c r="K1905">
        <v>3.0737744531836899</v>
      </c>
      <c r="L1905">
        <v>3.22024963171308</v>
      </c>
      <c r="M1905">
        <v>3.0602230351855302</v>
      </c>
      <c r="N1905">
        <v>3.0600151364196702</v>
      </c>
      <c r="Q1905">
        <f t="shared" si="145"/>
        <v>4.16</v>
      </c>
      <c r="R1905">
        <f t="shared" si="147"/>
        <v>3.1110439748115617</v>
      </c>
      <c r="S1905">
        <f t="shared" si="148"/>
        <v>1.0489560251884384</v>
      </c>
      <c r="T1905">
        <f t="shared" si="149"/>
        <v>1.1003087427791278</v>
      </c>
    </row>
    <row r="1906" spans="1:20" hidden="1" x14ac:dyDescent="0.25">
      <c r="A1906" t="str">
        <f t="shared" si="146"/>
        <v>RIP</v>
      </c>
      <c r="B1906" t="s">
        <v>1912</v>
      </c>
      <c r="C1906">
        <v>1.40183188</v>
      </c>
      <c r="D1906">
        <v>0.10051149099999999</v>
      </c>
      <c r="E1906">
        <v>0.67557871000000003</v>
      </c>
      <c r="F1906">
        <v>0.46429292700000002</v>
      </c>
      <c r="G1906">
        <v>0.74428509799999998</v>
      </c>
      <c r="H1906">
        <v>3.91</v>
      </c>
      <c r="I1906">
        <v>3.0308164250646499</v>
      </c>
      <c r="J1906">
        <v>3.2098519072428702</v>
      </c>
      <c r="K1906">
        <v>2.98307777157535</v>
      </c>
      <c r="L1906">
        <v>3.1775341309760998</v>
      </c>
      <c r="M1906">
        <v>3.1203341661537598</v>
      </c>
      <c r="N1906">
        <v>3.1190498364881498</v>
      </c>
      <c r="Q1906">
        <f t="shared" si="145"/>
        <v>3.91</v>
      </c>
      <c r="R1906">
        <f t="shared" si="147"/>
        <v>3.1887893800398635</v>
      </c>
      <c r="S1906">
        <f t="shared" si="148"/>
        <v>0.72121061996013669</v>
      </c>
      <c r="T1906">
        <f t="shared" si="149"/>
        <v>0.52014475834328466</v>
      </c>
    </row>
    <row r="1907" spans="1:20" hidden="1" x14ac:dyDescent="0.25">
      <c r="A1907" t="str">
        <f t="shared" si="146"/>
        <v>RIP</v>
      </c>
      <c r="B1907" t="s">
        <v>1913</v>
      </c>
      <c r="C1907">
        <v>1.355251312</v>
      </c>
      <c r="D1907">
        <v>9.6354869999999995E-2</v>
      </c>
      <c r="E1907">
        <v>0.67540666299999996</v>
      </c>
      <c r="F1907">
        <v>0.44235955700000001</v>
      </c>
      <c r="G1907">
        <v>0.74085540400000005</v>
      </c>
      <c r="H1907">
        <v>3.35</v>
      </c>
      <c r="I1907">
        <v>2.8433627838026698</v>
      </c>
      <c r="J1907">
        <v>2.9644228520552902</v>
      </c>
      <c r="K1907">
        <v>2.9300453986071302</v>
      </c>
      <c r="L1907">
        <v>3.06483173587434</v>
      </c>
      <c r="M1907">
        <v>2.90389281792898</v>
      </c>
      <c r="N1907">
        <v>2.9032618919050699</v>
      </c>
      <c r="Q1907">
        <f t="shared" si="145"/>
        <v>3.35</v>
      </c>
      <c r="R1907">
        <f t="shared" si="147"/>
        <v>2.9606587378285418</v>
      </c>
      <c r="S1907">
        <f t="shared" si="148"/>
        <v>0.38934126217145826</v>
      </c>
      <c r="T1907">
        <f t="shared" si="149"/>
        <v>0.15158661842926419</v>
      </c>
    </row>
    <row r="1908" spans="1:20" hidden="1" x14ac:dyDescent="0.25">
      <c r="A1908" t="str">
        <f t="shared" si="146"/>
        <v>RIP</v>
      </c>
      <c r="B1908" t="s">
        <v>1914</v>
      </c>
      <c r="C1908">
        <v>0.99757674399999996</v>
      </c>
      <c r="D1908">
        <v>0.100071934</v>
      </c>
      <c r="E1908">
        <v>0.67007636900000001</v>
      </c>
      <c r="F1908">
        <v>0.42464535399999997</v>
      </c>
      <c r="G1908">
        <v>0.73777880600000001</v>
      </c>
      <c r="H1908">
        <v>4.42</v>
      </c>
      <c r="I1908">
        <v>3.37681501048043</v>
      </c>
      <c r="J1908">
        <v>3.4350964056771001</v>
      </c>
      <c r="K1908">
        <v>3.3509482249435898</v>
      </c>
      <c r="L1908">
        <v>3.2618364386875398</v>
      </c>
      <c r="M1908">
        <v>3.4059557080787699</v>
      </c>
      <c r="N1908">
        <v>3.4058310447140201</v>
      </c>
      <c r="Q1908">
        <f t="shared" si="145"/>
        <v>4.42</v>
      </c>
      <c r="R1908">
        <f t="shared" si="147"/>
        <v>3.478409569424262</v>
      </c>
      <c r="S1908">
        <f t="shared" si="148"/>
        <v>0.94159043057573788</v>
      </c>
      <c r="T1908">
        <f t="shared" si="149"/>
        <v>0.88659253895180345</v>
      </c>
    </row>
    <row r="1909" spans="1:20" hidden="1" x14ac:dyDescent="0.25">
      <c r="A1909" t="str">
        <f t="shared" si="146"/>
        <v>RIP</v>
      </c>
      <c r="B1909" t="s">
        <v>1915</v>
      </c>
      <c r="C1909">
        <v>1.039344472</v>
      </c>
      <c r="D1909">
        <v>9.9658411000000002E-2</v>
      </c>
      <c r="E1909">
        <v>0.663016367</v>
      </c>
      <c r="F1909">
        <v>0.39475163600000002</v>
      </c>
      <c r="G1909">
        <v>0.74013662999999996</v>
      </c>
      <c r="H1909">
        <v>3.52</v>
      </c>
      <c r="I1909">
        <v>3.1733821057129901</v>
      </c>
      <c r="J1909">
        <v>3.2493256365696399</v>
      </c>
      <c r="K1909">
        <v>3.0353745015042102</v>
      </c>
      <c r="L1909">
        <v>2.8580826363985801</v>
      </c>
      <c r="M1909">
        <v>3.2113538711413199</v>
      </c>
      <c r="N1909">
        <v>3.2111293699763301</v>
      </c>
      <c r="Q1909">
        <f t="shared" si="145"/>
        <v>3.52</v>
      </c>
      <c r="R1909">
        <f t="shared" si="147"/>
        <v>3.2673052810940053</v>
      </c>
      <c r="S1909">
        <f t="shared" si="148"/>
        <v>0.25269471890599471</v>
      </c>
      <c r="T1909">
        <f t="shared" si="149"/>
        <v>6.3854620962979683E-2</v>
      </c>
    </row>
    <row r="1910" spans="1:20" hidden="1" x14ac:dyDescent="0.25">
      <c r="A1910" t="str">
        <f t="shared" si="146"/>
        <v>RIP</v>
      </c>
      <c r="B1910" t="s">
        <v>1916</v>
      </c>
      <c r="C1910">
        <v>0.91741478499999995</v>
      </c>
      <c r="D1910">
        <v>0.10027844499999999</v>
      </c>
      <c r="E1910">
        <v>0.65282273499999999</v>
      </c>
      <c r="F1910">
        <v>0.42540044399999999</v>
      </c>
      <c r="G1910">
        <v>0.724886209</v>
      </c>
      <c r="H1910">
        <v>3.3</v>
      </c>
      <c r="I1910">
        <v>3.5155819713090799</v>
      </c>
      <c r="J1910">
        <v>3.4993613150865799</v>
      </c>
      <c r="K1910">
        <v>3.5778929498949998</v>
      </c>
      <c r="L1910">
        <v>3.5018731630150999</v>
      </c>
      <c r="M1910">
        <v>3.5074716431978299</v>
      </c>
      <c r="N1910">
        <v>3.5074622664278001</v>
      </c>
      <c r="Q1910">
        <f t="shared" si="145"/>
        <v>3.3</v>
      </c>
      <c r="R1910">
        <f t="shared" si="147"/>
        <v>3.5580936293414731</v>
      </c>
      <c r="S1910">
        <f t="shared" si="148"/>
        <v>-0.25809362934147329</v>
      </c>
      <c r="T1910">
        <f t="shared" si="149"/>
        <v>6.6612321506653804E-2</v>
      </c>
    </row>
    <row r="1911" spans="1:20" hidden="1" x14ac:dyDescent="0.25">
      <c r="A1911" t="str">
        <f t="shared" si="146"/>
        <v>RIP</v>
      </c>
      <c r="B1911" t="s">
        <v>1917</v>
      </c>
      <c r="C1911">
        <v>1.0055500100000001</v>
      </c>
      <c r="D1911">
        <v>9.9973470999999994E-2</v>
      </c>
      <c r="E1911">
        <v>0.63679786100000002</v>
      </c>
      <c r="F1911">
        <v>0.39059436600000003</v>
      </c>
      <c r="G1911">
        <v>0.70140272800000003</v>
      </c>
      <c r="H1911">
        <v>4.17</v>
      </c>
      <c r="I1911">
        <v>3.1807614581077299</v>
      </c>
      <c r="J1911">
        <v>3.2394135297459501</v>
      </c>
      <c r="K1911">
        <v>3.1990653070676198</v>
      </c>
      <c r="L1911">
        <v>3.0264009882907201</v>
      </c>
      <c r="M1911">
        <v>3.21008749392684</v>
      </c>
      <c r="N1911">
        <v>3.2099535358457501</v>
      </c>
      <c r="Q1911">
        <f t="shared" si="145"/>
        <v>4.17</v>
      </c>
      <c r="R1911">
        <f t="shared" si="147"/>
        <v>3.2588040209560099</v>
      </c>
      <c r="S1911">
        <f t="shared" si="148"/>
        <v>0.91119597904399008</v>
      </c>
      <c r="T1911">
        <f t="shared" si="149"/>
        <v>0.83027811222593562</v>
      </c>
    </row>
    <row r="1912" spans="1:20" hidden="1" x14ac:dyDescent="0.25">
      <c r="A1912" t="str">
        <f t="shared" si="146"/>
        <v>RIP</v>
      </c>
      <c r="B1912" t="s">
        <v>1918</v>
      </c>
      <c r="C1912">
        <v>0.95237945000000002</v>
      </c>
      <c r="D1912">
        <v>9.2005130000000004E-2</v>
      </c>
      <c r="E1912">
        <v>0.64580275499999995</v>
      </c>
      <c r="F1912">
        <v>0.42459780800000002</v>
      </c>
      <c r="G1912">
        <v>0.70777464599999995</v>
      </c>
      <c r="H1912">
        <v>3.87</v>
      </c>
      <c r="I1912">
        <v>3.21269508235285</v>
      </c>
      <c r="J1912">
        <v>3.06389306313794</v>
      </c>
      <c r="K1912">
        <v>3.5018348671394302</v>
      </c>
      <c r="L1912">
        <v>3.4184225431913302</v>
      </c>
      <c r="M1912">
        <v>3.1382940727453899</v>
      </c>
      <c r="N1912">
        <v>3.1374120189733201</v>
      </c>
      <c r="Q1912">
        <f t="shared" si="145"/>
        <v>3.87</v>
      </c>
      <c r="R1912">
        <f t="shared" si="147"/>
        <v>3.1487910309841496</v>
      </c>
      <c r="S1912">
        <f t="shared" si="148"/>
        <v>0.72120896901585052</v>
      </c>
      <c r="T1912">
        <f t="shared" si="149"/>
        <v>0.52014237698890609</v>
      </c>
    </row>
    <row r="1913" spans="1:20" hidden="1" x14ac:dyDescent="0.25">
      <c r="A1913" t="str">
        <f t="shared" si="146"/>
        <v>RIP</v>
      </c>
      <c r="B1913" t="s">
        <v>1919</v>
      </c>
      <c r="C1913">
        <v>1.0402233700000001</v>
      </c>
      <c r="D1913">
        <v>9.8805473000000005E-2</v>
      </c>
      <c r="E1913">
        <v>0.67728619300000004</v>
      </c>
      <c r="F1913">
        <v>0.40688412600000001</v>
      </c>
      <c r="G1913">
        <v>0.74938143599999996</v>
      </c>
      <c r="H1913">
        <v>4.18</v>
      </c>
      <c r="I1913">
        <v>3.1918207856205201</v>
      </c>
      <c r="J1913">
        <v>3.2729479943231099</v>
      </c>
      <c r="K1913">
        <v>3.2820782838059399</v>
      </c>
      <c r="L1913">
        <v>3.2170849506451602</v>
      </c>
      <c r="M1913">
        <v>3.2323843899718101</v>
      </c>
      <c r="N1913">
        <v>3.2321298610259301</v>
      </c>
      <c r="Q1913">
        <f t="shared" si="145"/>
        <v>4.18</v>
      </c>
      <c r="R1913">
        <f t="shared" si="147"/>
        <v>3.303550536396302</v>
      </c>
      <c r="S1913">
        <f t="shared" si="148"/>
        <v>0.87644946360369769</v>
      </c>
      <c r="T1913">
        <f t="shared" si="149"/>
        <v>0.76816366225120936</v>
      </c>
    </row>
    <row r="1914" spans="1:20" hidden="1" x14ac:dyDescent="0.25">
      <c r="A1914" t="str">
        <f t="shared" si="146"/>
        <v>RIP</v>
      </c>
      <c r="B1914" t="s">
        <v>1920</v>
      </c>
      <c r="C1914">
        <v>1.0375082470000001</v>
      </c>
      <c r="D1914">
        <v>9.8433451000000005E-2</v>
      </c>
      <c r="E1914">
        <v>0.65942740899999996</v>
      </c>
      <c r="F1914">
        <v>0.38324352900000003</v>
      </c>
      <c r="G1914">
        <v>0.72810957499999995</v>
      </c>
      <c r="H1914">
        <v>4.08</v>
      </c>
      <c r="I1914">
        <v>3.0501641571854301</v>
      </c>
      <c r="J1914">
        <v>3.1395257299835402</v>
      </c>
      <c r="K1914">
        <v>3.0520563468946902</v>
      </c>
      <c r="L1914">
        <v>2.8699460961508301</v>
      </c>
      <c r="M1914">
        <v>3.0948449435844898</v>
      </c>
      <c r="N1914">
        <v>3.0945223948385299</v>
      </c>
      <c r="Q1914">
        <f t="shared" si="145"/>
        <v>4.08</v>
      </c>
      <c r="R1914">
        <f t="shared" si="147"/>
        <v>3.1570854052366646</v>
      </c>
      <c r="S1914">
        <f t="shared" si="148"/>
        <v>0.92291459476333548</v>
      </c>
      <c r="T1914">
        <f t="shared" si="149"/>
        <v>0.85177134922717179</v>
      </c>
    </row>
    <row r="1915" spans="1:20" hidden="1" x14ac:dyDescent="0.25">
      <c r="A1915" t="str">
        <f t="shared" si="146"/>
        <v>RIP</v>
      </c>
      <c r="B1915" t="s">
        <v>1921</v>
      </c>
      <c r="C1915">
        <v>1.098425102</v>
      </c>
      <c r="D1915">
        <v>9.8427138999999997E-2</v>
      </c>
      <c r="E1915">
        <v>0.67140151599999998</v>
      </c>
      <c r="F1915">
        <v>0.44771559500000002</v>
      </c>
      <c r="G1915">
        <v>0.74085068899999995</v>
      </c>
      <c r="H1915">
        <v>3.97</v>
      </c>
      <c r="I1915">
        <v>3.3021464777086398</v>
      </c>
      <c r="J1915">
        <v>3.3353927993177899</v>
      </c>
      <c r="K1915">
        <v>3.4378616005282199</v>
      </c>
      <c r="L1915">
        <v>3.49533436478153</v>
      </c>
      <c r="M1915">
        <v>3.3187696385132099</v>
      </c>
      <c r="N1915">
        <v>3.3187280069391001</v>
      </c>
      <c r="Q1915">
        <f t="shared" si="145"/>
        <v>3.97</v>
      </c>
      <c r="R1915">
        <f t="shared" si="147"/>
        <v>3.3801939604494038</v>
      </c>
      <c r="S1915">
        <f t="shared" si="148"/>
        <v>0.58980603955059641</v>
      </c>
      <c r="T1915">
        <f t="shared" si="149"/>
        <v>0.34787116429035969</v>
      </c>
    </row>
    <row r="1916" spans="1:20" hidden="1" x14ac:dyDescent="0.25">
      <c r="A1916" t="str">
        <f t="shared" si="146"/>
        <v>RIP</v>
      </c>
      <c r="B1916" t="s">
        <v>1922</v>
      </c>
      <c r="C1916">
        <v>0.92967698099999996</v>
      </c>
      <c r="D1916">
        <v>0.10078179499999999</v>
      </c>
      <c r="E1916">
        <v>0.66222863799999998</v>
      </c>
      <c r="F1916">
        <v>0.37362431299999999</v>
      </c>
      <c r="G1916">
        <v>0.73719179899999998</v>
      </c>
      <c r="H1916">
        <v>3.2</v>
      </c>
      <c r="I1916">
        <v>3.2486430934621802</v>
      </c>
      <c r="J1916">
        <v>3.3407241124786</v>
      </c>
      <c r="K1916">
        <v>3.2837743170460998</v>
      </c>
      <c r="L1916">
        <v>3.09981337181428</v>
      </c>
      <c r="M1916">
        <v>3.2946836029703901</v>
      </c>
      <c r="N1916">
        <v>3.2943618980261098</v>
      </c>
      <c r="Q1916">
        <f t="shared" si="145"/>
        <v>3.2</v>
      </c>
      <c r="R1916">
        <f t="shared" si="147"/>
        <v>3.3625645963644177</v>
      </c>
      <c r="S1916">
        <f t="shared" si="148"/>
        <v>-0.16256459636441756</v>
      </c>
      <c r="T1916">
        <f t="shared" si="149"/>
        <v>2.6427247991126002E-2</v>
      </c>
    </row>
    <row r="1917" spans="1:20" hidden="1" x14ac:dyDescent="0.25">
      <c r="A1917" t="str">
        <f t="shared" si="146"/>
        <v>RIP</v>
      </c>
      <c r="B1917" t="s">
        <v>1923</v>
      </c>
      <c r="C1917">
        <v>0.94402296799999996</v>
      </c>
      <c r="D1917">
        <v>0.10172007499999999</v>
      </c>
      <c r="E1917">
        <v>0.65677896300000005</v>
      </c>
      <c r="F1917">
        <v>0.400664835</v>
      </c>
      <c r="G1917">
        <v>0.72950329400000002</v>
      </c>
      <c r="H1917">
        <v>3.7</v>
      </c>
      <c r="I1917">
        <v>3.3967008321761498</v>
      </c>
      <c r="J1917">
        <v>3.46892358043644</v>
      </c>
      <c r="K1917">
        <v>3.4316316775409899</v>
      </c>
      <c r="L1917">
        <v>3.3012045021461698</v>
      </c>
      <c r="M1917">
        <v>3.43281220630629</v>
      </c>
      <c r="N1917">
        <v>3.4326222647451199</v>
      </c>
      <c r="Q1917">
        <f t="shared" si="145"/>
        <v>3.7</v>
      </c>
      <c r="R1917">
        <f t="shared" si="147"/>
        <v>3.4979426190176519</v>
      </c>
      <c r="S1917">
        <f t="shared" si="148"/>
        <v>0.20205738098234827</v>
      </c>
      <c r="T1917">
        <f t="shared" si="149"/>
        <v>4.0827185209445838E-2</v>
      </c>
    </row>
    <row r="1918" spans="1:20" hidden="1" x14ac:dyDescent="0.25">
      <c r="A1918" t="str">
        <f t="shared" si="146"/>
        <v>RIP</v>
      </c>
      <c r="B1918" t="s">
        <v>1924</v>
      </c>
      <c r="C1918">
        <v>0.83227924399999997</v>
      </c>
      <c r="D1918">
        <v>9.8952195000000007E-2</v>
      </c>
      <c r="E1918">
        <v>0.67320411899999999</v>
      </c>
      <c r="F1918">
        <v>0.39937587099999999</v>
      </c>
      <c r="G1918">
        <v>0.74719142100000002</v>
      </c>
      <c r="H1918">
        <v>3.83</v>
      </c>
      <c r="I1918">
        <v>3.4501798253821501</v>
      </c>
      <c r="J1918">
        <v>3.4539199222161798</v>
      </c>
      <c r="K1918">
        <v>3.4606538004653098</v>
      </c>
      <c r="L1918">
        <v>3.2347085722809501</v>
      </c>
      <c r="M1918">
        <v>3.4520498737991701</v>
      </c>
      <c r="N1918">
        <v>3.4520493672767398</v>
      </c>
      <c r="Q1918">
        <f t="shared" si="145"/>
        <v>3.83</v>
      </c>
      <c r="R1918">
        <f t="shared" si="147"/>
        <v>3.5233866313835565</v>
      </c>
      <c r="S1918">
        <f t="shared" si="148"/>
        <v>0.30661336861644362</v>
      </c>
      <c r="T1918">
        <f t="shared" si="149"/>
        <v>9.4011757814323124E-2</v>
      </c>
    </row>
    <row r="1919" spans="1:20" hidden="1" x14ac:dyDescent="0.25">
      <c r="A1919" t="str">
        <f t="shared" si="146"/>
        <v>RIP</v>
      </c>
      <c r="B1919" t="s">
        <v>1925</v>
      </c>
      <c r="C1919">
        <v>1.1899695990000001</v>
      </c>
      <c r="D1919">
        <v>9.7703921999999999E-2</v>
      </c>
      <c r="E1919">
        <v>0.67508471000000003</v>
      </c>
      <c r="F1919">
        <v>0.44469331899999998</v>
      </c>
      <c r="G1919">
        <v>0.74808253700000005</v>
      </c>
      <c r="H1919">
        <v>3.12</v>
      </c>
      <c r="I1919">
        <v>3.1404132038959802</v>
      </c>
      <c r="J1919">
        <v>3.2028152891575501</v>
      </c>
      <c r="K1919">
        <v>3.0826822592205998</v>
      </c>
      <c r="L1919">
        <v>3.0865452045323298</v>
      </c>
      <c r="M1919">
        <v>3.1716142465267598</v>
      </c>
      <c r="N1919">
        <v>3.17146077127091</v>
      </c>
      <c r="Q1919">
        <f t="shared" si="145"/>
        <v>3.12</v>
      </c>
      <c r="R1919">
        <f t="shared" si="147"/>
        <v>3.2298766526814955</v>
      </c>
      <c r="S1919">
        <f t="shared" si="148"/>
        <v>-0.10987665268149538</v>
      </c>
      <c r="T1919">
        <f t="shared" si="149"/>
        <v>1.2072878804489966E-2</v>
      </c>
    </row>
    <row r="1920" spans="1:20" hidden="1" x14ac:dyDescent="0.25">
      <c r="A1920" t="str">
        <f t="shared" si="146"/>
        <v>RIP</v>
      </c>
      <c r="B1920" t="s">
        <v>1926</v>
      </c>
      <c r="C1920">
        <v>1.1351161430000001</v>
      </c>
      <c r="D1920">
        <v>9.9916288000000006E-2</v>
      </c>
      <c r="E1920">
        <v>0.66145115300000001</v>
      </c>
      <c r="F1920">
        <v>0.43049374499999998</v>
      </c>
      <c r="G1920">
        <v>0.73447628200000004</v>
      </c>
      <c r="H1920">
        <v>4.16</v>
      </c>
      <c r="I1920">
        <v>3.2231136858433498</v>
      </c>
      <c r="J1920">
        <v>3.2958236356710802</v>
      </c>
      <c r="K1920">
        <v>3.12598649701521</v>
      </c>
      <c r="L1920">
        <v>3.0976826012334202</v>
      </c>
      <c r="M1920">
        <v>3.2594686607572201</v>
      </c>
      <c r="N1920">
        <v>3.25926590910553</v>
      </c>
      <c r="Q1920">
        <f t="shared" si="145"/>
        <v>4.16</v>
      </c>
      <c r="R1920">
        <f t="shared" si="147"/>
        <v>3.3137216458787226</v>
      </c>
      <c r="S1920">
        <f t="shared" si="148"/>
        <v>0.8462783541212775</v>
      </c>
      <c r="T1920">
        <f t="shared" si="149"/>
        <v>0.71618705265421834</v>
      </c>
    </row>
    <row r="1921" spans="1:20" hidden="1" x14ac:dyDescent="0.25">
      <c r="A1921" t="str">
        <f t="shared" si="146"/>
        <v>RIP</v>
      </c>
      <c r="B1921" t="s">
        <v>1927</v>
      </c>
      <c r="C1921">
        <v>0.99435385499999995</v>
      </c>
      <c r="D1921">
        <v>0.100821806</v>
      </c>
      <c r="E1921">
        <v>0.66260524099999996</v>
      </c>
      <c r="F1921">
        <v>0.40253293099999998</v>
      </c>
      <c r="G1921">
        <v>0.73425711900000001</v>
      </c>
      <c r="H1921">
        <v>3.15</v>
      </c>
      <c r="I1921">
        <v>3.3010081737797101</v>
      </c>
      <c r="J1921">
        <v>3.3850830930734501</v>
      </c>
      <c r="K1921">
        <v>3.1797435653881201</v>
      </c>
      <c r="L1921">
        <v>3.0234940957095202</v>
      </c>
      <c r="M1921">
        <v>3.3430456334265801</v>
      </c>
      <c r="N1921">
        <v>3.3427813208702299</v>
      </c>
      <c r="Q1921">
        <f t="shared" ref="Q1921:Q1984" si="150">H1921</f>
        <v>3.15</v>
      </c>
      <c r="R1921">
        <f t="shared" si="147"/>
        <v>3.4106108619202944</v>
      </c>
      <c r="S1921">
        <f t="shared" si="148"/>
        <v>-0.26061086192029448</v>
      </c>
      <c r="T1921">
        <f t="shared" si="149"/>
        <v>6.7918021350838798E-2</v>
      </c>
    </row>
    <row r="1922" spans="1:20" hidden="1" x14ac:dyDescent="0.25">
      <c r="A1922" t="str">
        <f t="shared" si="146"/>
        <v>RIP</v>
      </c>
      <c r="B1922" t="s">
        <v>1928</v>
      </c>
      <c r="C1922">
        <v>1.115398251</v>
      </c>
      <c r="D1922">
        <v>9.9657770000000007E-2</v>
      </c>
      <c r="E1922">
        <v>0.67037018000000004</v>
      </c>
      <c r="F1922">
        <v>0.43043686799999997</v>
      </c>
      <c r="G1922">
        <v>0.73681183800000005</v>
      </c>
      <c r="H1922">
        <v>4.4000000000000004</v>
      </c>
      <c r="I1922">
        <v>3.2252678569006199</v>
      </c>
      <c r="J1922">
        <v>3.3169322286160599</v>
      </c>
      <c r="K1922">
        <v>3.1620138354835499</v>
      </c>
      <c r="L1922">
        <v>3.1218889902018598</v>
      </c>
      <c r="M1922">
        <v>3.2711000427583401</v>
      </c>
      <c r="N1922">
        <v>3.2707789439937902</v>
      </c>
      <c r="Q1922">
        <f t="shared" si="150"/>
        <v>4.4000000000000004</v>
      </c>
      <c r="R1922">
        <f t="shared" si="147"/>
        <v>3.3409698585410803</v>
      </c>
      <c r="S1922">
        <f t="shared" si="148"/>
        <v>1.05903014145892</v>
      </c>
      <c r="T1922">
        <f t="shared" si="149"/>
        <v>1.1215448405185002</v>
      </c>
    </row>
    <row r="1923" spans="1:20" hidden="1" x14ac:dyDescent="0.25">
      <c r="A1923" t="str">
        <f t="shared" ref="A1923:A1986" si="151">LEFT(B1923,3)</f>
        <v>RIP</v>
      </c>
      <c r="B1923" t="s">
        <v>1929</v>
      </c>
      <c r="C1923">
        <v>0.91396946400000001</v>
      </c>
      <c r="D1923">
        <v>9.5088128999999993E-2</v>
      </c>
      <c r="E1923">
        <v>0.67281089900000002</v>
      </c>
      <c r="F1923">
        <v>0.37318194399999999</v>
      </c>
      <c r="G1923">
        <v>0.73013061099999998</v>
      </c>
      <c r="H1923">
        <v>3.38</v>
      </c>
      <c r="I1923">
        <v>3.05364090354486</v>
      </c>
      <c r="J1923">
        <v>3.0889343201931201</v>
      </c>
      <c r="K1923">
        <v>3.4048314147652401</v>
      </c>
      <c r="L1923">
        <v>3.2562752145138001</v>
      </c>
      <c r="M1923">
        <v>3.07128761186899</v>
      </c>
      <c r="N1923">
        <v>3.0712369150727001</v>
      </c>
      <c r="Q1923">
        <f t="shared" si="150"/>
        <v>3.38</v>
      </c>
      <c r="R1923">
        <f t="shared" ref="R1923:R1986" si="152">$X$2*F1923+$X$3*D1923*E1923+($X$4/(D1923-$X$5))-$X$6*C1923</f>
        <v>3.1418865226979706</v>
      </c>
      <c r="S1923">
        <f t="shared" ref="S1923:S1986" si="153">Q1923-R1923</f>
        <v>0.23811347730202925</v>
      </c>
      <c r="T1923">
        <f t="shared" ref="T1923:T1986" si="154">S1923^2</f>
        <v>5.6698028072863997E-2</v>
      </c>
    </row>
    <row r="1924" spans="1:20" hidden="1" x14ac:dyDescent="0.25">
      <c r="A1924" t="str">
        <f t="shared" si="151"/>
        <v>RIP</v>
      </c>
      <c r="B1924" t="s">
        <v>1930</v>
      </c>
      <c r="C1924">
        <v>1.0878946190000001</v>
      </c>
      <c r="D1924">
        <v>0.101938104</v>
      </c>
      <c r="E1924">
        <v>0.68476814699999999</v>
      </c>
      <c r="F1924">
        <v>0.41922576499999997</v>
      </c>
      <c r="G1924">
        <v>0.75479496899999998</v>
      </c>
      <c r="H1924">
        <v>3.04</v>
      </c>
      <c r="I1924">
        <v>3.2939232984021798</v>
      </c>
      <c r="J1924">
        <v>3.4549520961052398</v>
      </c>
      <c r="K1924">
        <v>3.2858462185636998</v>
      </c>
      <c r="L1924">
        <v>3.2733804273853502</v>
      </c>
      <c r="M1924">
        <v>3.3744376972537098</v>
      </c>
      <c r="N1924">
        <v>3.3734770199638899</v>
      </c>
      <c r="Q1924">
        <f t="shared" si="150"/>
        <v>3.04</v>
      </c>
      <c r="R1924">
        <f t="shared" si="152"/>
        <v>3.4647393127282795</v>
      </c>
      <c r="S1924">
        <f t="shared" si="153"/>
        <v>-0.42473931272827947</v>
      </c>
      <c r="T1924">
        <f t="shared" si="154"/>
        <v>0.18040348377689119</v>
      </c>
    </row>
    <row r="1925" spans="1:20" hidden="1" x14ac:dyDescent="0.25">
      <c r="A1925" t="str">
        <f t="shared" si="151"/>
        <v>RIP</v>
      </c>
      <c r="B1925" t="s">
        <v>1931</v>
      </c>
      <c r="C1925">
        <v>1.1092331600000001</v>
      </c>
      <c r="D1925">
        <v>9.8987327E-2</v>
      </c>
      <c r="E1925">
        <v>0.67862684399999995</v>
      </c>
      <c r="F1925">
        <v>0.43848432599999998</v>
      </c>
      <c r="G1925">
        <v>0.75066085800000004</v>
      </c>
      <c r="H1925">
        <v>4.54</v>
      </c>
      <c r="I1925">
        <v>3.26088325366067</v>
      </c>
      <c r="J1925">
        <v>3.33166716970078</v>
      </c>
      <c r="K1925">
        <v>3.2885436355399098</v>
      </c>
      <c r="L1925">
        <v>3.2977121372048801</v>
      </c>
      <c r="M1925">
        <v>3.2962752116807299</v>
      </c>
      <c r="N1925">
        <v>3.2960852052773602</v>
      </c>
      <c r="Q1925">
        <f t="shared" si="150"/>
        <v>4.54</v>
      </c>
      <c r="R1925">
        <f t="shared" si="152"/>
        <v>3.3660401250799588</v>
      </c>
      <c r="S1925">
        <f t="shared" si="153"/>
        <v>1.1739598749200413</v>
      </c>
      <c r="T1925">
        <f t="shared" si="154"/>
        <v>1.3781817879222789</v>
      </c>
    </row>
    <row r="1926" spans="1:20" hidden="1" x14ac:dyDescent="0.25">
      <c r="A1926" t="str">
        <f t="shared" si="151"/>
        <v>RIP</v>
      </c>
      <c r="B1926" t="s">
        <v>1932</v>
      </c>
      <c r="C1926">
        <v>1.1461649270000001</v>
      </c>
      <c r="D1926">
        <v>9.9795474999999995E-2</v>
      </c>
      <c r="E1926">
        <v>0.67708241899999999</v>
      </c>
      <c r="F1926">
        <v>0.438052104</v>
      </c>
      <c r="G1926">
        <v>0.74925430299999995</v>
      </c>
      <c r="H1926">
        <v>4.2300000000000004</v>
      </c>
      <c r="I1926">
        <v>3.2366452764184599</v>
      </c>
      <c r="J1926">
        <v>3.3329984387792799</v>
      </c>
      <c r="K1926">
        <v>3.27175368867533</v>
      </c>
      <c r="L1926">
        <v>3.3160974256748301</v>
      </c>
      <c r="M1926">
        <v>3.2848218575988701</v>
      </c>
      <c r="N1926">
        <v>3.2844685495807502</v>
      </c>
      <c r="Q1926">
        <f t="shared" si="150"/>
        <v>4.2300000000000004</v>
      </c>
      <c r="R1926">
        <f t="shared" si="152"/>
        <v>3.3547412102615599</v>
      </c>
      <c r="S1926">
        <f t="shared" si="153"/>
        <v>0.87525878973844051</v>
      </c>
      <c r="T1926">
        <f t="shared" si="154"/>
        <v>0.76607794901439963</v>
      </c>
    </row>
    <row r="1927" spans="1:20" hidden="1" x14ac:dyDescent="0.25">
      <c r="A1927" t="str">
        <f t="shared" si="151"/>
        <v>RIP</v>
      </c>
      <c r="B1927" t="s">
        <v>1933</v>
      </c>
      <c r="C1927">
        <v>1.176460112</v>
      </c>
      <c r="D1927">
        <v>9.9525934999999996E-2</v>
      </c>
      <c r="E1927">
        <v>0.68275812800000002</v>
      </c>
      <c r="F1927">
        <v>0.46625485100000003</v>
      </c>
      <c r="G1927">
        <v>0.76039804899999996</v>
      </c>
      <c r="H1927">
        <v>4.24</v>
      </c>
      <c r="I1927">
        <v>3.3390029605280098</v>
      </c>
      <c r="J1927">
        <v>3.40170619325712</v>
      </c>
      <c r="K1927">
        <v>3.37922800524683</v>
      </c>
      <c r="L1927">
        <v>3.5089693188025501</v>
      </c>
      <c r="M1927">
        <v>3.3703545768925598</v>
      </c>
      <c r="N1927">
        <v>3.3702087546815198</v>
      </c>
      <c r="Q1927">
        <f t="shared" si="150"/>
        <v>4.24</v>
      </c>
      <c r="R1927">
        <f t="shared" si="152"/>
        <v>3.4360969068848455</v>
      </c>
      <c r="S1927">
        <f t="shared" si="153"/>
        <v>0.80390309311515473</v>
      </c>
      <c r="T1927">
        <f t="shared" si="154"/>
        <v>0.64626018312011313</v>
      </c>
    </row>
    <row r="1928" spans="1:20" hidden="1" x14ac:dyDescent="0.25">
      <c r="A1928" t="str">
        <f t="shared" si="151"/>
        <v>RIP</v>
      </c>
      <c r="B1928" t="s">
        <v>1934</v>
      </c>
      <c r="C1928">
        <v>1.188595971</v>
      </c>
      <c r="D1928">
        <v>9.1933374999999998E-2</v>
      </c>
      <c r="E1928">
        <v>0.676336198</v>
      </c>
      <c r="F1928">
        <v>0.42058367000000002</v>
      </c>
      <c r="G1928">
        <v>0.73959616399999994</v>
      </c>
      <c r="H1928">
        <v>4.34</v>
      </c>
      <c r="I1928">
        <v>2.833899897707</v>
      </c>
      <c r="J1928">
        <v>2.8584254179716901</v>
      </c>
      <c r="K1928">
        <v>3.04935530093478</v>
      </c>
      <c r="L1928">
        <v>3.0485034770674999</v>
      </c>
      <c r="M1928">
        <v>2.8461626578393502</v>
      </c>
      <c r="N1928">
        <v>2.84613624051855</v>
      </c>
      <c r="Q1928">
        <f t="shared" si="150"/>
        <v>4.34</v>
      </c>
      <c r="R1928">
        <f t="shared" si="152"/>
        <v>2.8921498231917955</v>
      </c>
      <c r="S1928">
        <f t="shared" si="153"/>
        <v>1.4478501768082044</v>
      </c>
      <c r="T1928">
        <f t="shared" si="154"/>
        <v>2.0962701344835488</v>
      </c>
    </row>
    <row r="1929" spans="1:20" hidden="1" x14ac:dyDescent="0.25">
      <c r="A1929" t="str">
        <f t="shared" si="151"/>
        <v>RIP</v>
      </c>
      <c r="B1929" t="s">
        <v>1935</v>
      </c>
      <c r="C1929">
        <v>1.366747521</v>
      </c>
      <c r="D1929">
        <v>0.102257127</v>
      </c>
      <c r="E1929">
        <v>0.65237019799999996</v>
      </c>
      <c r="F1929">
        <v>0.39668844800000003</v>
      </c>
      <c r="G1929">
        <v>0.71561601399999997</v>
      </c>
      <c r="H1929">
        <v>3.52</v>
      </c>
      <c r="I1929">
        <v>2.76238778041508</v>
      </c>
      <c r="J1929">
        <v>3.0549145522691501</v>
      </c>
      <c r="K1929">
        <v>2.54054564355972</v>
      </c>
      <c r="L1929">
        <v>2.51257498715895</v>
      </c>
      <c r="M1929">
        <v>2.9086511663421102</v>
      </c>
      <c r="N1929">
        <v>2.9049713646437998</v>
      </c>
      <c r="Q1929">
        <f t="shared" si="150"/>
        <v>3.52</v>
      </c>
      <c r="R1929">
        <f t="shared" si="152"/>
        <v>2.9871568122986654</v>
      </c>
      <c r="S1929">
        <f t="shared" si="153"/>
        <v>0.53284318770133465</v>
      </c>
      <c r="T1929">
        <f t="shared" si="154"/>
        <v>0.28392186267971975</v>
      </c>
    </row>
    <row r="1930" spans="1:20" hidden="1" x14ac:dyDescent="0.25">
      <c r="A1930" t="str">
        <f t="shared" si="151"/>
        <v>RIP</v>
      </c>
      <c r="B1930" t="s">
        <v>1936</v>
      </c>
      <c r="C1930">
        <v>1.2377433090000001</v>
      </c>
      <c r="D1930">
        <v>9.3402899999999997E-2</v>
      </c>
      <c r="E1930">
        <v>0.68464458299999997</v>
      </c>
      <c r="F1930">
        <v>0.461628814</v>
      </c>
      <c r="G1930">
        <v>0.74758748500000005</v>
      </c>
      <c r="H1930">
        <v>3.74</v>
      </c>
      <c r="I1930">
        <v>3.0098055776116399</v>
      </c>
      <c r="J1930">
        <v>3.03499279374957</v>
      </c>
      <c r="K1930">
        <v>3.156466545527</v>
      </c>
      <c r="L1930">
        <v>3.2102634765523601</v>
      </c>
      <c r="M1930">
        <v>3.0223991856806101</v>
      </c>
      <c r="N1930">
        <v>3.0223729483038002</v>
      </c>
      <c r="Q1930">
        <f t="shared" si="150"/>
        <v>3.74</v>
      </c>
      <c r="R1930">
        <f t="shared" si="152"/>
        <v>3.0794297111197588</v>
      </c>
      <c r="S1930">
        <f t="shared" si="153"/>
        <v>0.66057028888024139</v>
      </c>
      <c r="T1930">
        <f t="shared" si="154"/>
        <v>0.43635310655132553</v>
      </c>
    </row>
    <row r="1931" spans="1:20" hidden="1" x14ac:dyDescent="0.25">
      <c r="A1931" t="str">
        <f t="shared" si="151"/>
        <v>RIP</v>
      </c>
      <c r="B1931" t="s">
        <v>1937</v>
      </c>
      <c r="C1931">
        <v>1.1121134420000001</v>
      </c>
      <c r="D1931">
        <v>9.4446226999999994E-2</v>
      </c>
      <c r="E1931">
        <v>0.67831113700000001</v>
      </c>
      <c r="F1931">
        <v>0.44431613199999997</v>
      </c>
      <c r="G1931">
        <v>0.74216006300000004</v>
      </c>
      <c r="H1931">
        <v>3.54</v>
      </c>
      <c r="I1931">
        <v>3.1317381178253498</v>
      </c>
      <c r="J1931">
        <v>3.1323192187942301</v>
      </c>
      <c r="K1931">
        <v>3.1498701411896199</v>
      </c>
      <c r="L1931">
        <v>3.1001690261451902</v>
      </c>
      <c r="M1931">
        <v>3.1320286683097902</v>
      </c>
      <c r="N1931">
        <v>3.1320286548329701</v>
      </c>
      <c r="Q1931">
        <f t="shared" si="150"/>
        <v>3.54</v>
      </c>
      <c r="R1931">
        <f t="shared" si="152"/>
        <v>3.1891677532395555</v>
      </c>
      <c r="S1931">
        <f t="shared" si="153"/>
        <v>0.35083224676044455</v>
      </c>
      <c r="T1931">
        <f t="shared" si="154"/>
        <v>0.12308326536698146</v>
      </c>
    </row>
    <row r="1932" spans="1:20" hidden="1" x14ac:dyDescent="0.25">
      <c r="A1932" t="str">
        <f t="shared" si="151"/>
        <v>RIP</v>
      </c>
      <c r="B1932" t="s">
        <v>1938</v>
      </c>
      <c r="C1932">
        <v>1.150600077</v>
      </c>
      <c r="D1932">
        <v>9.9384517000000006E-2</v>
      </c>
      <c r="E1932">
        <v>0.68210011199999998</v>
      </c>
      <c r="F1932">
        <v>0.43515295100000001</v>
      </c>
      <c r="G1932">
        <v>0.75260523099999999</v>
      </c>
      <c r="H1932">
        <v>3.87</v>
      </c>
      <c r="I1932">
        <v>3.1964486533948802</v>
      </c>
      <c r="J1932">
        <v>3.30474731029808</v>
      </c>
      <c r="K1932">
        <v>3.1449896387438199</v>
      </c>
      <c r="L1932">
        <v>3.1403165841036502</v>
      </c>
      <c r="M1932">
        <v>3.2505979818464801</v>
      </c>
      <c r="N1932">
        <v>3.2501469335727999</v>
      </c>
      <c r="Q1932">
        <f t="shared" si="150"/>
        <v>3.87</v>
      </c>
      <c r="R1932">
        <f t="shared" si="152"/>
        <v>3.3263134722216665</v>
      </c>
      <c r="S1932">
        <f t="shared" si="153"/>
        <v>0.54368652777833359</v>
      </c>
      <c r="T1932">
        <f t="shared" si="154"/>
        <v>0.29559504048766072</v>
      </c>
    </row>
    <row r="1933" spans="1:20" hidden="1" x14ac:dyDescent="0.25">
      <c r="A1933" t="str">
        <f t="shared" si="151"/>
        <v>RIP</v>
      </c>
      <c r="B1933" t="s">
        <v>1939</v>
      </c>
      <c r="C1933">
        <v>1.0057330179999999</v>
      </c>
      <c r="D1933">
        <v>0.10416171</v>
      </c>
      <c r="E1933">
        <v>0.70769596800000001</v>
      </c>
      <c r="F1933">
        <v>0.42325331500000002</v>
      </c>
      <c r="G1933">
        <v>0.776469191</v>
      </c>
      <c r="H1933">
        <v>4.07</v>
      </c>
      <c r="I1933">
        <v>3.5181893659507399</v>
      </c>
      <c r="J1933">
        <v>3.72890329231232</v>
      </c>
      <c r="K1933">
        <v>3.1879843155357799</v>
      </c>
      <c r="L1933">
        <v>3.0364597469947201</v>
      </c>
      <c r="M1933">
        <v>3.6235463291315302</v>
      </c>
      <c r="N1933">
        <v>3.6220143442112298</v>
      </c>
      <c r="Q1933">
        <f t="shared" si="150"/>
        <v>4.07</v>
      </c>
      <c r="R1933">
        <f t="shared" si="152"/>
        <v>3.7431795997141264</v>
      </c>
      <c r="S1933">
        <f t="shared" si="153"/>
        <v>0.32682040028587389</v>
      </c>
      <c r="T1933">
        <f t="shared" si="154"/>
        <v>0.10681157404301884</v>
      </c>
    </row>
    <row r="1934" spans="1:20" hidden="1" x14ac:dyDescent="0.25">
      <c r="A1934" t="str">
        <f t="shared" si="151"/>
        <v>RIP</v>
      </c>
      <c r="B1934" t="s">
        <v>1940</v>
      </c>
      <c r="C1934">
        <v>1.104467034</v>
      </c>
      <c r="D1934">
        <v>0.103177061</v>
      </c>
      <c r="E1934">
        <v>0.704958792</v>
      </c>
      <c r="F1934">
        <v>0.42564048900000001</v>
      </c>
      <c r="G1934">
        <v>0.77926438200000003</v>
      </c>
      <c r="H1934">
        <v>3.89</v>
      </c>
      <c r="I1934">
        <v>3.3823986075921701</v>
      </c>
      <c r="J1934">
        <v>3.5719314430963802</v>
      </c>
      <c r="K1934">
        <v>3.08634170182789</v>
      </c>
      <c r="L1934">
        <v>3.0107003162834798</v>
      </c>
      <c r="M1934">
        <v>3.4771650253442798</v>
      </c>
      <c r="N1934">
        <v>3.47587340672009</v>
      </c>
      <c r="Q1934">
        <f t="shared" si="150"/>
        <v>3.89</v>
      </c>
      <c r="R1934">
        <f t="shared" si="152"/>
        <v>3.574313136785245</v>
      </c>
      <c r="S1934">
        <f t="shared" si="153"/>
        <v>0.31568686321475514</v>
      </c>
      <c r="T1934">
        <f t="shared" si="154"/>
        <v>9.9658195606371527E-2</v>
      </c>
    </row>
    <row r="1935" spans="1:20" hidden="1" x14ac:dyDescent="0.25">
      <c r="A1935" t="str">
        <f t="shared" si="151"/>
        <v>RIP</v>
      </c>
      <c r="B1935" t="s">
        <v>1941</v>
      </c>
      <c r="C1935">
        <v>1.120068684</v>
      </c>
      <c r="D1935">
        <v>0.103392199</v>
      </c>
      <c r="E1935">
        <v>0.68518515800000002</v>
      </c>
      <c r="F1935">
        <v>0.42271547500000001</v>
      </c>
      <c r="G1935">
        <v>0.75021728600000004</v>
      </c>
      <c r="H1935">
        <v>4.0199999999999996</v>
      </c>
      <c r="I1935">
        <v>3.3029225464991399</v>
      </c>
      <c r="J1935">
        <v>3.5236774460235298</v>
      </c>
      <c r="K1935">
        <v>3.0500746429945398</v>
      </c>
      <c r="L1935">
        <v>2.9849132425520901</v>
      </c>
      <c r="M1935">
        <v>3.41329999626134</v>
      </c>
      <c r="N1935">
        <v>3.4115148663111001</v>
      </c>
      <c r="Q1935">
        <f t="shared" si="150"/>
        <v>4.0199999999999996</v>
      </c>
      <c r="R1935">
        <f t="shared" si="152"/>
        <v>3.5181028961311398</v>
      </c>
      <c r="S1935">
        <f t="shared" si="153"/>
        <v>0.50189710386885977</v>
      </c>
      <c r="T1935">
        <f t="shared" si="154"/>
        <v>0.25190070287194899</v>
      </c>
    </row>
    <row r="1936" spans="1:20" hidden="1" x14ac:dyDescent="0.25">
      <c r="A1936" t="str">
        <f t="shared" si="151"/>
        <v>RIP</v>
      </c>
      <c r="B1936" t="s">
        <v>1942</v>
      </c>
      <c r="C1936">
        <v>1.2574503720000001</v>
      </c>
      <c r="D1936">
        <v>9.7696859999999996E-2</v>
      </c>
      <c r="E1936">
        <v>0.695768155</v>
      </c>
      <c r="F1936">
        <v>0.42270895000000003</v>
      </c>
      <c r="G1936">
        <v>0.76500233900000003</v>
      </c>
      <c r="H1936">
        <v>3.39</v>
      </c>
      <c r="I1936">
        <v>2.9286582052222601</v>
      </c>
      <c r="J1936">
        <v>3.08908633818133</v>
      </c>
      <c r="K1936">
        <v>2.7259603512222301</v>
      </c>
      <c r="L1936">
        <v>2.6669029511781801</v>
      </c>
      <c r="M1936">
        <v>3.0088722717017902</v>
      </c>
      <c r="N1936">
        <v>3.0078028610523502</v>
      </c>
      <c r="Q1936">
        <f t="shared" si="150"/>
        <v>3.39</v>
      </c>
      <c r="R1936">
        <f t="shared" si="152"/>
        <v>3.0894065338467227</v>
      </c>
      <c r="S1936">
        <f t="shared" si="153"/>
        <v>0.30059346615327742</v>
      </c>
      <c r="T1936">
        <f t="shared" si="154"/>
        <v>9.0356431894041536E-2</v>
      </c>
    </row>
    <row r="1937" spans="1:20" hidden="1" x14ac:dyDescent="0.25">
      <c r="A1937" t="str">
        <f t="shared" si="151"/>
        <v>RIP</v>
      </c>
      <c r="B1937" t="s">
        <v>1943</v>
      </c>
      <c r="C1937">
        <v>1.274058044</v>
      </c>
      <c r="D1937">
        <v>9.2769537999999999E-2</v>
      </c>
      <c r="E1937">
        <v>0.69209368800000004</v>
      </c>
      <c r="F1937">
        <v>0.46442789400000001</v>
      </c>
      <c r="G1937">
        <v>0.75975954700000004</v>
      </c>
      <c r="H1937">
        <v>4.04</v>
      </c>
      <c r="I1937">
        <v>2.95195430807158</v>
      </c>
      <c r="J1937">
        <v>2.9939021481769998</v>
      </c>
      <c r="K1937">
        <v>2.9937364147921199</v>
      </c>
      <c r="L1937">
        <v>3.0256982427031902</v>
      </c>
      <c r="M1937">
        <v>2.9729282281242901</v>
      </c>
      <c r="N1937">
        <v>2.9728542420131898</v>
      </c>
      <c r="Q1937">
        <f t="shared" si="150"/>
        <v>4.04</v>
      </c>
      <c r="R1937">
        <f t="shared" si="152"/>
        <v>3.0346505982090575</v>
      </c>
      <c r="S1937">
        <f t="shared" si="153"/>
        <v>1.0053494017909426</v>
      </c>
      <c r="T1937">
        <f t="shared" si="154"/>
        <v>1.010727419681406</v>
      </c>
    </row>
    <row r="1938" spans="1:20" hidden="1" x14ac:dyDescent="0.25">
      <c r="A1938" t="str">
        <f t="shared" si="151"/>
        <v>RIP</v>
      </c>
      <c r="B1938" t="s">
        <v>1944</v>
      </c>
      <c r="C1938">
        <v>1.4174844929999999</v>
      </c>
      <c r="D1938">
        <v>9.6540540999999994E-2</v>
      </c>
      <c r="E1938">
        <v>0.69038491300000004</v>
      </c>
      <c r="F1938">
        <v>0.50978967500000005</v>
      </c>
      <c r="G1938">
        <v>0.76655927599999996</v>
      </c>
      <c r="H1938">
        <v>4.2300000000000004</v>
      </c>
      <c r="I1938">
        <v>3.1071664180543599</v>
      </c>
      <c r="J1938">
        <v>3.1835448915883502</v>
      </c>
      <c r="K1938">
        <v>2.94703174197813</v>
      </c>
      <c r="L1938">
        <v>3.0221062735356701</v>
      </c>
      <c r="M1938">
        <v>3.1453556548213601</v>
      </c>
      <c r="N1938">
        <v>3.1451238095680498</v>
      </c>
      <c r="Q1938">
        <f t="shared" si="150"/>
        <v>4.2300000000000004</v>
      </c>
      <c r="R1938">
        <f t="shared" si="152"/>
        <v>3.2079018370771708</v>
      </c>
      <c r="S1938">
        <f t="shared" si="153"/>
        <v>1.0220981629228296</v>
      </c>
      <c r="T1938">
        <f t="shared" si="154"/>
        <v>1.0446846546502231</v>
      </c>
    </row>
    <row r="1939" spans="1:20" hidden="1" x14ac:dyDescent="0.25">
      <c r="A1939" t="str">
        <f t="shared" si="151"/>
        <v>RIP</v>
      </c>
      <c r="B1939" t="s">
        <v>1945</v>
      </c>
      <c r="C1939">
        <v>1.546316451</v>
      </c>
      <c r="D1939">
        <v>9.3181775999999994E-2</v>
      </c>
      <c r="E1939">
        <v>0.69235213799999995</v>
      </c>
      <c r="F1939">
        <v>0.45793162700000001</v>
      </c>
      <c r="G1939">
        <v>0.76412559700000005</v>
      </c>
      <c r="H1939">
        <v>3.78</v>
      </c>
      <c r="I1939">
        <v>2.57214820008614</v>
      </c>
      <c r="J1939">
        <v>2.7157491082564298</v>
      </c>
      <c r="K1939">
        <v>2.2780057658018502</v>
      </c>
      <c r="L1939">
        <v>2.2671472776780002</v>
      </c>
      <c r="M1939">
        <v>2.6439486541712802</v>
      </c>
      <c r="N1939">
        <v>2.6429735489950201</v>
      </c>
      <c r="Q1939">
        <f t="shared" si="150"/>
        <v>3.78</v>
      </c>
      <c r="R1939">
        <f t="shared" si="152"/>
        <v>2.6930472088274913</v>
      </c>
      <c r="S1939">
        <f t="shared" si="153"/>
        <v>1.0869527911725085</v>
      </c>
      <c r="T1939">
        <f t="shared" si="154"/>
        <v>1.1814663702377068</v>
      </c>
    </row>
    <row r="1940" spans="1:20" hidden="1" x14ac:dyDescent="0.25">
      <c r="A1940" t="str">
        <f t="shared" si="151"/>
        <v>RIP</v>
      </c>
      <c r="B1940" t="s">
        <v>1946</v>
      </c>
      <c r="C1940">
        <v>1.2656996490000001</v>
      </c>
      <c r="D1940">
        <v>0.103463472</v>
      </c>
      <c r="E1940">
        <v>0.69159390799999998</v>
      </c>
      <c r="F1940">
        <v>0.467563018</v>
      </c>
      <c r="G1940">
        <v>0.77081120999999997</v>
      </c>
      <c r="H1940">
        <v>3.79</v>
      </c>
      <c r="I1940">
        <v>3.3910888723643402</v>
      </c>
      <c r="J1940">
        <v>3.5586094427760901</v>
      </c>
      <c r="K1940">
        <v>2.9730075922782402</v>
      </c>
      <c r="L1940">
        <v>2.98068685354299</v>
      </c>
      <c r="M1940">
        <v>3.4748491575702101</v>
      </c>
      <c r="N1940">
        <v>3.4738395015441701</v>
      </c>
      <c r="Q1940">
        <f t="shared" si="150"/>
        <v>3.79</v>
      </c>
      <c r="R1940">
        <f t="shared" si="152"/>
        <v>3.5492361077239769</v>
      </c>
      <c r="S1940">
        <f t="shared" si="153"/>
        <v>0.24076389227602313</v>
      </c>
      <c r="T1940">
        <f t="shared" si="154"/>
        <v>5.7967251823900466E-2</v>
      </c>
    </row>
    <row r="1941" spans="1:20" hidden="1" x14ac:dyDescent="0.25">
      <c r="A1941" t="str">
        <f t="shared" si="151"/>
        <v>RIP</v>
      </c>
      <c r="B1941" t="s">
        <v>1947</v>
      </c>
      <c r="C1941">
        <v>1.180910259</v>
      </c>
      <c r="D1941">
        <v>0.107358626</v>
      </c>
      <c r="E1941">
        <v>0.70498700199999997</v>
      </c>
      <c r="F1941">
        <v>0.46563016400000001</v>
      </c>
      <c r="G1941">
        <v>0.78674987100000005</v>
      </c>
      <c r="H1941">
        <v>3.95</v>
      </c>
      <c r="I1941">
        <v>3.72218076908222</v>
      </c>
      <c r="J1941">
        <v>3.9265036067623398</v>
      </c>
      <c r="K1941">
        <v>3.141219459087</v>
      </c>
      <c r="L1941">
        <v>3.1519950073690599</v>
      </c>
      <c r="M1941">
        <v>3.8243421879222801</v>
      </c>
      <c r="N1941">
        <v>3.8229774018195202</v>
      </c>
      <c r="Q1941">
        <f t="shared" si="150"/>
        <v>3.95</v>
      </c>
      <c r="R1941">
        <f t="shared" si="152"/>
        <v>3.8975925380928418</v>
      </c>
      <c r="S1941">
        <f t="shared" si="153"/>
        <v>5.2407461907158392E-2</v>
      </c>
      <c r="T1941">
        <f t="shared" si="154"/>
        <v>2.7465420635502578E-3</v>
      </c>
    </row>
    <row r="1942" spans="1:20" hidden="1" x14ac:dyDescent="0.25">
      <c r="A1942" t="str">
        <f t="shared" si="151"/>
        <v>RIP</v>
      </c>
      <c r="B1942" t="s">
        <v>1948</v>
      </c>
      <c r="C1942">
        <v>1.219039223</v>
      </c>
      <c r="D1942">
        <v>9.3025252000000003E-2</v>
      </c>
      <c r="E1942">
        <v>0.69978791100000004</v>
      </c>
      <c r="F1942">
        <v>0.443628207</v>
      </c>
      <c r="G1942">
        <v>0.77274198299999997</v>
      </c>
      <c r="H1942">
        <v>4.18</v>
      </c>
      <c r="I1942">
        <v>2.9400991983754499</v>
      </c>
      <c r="J1942">
        <v>2.99573232628053</v>
      </c>
      <c r="K1942">
        <v>2.9535604896366099</v>
      </c>
      <c r="L1942">
        <v>2.9358546731886199</v>
      </c>
      <c r="M1942">
        <v>2.9679157623279901</v>
      </c>
      <c r="N1942">
        <v>2.9677854051539501</v>
      </c>
      <c r="Q1942">
        <f t="shared" si="150"/>
        <v>4.18</v>
      </c>
      <c r="R1942">
        <f t="shared" si="152"/>
        <v>3.0351056532576104</v>
      </c>
      <c r="S1942">
        <f t="shared" si="153"/>
        <v>1.1448943467423893</v>
      </c>
      <c r="T1942">
        <f t="shared" si="154"/>
        <v>1.3107830652026824</v>
      </c>
    </row>
    <row r="1943" spans="1:20" hidden="1" x14ac:dyDescent="0.25">
      <c r="A1943" t="str">
        <f t="shared" si="151"/>
        <v>RIP</v>
      </c>
      <c r="B1943" t="s">
        <v>1949</v>
      </c>
      <c r="C1943">
        <v>1.2502484629999999</v>
      </c>
      <c r="D1943">
        <v>9.1095583999999993E-2</v>
      </c>
      <c r="E1943">
        <v>0.70413681800000005</v>
      </c>
      <c r="F1943">
        <v>0.47831585799999998</v>
      </c>
      <c r="G1943">
        <v>0.77772062399999997</v>
      </c>
      <c r="H1943">
        <v>4.07</v>
      </c>
      <c r="I1943">
        <v>2.99755761858294</v>
      </c>
      <c r="J1943">
        <v>3.0185319294911599</v>
      </c>
      <c r="K1943">
        <v>2.9323183916054898</v>
      </c>
      <c r="L1943">
        <v>2.90628415705855</v>
      </c>
      <c r="M1943">
        <v>3.00804477403705</v>
      </c>
      <c r="N1943">
        <v>3.00802649293222</v>
      </c>
      <c r="Q1943">
        <f t="shared" si="150"/>
        <v>4.07</v>
      </c>
      <c r="R1943">
        <f t="shared" si="152"/>
        <v>3.0782131808915247</v>
      </c>
      <c r="S1943">
        <f t="shared" si="153"/>
        <v>0.99178681910847555</v>
      </c>
      <c r="T1943">
        <f t="shared" si="154"/>
        <v>0.98364109455730797</v>
      </c>
    </row>
    <row r="1944" spans="1:20" hidden="1" x14ac:dyDescent="0.25">
      <c r="A1944" t="str">
        <f t="shared" si="151"/>
        <v>RIP</v>
      </c>
      <c r="B1944" t="s">
        <v>1950</v>
      </c>
      <c r="C1944">
        <v>1.2021124240000001</v>
      </c>
      <c r="D1944">
        <v>9.5799702E-2</v>
      </c>
      <c r="E1944">
        <v>0.69892540000000003</v>
      </c>
      <c r="F1944">
        <v>0.472285024</v>
      </c>
      <c r="G1944">
        <v>0.78172899799999995</v>
      </c>
      <c r="H1944">
        <v>4.46</v>
      </c>
      <c r="I1944">
        <v>3.2128636096196699</v>
      </c>
      <c r="J1944">
        <v>3.2403931125614598</v>
      </c>
      <c r="K1944">
        <v>3.0009898021649</v>
      </c>
      <c r="L1944">
        <v>2.9685372795418101</v>
      </c>
      <c r="M1944">
        <v>3.2266283610905599</v>
      </c>
      <c r="N1944">
        <v>3.2265990008383301</v>
      </c>
      <c r="Q1944">
        <f t="shared" si="150"/>
        <v>4.46</v>
      </c>
      <c r="R1944">
        <f t="shared" si="152"/>
        <v>3.2912561343682247</v>
      </c>
      <c r="S1944">
        <f t="shared" si="153"/>
        <v>1.1687438656317752</v>
      </c>
      <c r="T1944">
        <f t="shared" si="154"/>
        <v>1.3659622234519051</v>
      </c>
    </row>
    <row r="1945" spans="1:20" hidden="1" x14ac:dyDescent="0.25">
      <c r="A1945" t="str">
        <f t="shared" si="151"/>
        <v>RIP</v>
      </c>
      <c r="B1945" t="s">
        <v>1951</v>
      </c>
      <c r="C1945">
        <v>1.1814087310000001</v>
      </c>
      <c r="D1945">
        <v>9.9247878999999997E-2</v>
      </c>
      <c r="E1945">
        <v>0.67579507800000005</v>
      </c>
      <c r="F1945">
        <v>0.47400885799999998</v>
      </c>
      <c r="G1945">
        <v>0.75148244200000003</v>
      </c>
      <c r="H1945">
        <v>4.1900000000000004</v>
      </c>
      <c r="I1945">
        <v>3.3572616830506199</v>
      </c>
      <c r="J1945">
        <v>3.39867791364372</v>
      </c>
      <c r="K1945">
        <v>3.13221669867358</v>
      </c>
      <c r="L1945">
        <v>3.12797894273253</v>
      </c>
      <c r="M1945">
        <v>3.3779697983471699</v>
      </c>
      <c r="N1945">
        <v>3.3779063238205</v>
      </c>
      <c r="Q1945">
        <f t="shared" si="150"/>
        <v>4.1900000000000004</v>
      </c>
      <c r="R1945">
        <f t="shared" si="152"/>
        <v>3.4378831839182471</v>
      </c>
      <c r="S1945">
        <f t="shared" si="153"/>
        <v>0.75211681608175329</v>
      </c>
      <c r="T1945">
        <f t="shared" si="154"/>
        <v>0.56567970503295395</v>
      </c>
    </row>
    <row r="1946" spans="1:20" hidden="1" x14ac:dyDescent="0.25">
      <c r="A1946" t="str">
        <f t="shared" si="151"/>
        <v>RIP</v>
      </c>
      <c r="B1946" t="s">
        <v>1952</v>
      </c>
      <c r="C1946">
        <v>1.2028931810000001</v>
      </c>
      <c r="D1946">
        <v>0.10369848</v>
      </c>
      <c r="E1946">
        <v>0.69191879700000003</v>
      </c>
      <c r="F1946">
        <v>0.51421146200000001</v>
      </c>
      <c r="G1946">
        <v>0.77639305800000002</v>
      </c>
      <c r="H1946">
        <v>3.97</v>
      </c>
      <c r="I1946">
        <v>3.73577730873992</v>
      </c>
      <c r="J1946">
        <v>3.8080246448578299</v>
      </c>
      <c r="K1946">
        <v>3.2293238588361302</v>
      </c>
      <c r="L1946">
        <v>3.2679604374125701</v>
      </c>
      <c r="M1946">
        <v>3.77190097679888</v>
      </c>
      <c r="N1946">
        <v>3.7717279938222301</v>
      </c>
      <c r="Q1946">
        <f t="shared" si="150"/>
        <v>3.97</v>
      </c>
      <c r="R1946">
        <f t="shared" si="152"/>
        <v>3.8388534277722606</v>
      </c>
      <c r="S1946">
        <f t="shared" si="153"/>
        <v>0.13114657222773962</v>
      </c>
      <c r="T1946">
        <f t="shared" si="154"/>
        <v>1.7199423407085725E-2</v>
      </c>
    </row>
    <row r="1947" spans="1:20" hidden="1" x14ac:dyDescent="0.25">
      <c r="A1947" t="str">
        <f t="shared" si="151"/>
        <v>RIP</v>
      </c>
      <c r="B1947" t="s">
        <v>1953</v>
      </c>
      <c r="C1947">
        <v>1.1536562299999999</v>
      </c>
      <c r="D1947">
        <v>9.8262090999999996E-2</v>
      </c>
      <c r="E1947">
        <v>0.68942382300000005</v>
      </c>
      <c r="F1947">
        <v>0.45655785199999999</v>
      </c>
      <c r="G1947">
        <v>0.76724001399999997</v>
      </c>
      <c r="H1947">
        <v>4.24</v>
      </c>
      <c r="I1947">
        <v>3.2769583046030899</v>
      </c>
      <c r="J1947">
        <v>3.3348391604237899</v>
      </c>
      <c r="K1947">
        <v>2.92252259853365</v>
      </c>
      <c r="L1947">
        <v>2.8279856619451298</v>
      </c>
      <c r="M1947">
        <v>3.3058987325134401</v>
      </c>
      <c r="N1947">
        <v>3.3057720552491698</v>
      </c>
      <c r="Q1947">
        <f t="shared" si="150"/>
        <v>4.24</v>
      </c>
      <c r="R1947">
        <f t="shared" si="152"/>
        <v>3.375076906785706</v>
      </c>
      <c r="S1947">
        <f t="shared" si="153"/>
        <v>0.86492309321429417</v>
      </c>
      <c r="T1947">
        <f t="shared" si="154"/>
        <v>0.74809195717538257</v>
      </c>
    </row>
    <row r="1948" spans="1:20" hidden="1" x14ac:dyDescent="0.25">
      <c r="A1948" t="str">
        <f t="shared" si="151"/>
        <v>RIP</v>
      </c>
      <c r="B1948" t="s">
        <v>1954</v>
      </c>
      <c r="C1948">
        <v>1.3595526149999999</v>
      </c>
      <c r="D1948">
        <v>9.7685642000000003E-2</v>
      </c>
      <c r="E1948">
        <v>0.67943131199999995</v>
      </c>
      <c r="F1948">
        <v>0.46234414099999999</v>
      </c>
      <c r="G1948">
        <v>0.74108596800000004</v>
      </c>
      <c r="H1948">
        <v>3.53</v>
      </c>
      <c r="I1948">
        <v>2.9736375762776799</v>
      </c>
      <c r="J1948">
        <v>3.1044754256329199</v>
      </c>
      <c r="K1948">
        <v>2.8531220971407598</v>
      </c>
      <c r="L1948">
        <v>2.9256841884394702</v>
      </c>
      <c r="M1948">
        <v>3.0390565009552999</v>
      </c>
      <c r="N1948">
        <v>3.0383523133916999</v>
      </c>
      <c r="Q1948">
        <f t="shared" si="150"/>
        <v>3.53</v>
      </c>
      <c r="R1948">
        <f t="shared" si="152"/>
        <v>3.1064364714275152</v>
      </c>
      <c r="S1948">
        <f t="shared" si="153"/>
        <v>0.42356352857248458</v>
      </c>
      <c r="T1948">
        <f t="shared" si="154"/>
        <v>0.17940606273677395</v>
      </c>
    </row>
    <row r="1949" spans="1:20" hidden="1" x14ac:dyDescent="0.25">
      <c r="A1949" t="str">
        <f t="shared" si="151"/>
        <v>RIP</v>
      </c>
      <c r="B1949" t="s">
        <v>1955</v>
      </c>
      <c r="C1949">
        <v>1.397844095</v>
      </c>
      <c r="D1949">
        <v>0.1000361</v>
      </c>
      <c r="E1949">
        <v>0.67610859300000004</v>
      </c>
      <c r="F1949">
        <v>0.481471543</v>
      </c>
      <c r="G1949">
        <v>0.73553170400000001</v>
      </c>
      <c r="H1949">
        <v>4.1500000000000004</v>
      </c>
      <c r="I1949">
        <v>3.0946692493242902</v>
      </c>
      <c r="J1949">
        <v>3.25200685677915</v>
      </c>
      <c r="K1949">
        <v>2.8166771943727702</v>
      </c>
      <c r="L1949">
        <v>2.8906039669355801</v>
      </c>
      <c r="M1949">
        <v>3.1733380530517201</v>
      </c>
      <c r="N1949">
        <v>3.1723627816292002</v>
      </c>
      <c r="Q1949">
        <f t="shared" si="150"/>
        <v>4.1500000000000004</v>
      </c>
      <c r="R1949">
        <f t="shared" si="152"/>
        <v>3.2451615894959502</v>
      </c>
      <c r="S1949">
        <f t="shared" si="153"/>
        <v>0.90483841050405012</v>
      </c>
      <c r="T1949">
        <f t="shared" si="154"/>
        <v>0.81873254912349591</v>
      </c>
    </row>
    <row r="1950" spans="1:20" hidden="1" x14ac:dyDescent="0.25">
      <c r="A1950" t="str">
        <f t="shared" si="151"/>
        <v>RIP</v>
      </c>
      <c r="B1950" t="s">
        <v>1956</v>
      </c>
      <c r="C1950">
        <v>1.2653038809999999</v>
      </c>
      <c r="D1950">
        <v>9.9716047000000002E-2</v>
      </c>
      <c r="E1950">
        <v>0.66837806399999999</v>
      </c>
      <c r="F1950">
        <v>0.45882747699999998</v>
      </c>
      <c r="G1950">
        <v>0.72550989200000005</v>
      </c>
      <c r="H1950">
        <v>4.08</v>
      </c>
      <c r="I1950">
        <v>3.1585530331732299</v>
      </c>
      <c r="J1950">
        <v>3.2709607198471402</v>
      </c>
      <c r="K1950">
        <v>3.09423131590352</v>
      </c>
      <c r="L1950">
        <v>3.17911093559167</v>
      </c>
      <c r="M1950">
        <v>3.2147568765101799</v>
      </c>
      <c r="N1950">
        <v>3.2142655308893899</v>
      </c>
      <c r="Q1950">
        <f t="shared" si="150"/>
        <v>4.08</v>
      </c>
      <c r="R1950">
        <f t="shared" si="152"/>
        <v>3.2799330389948356</v>
      </c>
      <c r="S1950">
        <f t="shared" si="153"/>
        <v>0.8000669610051645</v>
      </c>
      <c r="T1950">
        <f t="shared" si="154"/>
        <v>0.64010714209203945</v>
      </c>
    </row>
    <row r="1951" spans="1:20" hidden="1" x14ac:dyDescent="0.25">
      <c r="A1951" t="str">
        <f t="shared" si="151"/>
        <v>RIP</v>
      </c>
      <c r="B1951" t="s">
        <v>1957</v>
      </c>
      <c r="C1951">
        <v>1.4010579649999999</v>
      </c>
      <c r="D1951">
        <v>0.10016038200000001</v>
      </c>
      <c r="E1951">
        <v>0.66828236799999996</v>
      </c>
      <c r="F1951">
        <v>0.46530260600000001</v>
      </c>
      <c r="G1951">
        <v>0.74080694899999999</v>
      </c>
      <c r="H1951">
        <v>4.26</v>
      </c>
      <c r="I1951">
        <v>3.0383483729625298</v>
      </c>
      <c r="J1951">
        <v>3.1826049499418199</v>
      </c>
      <c r="K1951">
        <v>2.8931856113368699</v>
      </c>
      <c r="L1951">
        <v>3.0120967545174602</v>
      </c>
      <c r="M1951">
        <v>3.1104766614521799</v>
      </c>
      <c r="N1951">
        <v>3.1096402639916798</v>
      </c>
      <c r="Q1951">
        <f t="shared" si="150"/>
        <v>4.26</v>
      </c>
      <c r="R1951">
        <f t="shared" si="152"/>
        <v>3.1639869340695133</v>
      </c>
      <c r="S1951">
        <f t="shared" si="153"/>
        <v>1.0960130659304865</v>
      </c>
      <c r="T1951">
        <f t="shared" si="154"/>
        <v>1.201244640690345</v>
      </c>
    </row>
    <row r="1952" spans="1:20" hidden="1" x14ac:dyDescent="0.25">
      <c r="A1952" t="str">
        <f t="shared" si="151"/>
        <v>RIP</v>
      </c>
      <c r="B1952" t="s">
        <v>1958</v>
      </c>
      <c r="C1952">
        <v>1.282005439</v>
      </c>
      <c r="D1952">
        <v>9.6967135999999995E-2</v>
      </c>
      <c r="E1952">
        <v>0.65824309299999995</v>
      </c>
      <c r="F1952">
        <v>0.42969443600000001</v>
      </c>
      <c r="G1952">
        <v>0.72205646999999995</v>
      </c>
      <c r="H1952">
        <v>3.34</v>
      </c>
      <c r="I1952">
        <v>2.9043621711515901</v>
      </c>
      <c r="J1952">
        <v>2.99161868818664</v>
      </c>
      <c r="K1952">
        <v>2.9554933874528202</v>
      </c>
      <c r="L1952">
        <v>3.0081806053824498</v>
      </c>
      <c r="M1952">
        <v>2.94799042966911</v>
      </c>
      <c r="N1952">
        <v>2.9476675776755101</v>
      </c>
      <c r="Q1952">
        <f t="shared" si="150"/>
        <v>3.34</v>
      </c>
      <c r="R1952">
        <f t="shared" si="152"/>
        <v>2.9921961767702174</v>
      </c>
      <c r="S1952">
        <f t="shared" si="153"/>
        <v>0.34780382322978243</v>
      </c>
      <c r="T1952">
        <f t="shared" si="154"/>
        <v>0.12096749945325375</v>
      </c>
    </row>
    <row r="1953" spans="1:20" hidden="1" x14ac:dyDescent="0.25">
      <c r="A1953" t="str">
        <f t="shared" si="151"/>
        <v>RIP</v>
      </c>
      <c r="B1953" t="s">
        <v>1959</v>
      </c>
      <c r="C1953">
        <v>1.1457485679999999</v>
      </c>
      <c r="D1953">
        <v>0.101759207</v>
      </c>
      <c r="E1953">
        <v>0.74343998600000005</v>
      </c>
      <c r="F1953">
        <v>0.52714354900000004</v>
      </c>
      <c r="G1953">
        <v>0.842882507</v>
      </c>
      <c r="H1953">
        <v>2.4300000000000002</v>
      </c>
      <c r="I1953">
        <v>4.1113154402292</v>
      </c>
      <c r="J1953">
        <v>3.8859967250796701</v>
      </c>
      <c r="K1953">
        <v>3.5034209894806998</v>
      </c>
      <c r="L1953">
        <v>3.51916369255754</v>
      </c>
      <c r="M1953">
        <v>3.9986560826544402</v>
      </c>
      <c r="N1953">
        <v>3.9970687180107598</v>
      </c>
      <c r="Q1953">
        <f t="shared" si="150"/>
        <v>2.4300000000000002</v>
      </c>
      <c r="R1953">
        <f t="shared" si="152"/>
        <v>3.9542414085862365</v>
      </c>
      <c r="S1953">
        <f t="shared" si="153"/>
        <v>-1.5242414085862364</v>
      </c>
      <c r="T1953">
        <f t="shared" si="154"/>
        <v>2.3233118716489538</v>
      </c>
    </row>
    <row r="1954" spans="1:20" hidden="1" x14ac:dyDescent="0.25">
      <c r="A1954" t="str">
        <f t="shared" si="151"/>
        <v>RIP</v>
      </c>
      <c r="B1954" t="s">
        <v>1960</v>
      </c>
      <c r="C1954">
        <v>1.0824859760000001</v>
      </c>
      <c r="D1954">
        <v>0.101777382</v>
      </c>
      <c r="E1954">
        <v>0.75087935500000003</v>
      </c>
      <c r="F1954">
        <v>0.48982024200000002</v>
      </c>
      <c r="G1954">
        <v>0.846682296</v>
      </c>
      <c r="H1954">
        <v>2.31</v>
      </c>
      <c r="I1954">
        <v>4.0239319707054104</v>
      </c>
      <c r="J1954">
        <v>3.8263096282385098</v>
      </c>
      <c r="K1954">
        <v>3.39624598159679</v>
      </c>
      <c r="L1954">
        <v>3.4125634889917502</v>
      </c>
      <c r="M1954">
        <v>3.9251207994719599</v>
      </c>
      <c r="N1954">
        <v>3.9238768638792498</v>
      </c>
      <c r="Q1954">
        <f t="shared" si="150"/>
        <v>2.31</v>
      </c>
      <c r="R1954">
        <f t="shared" si="152"/>
        <v>3.8854828389585969</v>
      </c>
      <c r="S1954">
        <f t="shared" si="153"/>
        <v>-1.5754828389585969</v>
      </c>
      <c r="T1954">
        <f t="shared" si="154"/>
        <v>2.4821461758530399</v>
      </c>
    </row>
    <row r="1955" spans="1:20" hidden="1" x14ac:dyDescent="0.25">
      <c r="A1955" t="str">
        <f t="shared" si="151"/>
        <v>RIP</v>
      </c>
      <c r="B1955" t="s">
        <v>1961</v>
      </c>
      <c r="C1955">
        <v>1.1315633519999999</v>
      </c>
      <c r="D1955">
        <v>0.10376598099999999</v>
      </c>
      <c r="E1955">
        <v>0.75244259899999999</v>
      </c>
      <c r="F1955">
        <v>0.51872276699999997</v>
      </c>
      <c r="G1955">
        <v>0.84775788500000004</v>
      </c>
      <c r="H1955">
        <v>3.41</v>
      </c>
      <c r="I1955">
        <v>4.2283247074053198</v>
      </c>
      <c r="J1955">
        <v>4.0084594013803798</v>
      </c>
      <c r="K1955">
        <v>3.1982420397197102</v>
      </c>
      <c r="L1955">
        <v>3.17777794031625</v>
      </c>
      <c r="M1955">
        <v>4.1183920543928503</v>
      </c>
      <c r="N1955">
        <v>4.1169245712652804</v>
      </c>
      <c r="Q1955">
        <f t="shared" si="150"/>
        <v>3.41</v>
      </c>
      <c r="R1955">
        <f t="shared" si="152"/>
        <v>4.0603227548393335</v>
      </c>
      <c r="S1955">
        <f t="shared" si="153"/>
        <v>-0.65032275483933333</v>
      </c>
      <c r="T1955">
        <f t="shared" si="154"/>
        <v>0.42291968546181963</v>
      </c>
    </row>
    <row r="1956" spans="1:20" hidden="1" x14ac:dyDescent="0.25">
      <c r="A1956" t="str">
        <f t="shared" si="151"/>
        <v>RIP</v>
      </c>
      <c r="B1956" t="s">
        <v>1962</v>
      </c>
      <c r="C1956">
        <v>1.099895928</v>
      </c>
      <c r="D1956">
        <v>9.9801321999999998E-2</v>
      </c>
      <c r="E1956">
        <v>0.74841816000000005</v>
      </c>
      <c r="F1956">
        <v>0.52552239199999995</v>
      </c>
      <c r="G1956">
        <v>0.84580209299999998</v>
      </c>
      <c r="H1956">
        <v>4.09</v>
      </c>
      <c r="I1956">
        <v>4.0070698154776201</v>
      </c>
      <c r="J1956">
        <v>3.8235763795077502</v>
      </c>
      <c r="K1956">
        <v>3.4747863331492801</v>
      </c>
      <c r="L1956">
        <v>3.48231128638791</v>
      </c>
      <c r="M1956">
        <v>3.9153230974926898</v>
      </c>
      <c r="N1956">
        <v>3.9142480117512601</v>
      </c>
      <c r="Q1956">
        <f t="shared" si="150"/>
        <v>4.09</v>
      </c>
      <c r="R1956">
        <f t="shared" si="152"/>
        <v>3.9128961055086693</v>
      </c>
      <c r="S1956">
        <f t="shared" si="153"/>
        <v>0.17710389449133057</v>
      </c>
      <c r="T1956">
        <f t="shared" si="154"/>
        <v>3.1365789443996352E-2</v>
      </c>
    </row>
    <row r="1957" spans="1:20" hidden="1" x14ac:dyDescent="0.25">
      <c r="A1957" t="str">
        <f t="shared" si="151"/>
        <v>RIP</v>
      </c>
      <c r="B1957" t="s">
        <v>1963</v>
      </c>
      <c r="C1957">
        <v>1.1267126199999999</v>
      </c>
      <c r="D1957">
        <v>9.7402332999999994E-2</v>
      </c>
      <c r="E1957">
        <v>0.75942983799999997</v>
      </c>
      <c r="F1957">
        <v>0.53090139599999997</v>
      </c>
      <c r="G1957">
        <v>0.84958348900000003</v>
      </c>
      <c r="H1957">
        <v>4.0999999999999996</v>
      </c>
      <c r="I1957">
        <v>3.7738775676017902</v>
      </c>
      <c r="J1957">
        <v>3.7095157566783299</v>
      </c>
      <c r="K1957">
        <v>3.4063981765162699</v>
      </c>
      <c r="L1957">
        <v>3.3952380635274602</v>
      </c>
      <c r="M1957">
        <v>3.7416966621400598</v>
      </c>
      <c r="N1957">
        <v>3.7415582717356899</v>
      </c>
      <c r="Q1957">
        <f t="shared" si="150"/>
        <v>4.0999999999999996</v>
      </c>
      <c r="R1957">
        <f t="shared" si="152"/>
        <v>3.8090533252490664</v>
      </c>
      <c r="S1957">
        <f t="shared" si="153"/>
        <v>0.29094667475093328</v>
      </c>
      <c r="T1957">
        <f t="shared" si="154"/>
        <v>8.464996754862536E-2</v>
      </c>
    </row>
    <row r="1958" spans="1:20" hidden="1" x14ac:dyDescent="0.25">
      <c r="A1958" t="str">
        <f t="shared" si="151"/>
        <v>RIP</v>
      </c>
      <c r="B1958" t="s">
        <v>1964</v>
      </c>
      <c r="C1958">
        <v>1.2027500470000001</v>
      </c>
      <c r="D1958">
        <v>9.8198202999999998E-2</v>
      </c>
      <c r="E1958">
        <v>0.69912102799999998</v>
      </c>
      <c r="F1958">
        <v>0.49979542100000002</v>
      </c>
      <c r="G1958">
        <v>0.79180411399999995</v>
      </c>
      <c r="H1958">
        <v>3.2</v>
      </c>
      <c r="I1958">
        <v>3.4779061881563398</v>
      </c>
      <c r="J1958">
        <v>3.4577278818521799</v>
      </c>
      <c r="K1958">
        <v>3.1278874164497399</v>
      </c>
      <c r="L1958">
        <v>3.12726865609618</v>
      </c>
      <c r="M1958">
        <v>3.4678170350042601</v>
      </c>
      <c r="N1958">
        <v>3.4678023584475501</v>
      </c>
      <c r="Q1958">
        <f t="shared" si="150"/>
        <v>3.2</v>
      </c>
      <c r="R1958">
        <f t="shared" si="152"/>
        <v>3.5148552483986846</v>
      </c>
      <c r="S1958">
        <f t="shared" si="153"/>
        <v>-0.3148552483986844</v>
      </c>
      <c r="T1958">
        <f t="shared" si="154"/>
        <v>9.9133827444197256E-2</v>
      </c>
    </row>
    <row r="1959" spans="1:20" hidden="1" x14ac:dyDescent="0.25">
      <c r="A1959" t="str">
        <f t="shared" si="151"/>
        <v>RIP</v>
      </c>
      <c r="B1959" t="s">
        <v>1965</v>
      </c>
      <c r="C1959">
        <v>1.192898904</v>
      </c>
      <c r="D1959">
        <v>9.6179698999999994E-2</v>
      </c>
      <c r="E1959">
        <v>0.70558185799999995</v>
      </c>
      <c r="F1959">
        <v>0.54466379099999995</v>
      </c>
      <c r="G1959">
        <v>0.79621951899999999</v>
      </c>
      <c r="H1959">
        <v>3.03</v>
      </c>
      <c r="I1959">
        <v>3.5852755642701601</v>
      </c>
      <c r="J1959">
        <v>3.54430862932707</v>
      </c>
      <c r="K1959">
        <v>3.3791420768417302</v>
      </c>
      <c r="L1959">
        <v>3.3998402100629801</v>
      </c>
      <c r="M1959">
        <v>3.5647920967986102</v>
      </c>
      <c r="N1959">
        <v>3.5647332468164001</v>
      </c>
      <c r="Q1959">
        <f t="shared" si="150"/>
        <v>3.03</v>
      </c>
      <c r="R1959">
        <f t="shared" si="152"/>
        <v>3.640405758947546</v>
      </c>
      <c r="S1959">
        <f t="shared" si="153"/>
        <v>-0.61040575894754623</v>
      </c>
      <c r="T1959">
        <f t="shared" si="154"/>
        <v>0.37259519055632989</v>
      </c>
    </row>
    <row r="1960" spans="1:20" hidden="1" x14ac:dyDescent="0.25">
      <c r="A1960" t="str">
        <f t="shared" si="151"/>
        <v>RIP</v>
      </c>
      <c r="B1960" t="s">
        <v>1966</v>
      </c>
      <c r="C1960">
        <v>1.2947654289999999</v>
      </c>
      <c r="D1960">
        <v>0.100178027</v>
      </c>
      <c r="E1960">
        <v>0.71462588299999996</v>
      </c>
      <c r="F1960">
        <v>0.55330329</v>
      </c>
      <c r="G1960">
        <v>0.81193928199999998</v>
      </c>
      <c r="H1960">
        <v>3.33</v>
      </c>
      <c r="I1960">
        <v>3.7457591739710598</v>
      </c>
      <c r="J1960">
        <v>3.6930904976329999</v>
      </c>
      <c r="K1960">
        <v>3.3053350466655398</v>
      </c>
      <c r="L1960">
        <v>3.3612220774208099</v>
      </c>
      <c r="M1960">
        <v>3.7194248358020299</v>
      </c>
      <c r="N1960">
        <v>3.7193316082078698</v>
      </c>
      <c r="Q1960">
        <f t="shared" si="150"/>
        <v>3.33</v>
      </c>
      <c r="R1960">
        <f t="shared" si="152"/>
        <v>3.753734339816984</v>
      </c>
      <c r="S1960">
        <f t="shared" si="153"/>
        <v>-0.42373433981698394</v>
      </c>
      <c r="T1960">
        <f t="shared" si="154"/>
        <v>0.17955079074013522</v>
      </c>
    </row>
    <row r="1961" spans="1:20" hidden="1" x14ac:dyDescent="0.25">
      <c r="A1961" t="str">
        <f t="shared" si="151"/>
        <v>RIP</v>
      </c>
      <c r="B1961" t="s">
        <v>1967</v>
      </c>
      <c r="C1961">
        <v>1.130377693</v>
      </c>
      <c r="D1961">
        <v>0.10019210200000001</v>
      </c>
      <c r="E1961">
        <v>0.71811435899999998</v>
      </c>
      <c r="F1961">
        <v>0.56261991099999997</v>
      </c>
      <c r="G1961">
        <v>0.80932346300000002</v>
      </c>
      <c r="H1961">
        <v>3.28</v>
      </c>
      <c r="I1961">
        <v>3.9369867219134802</v>
      </c>
      <c r="J1961">
        <v>3.8984927473487501</v>
      </c>
      <c r="K1961">
        <v>3.5845778797179801</v>
      </c>
      <c r="L1961">
        <v>3.5931571958573301</v>
      </c>
      <c r="M1961">
        <v>3.91773973463112</v>
      </c>
      <c r="N1961">
        <v>3.91769245625381</v>
      </c>
      <c r="Q1961">
        <f t="shared" si="150"/>
        <v>3.28</v>
      </c>
      <c r="R1961">
        <f t="shared" si="152"/>
        <v>4.0001184113403792</v>
      </c>
      <c r="S1961">
        <f t="shared" si="153"/>
        <v>-0.72011841134037935</v>
      </c>
      <c r="T1961">
        <f t="shared" si="154"/>
        <v>0.51857052635139178</v>
      </c>
    </row>
    <row r="1962" spans="1:20" hidden="1" x14ac:dyDescent="0.25">
      <c r="A1962" t="str">
        <f t="shared" si="151"/>
        <v>RIP</v>
      </c>
      <c r="B1962" t="s">
        <v>1968</v>
      </c>
      <c r="C1962">
        <v>1.191598809</v>
      </c>
      <c r="D1962">
        <v>9.7831378999999996E-2</v>
      </c>
      <c r="E1962">
        <v>0.72020479599999998</v>
      </c>
      <c r="F1962">
        <v>0.55620455300000005</v>
      </c>
      <c r="G1962">
        <v>0.81240910700000002</v>
      </c>
      <c r="H1962">
        <v>3.42</v>
      </c>
      <c r="I1962">
        <v>3.7274098473127801</v>
      </c>
      <c r="J1962">
        <v>3.6931416260904602</v>
      </c>
      <c r="K1962">
        <v>3.40827190025689</v>
      </c>
      <c r="L1962">
        <v>3.4342087587319798</v>
      </c>
      <c r="M1962">
        <v>3.7102757367016199</v>
      </c>
      <c r="N1962">
        <v>3.7102361736970799</v>
      </c>
      <c r="Q1962">
        <f t="shared" si="150"/>
        <v>3.42</v>
      </c>
      <c r="R1962">
        <f t="shared" si="152"/>
        <v>3.7901941449348566</v>
      </c>
      <c r="S1962">
        <f t="shared" si="153"/>
        <v>-0.37019414493485669</v>
      </c>
      <c r="T1962">
        <f t="shared" si="154"/>
        <v>0.13704370494404969</v>
      </c>
    </row>
    <row r="1963" spans="1:20" hidden="1" x14ac:dyDescent="0.25">
      <c r="A1963" t="str">
        <f t="shared" si="151"/>
        <v>RIP</v>
      </c>
      <c r="B1963" t="s">
        <v>1969</v>
      </c>
      <c r="C1963">
        <v>1.3437075709999999</v>
      </c>
      <c r="D1963">
        <v>8.8945509000000006E-2</v>
      </c>
      <c r="E1963">
        <v>0.73158936399999996</v>
      </c>
      <c r="F1963">
        <v>0.53721375400000004</v>
      </c>
      <c r="G1963">
        <v>0.81952517899999999</v>
      </c>
      <c r="H1963">
        <v>3.13</v>
      </c>
      <c r="I1963">
        <v>3.0838762488833402</v>
      </c>
      <c r="J1963">
        <v>3.0989455313025198</v>
      </c>
      <c r="K1963">
        <v>3.1078210136915598</v>
      </c>
      <c r="L1963">
        <v>3.1764862449684999</v>
      </c>
      <c r="M1963">
        <v>3.0914108900929298</v>
      </c>
      <c r="N1963">
        <v>3.09140170805526</v>
      </c>
      <c r="Q1963">
        <f t="shared" si="150"/>
        <v>3.13</v>
      </c>
      <c r="R1963">
        <f t="shared" si="152"/>
        <v>3.1812687757748765</v>
      </c>
      <c r="S1963">
        <f t="shared" si="153"/>
        <v>-5.1268775774876651E-2</v>
      </c>
      <c r="T1963">
        <f t="shared" si="154"/>
        <v>2.628487369454579E-3</v>
      </c>
    </row>
    <row r="1964" spans="1:20" hidden="1" x14ac:dyDescent="0.25">
      <c r="A1964" t="str">
        <f t="shared" si="151"/>
        <v>RIP</v>
      </c>
      <c r="B1964" t="s">
        <v>1970</v>
      </c>
      <c r="C1964">
        <v>1.1680314700000001</v>
      </c>
      <c r="D1964">
        <v>8.8253198000000005E-2</v>
      </c>
      <c r="E1964">
        <v>0.73558621999999996</v>
      </c>
      <c r="F1964">
        <v>0.55506124800000001</v>
      </c>
      <c r="G1964">
        <v>0.82097616600000001</v>
      </c>
      <c r="H1964">
        <v>3.66</v>
      </c>
      <c r="I1964">
        <v>3.3365612593926399</v>
      </c>
      <c r="J1964">
        <v>3.31972220148119</v>
      </c>
      <c r="K1964">
        <v>3.3726320936914602</v>
      </c>
      <c r="L1964">
        <v>3.3594269328424899</v>
      </c>
      <c r="M1964">
        <v>3.3281417304369199</v>
      </c>
      <c r="N1964">
        <v>3.3281310805627502</v>
      </c>
      <c r="Q1964">
        <f t="shared" si="150"/>
        <v>3.66</v>
      </c>
      <c r="R1964">
        <f t="shared" si="152"/>
        <v>3.4521948725705558</v>
      </c>
      <c r="S1964">
        <f t="shared" si="153"/>
        <v>0.20780512742944435</v>
      </c>
      <c r="T1964">
        <f t="shared" si="154"/>
        <v>4.31829709859676E-2</v>
      </c>
    </row>
    <row r="1965" spans="1:20" hidden="1" x14ac:dyDescent="0.25">
      <c r="A1965" t="str">
        <f t="shared" si="151"/>
        <v>RIP</v>
      </c>
      <c r="B1965" t="s">
        <v>1971</v>
      </c>
      <c r="C1965">
        <v>1.1513036130000001</v>
      </c>
      <c r="D1965">
        <v>8.9358655999999995E-2</v>
      </c>
      <c r="E1965">
        <v>0.72644456400000001</v>
      </c>
      <c r="F1965">
        <v>0.54460197300000002</v>
      </c>
      <c r="G1965">
        <v>0.81798064800000003</v>
      </c>
      <c r="H1965">
        <v>3.19</v>
      </c>
      <c r="I1965">
        <v>3.3760693915566802</v>
      </c>
      <c r="J1965">
        <v>3.3266168569266399</v>
      </c>
      <c r="K1965">
        <v>3.50477410491821</v>
      </c>
      <c r="L1965">
        <v>3.51717856117738</v>
      </c>
      <c r="M1965">
        <v>3.35134312424166</v>
      </c>
      <c r="N1965">
        <v>3.3512519075871499</v>
      </c>
      <c r="Q1965">
        <f t="shared" si="150"/>
        <v>3.19</v>
      </c>
      <c r="R1965">
        <f t="shared" si="152"/>
        <v>3.4534520142509177</v>
      </c>
      <c r="S1965">
        <f t="shared" si="153"/>
        <v>-0.2634520142509178</v>
      </c>
      <c r="T1965">
        <f t="shared" si="154"/>
        <v>6.9406963812865791E-2</v>
      </c>
    </row>
    <row r="1966" spans="1:20" hidden="1" x14ac:dyDescent="0.25">
      <c r="A1966" t="str">
        <f t="shared" si="151"/>
        <v>RIP</v>
      </c>
      <c r="B1966" t="s">
        <v>1972</v>
      </c>
      <c r="C1966">
        <v>1.204354334</v>
      </c>
      <c r="D1966">
        <v>9.6789346999999998E-2</v>
      </c>
      <c r="E1966">
        <v>0.73093844200000002</v>
      </c>
      <c r="F1966">
        <v>0.55753127700000005</v>
      </c>
      <c r="G1966">
        <v>0.82789329300000003</v>
      </c>
      <c r="H1966">
        <v>3.48</v>
      </c>
      <c r="I1966">
        <v>3.7301659118985699</v>
      </c>
      <c r="J1966">
        <v>3.65160382757445</v>
      </c>
      <c r="K1966">
        <v>3.4385705783470502</v>
      </c>
      <c r="L1966">
        <v>3.4506512487820702</v>
      </c>
      <c r="M1966">
        <v>3.69088486973651</v>
      </c>
      <c r="N1966">
        <v>3.6906758353147899</v>
      </c>
      <c r="Q1966">
        <f t="shared" si="150"/>
        <v>3.48</v>
      </c>
      <c r="R1966">
        <f t="shared" si="152"/>
        <v>3.7519987063372167</v>
      </c>
      <c r="S1966">
        <f t="shared" si="153"/>
        <v>-0.27199870633721668</v>
      </c>
      <c r="T1966">
        <f t="shared" si="154"/>
        <v>7.3983296249119437E-2</v>
      </c>
    </row>
    <row r="1967" spans="1:20" hidden="1" x14ac:dyDescent="0.25">
      <c r="A1967" t="str">
        <f t="shared" si="151"/>
        <v>RIP</v>
      </c>
      <c r="B1967" t="s">
        <v>1973</v>
      </c>
      <c r="C1967">
        <v>1.23864022</v>
      </c>
      <c r="D1967">
        <v>9.1496314999999995E-2</v>
      </c>
      <c r="E1967">
        <v>0.73345178200000005</v>
      </c>
      <c r="F1967">
        <v>0.57270406399999996</v>
      </c>
      <c r="G1967">
        <v>0.83246624000000002</v>
      </c>
      <c r="H1967">
        <v>3.43</v>
      </c>
      <c r="I1967">
        <v>3.5125179394000798</v>
      </c>
      <c r="J1967">
        <v>3.4393593856195399</v>
      </c>
      <c r="K1967">
        <v>3.34939922495602</v>
      </c>
      <c r="L1967">
        <v>3.3313091768549099</v>
      </c>
      <c r="M1967">
        <v>3.4759386625098099</v>
      </c>
      <c r="N1967">
        <v>3.4757461849267202</v>
      </c>
      <c r="Q1967">
        <f t="shared" si="150"/>
        <v>3.43</v>
      </c>
      <c r="R1967">
        <f t="shared" si="152"/>
        <v>3.5599091318996496</v>
      </c>
      <c r="S1967">
        <f t="shared" si="153"/>
        <v>-0.12990913189964948</v>
      </c>
      <c r="T1967">
        <f t="shared" si="154"/>
        <v>1.6876382550920527E-2</v>
      </c>
    </row>
    <row r="1968" spans="1:20" hidden="1" x14ac:dyDescent="0.25">
      <c r="A1968" t="str">
        <f t="shared" si="151"/>
        <v>RIP</v>
      </c>
      <c r="B1968" t="s">
        <v>1974</v>
      </c>
      <c r="C1968">
        <v>1.2401486020000001</v>
      </c>
      <c r="D1968">
        <v>9.2573656000000004E-2</v>
      </c>
      <c r="E1968">
        <v>0.73322086600000003</v>
      </c>
      <c r="F1968">
        <v>0.51760011399999994</v>
      </c>
      <c r="G1968">
        <v>0.81579286299999998</v>
      </c>
      <c r="H1968">
        <v>1.69</v>
      </c>
      <c r="I1968">
        <v>3.2442416822095099</v>
      </c>
      <c r="J1968">
        <v>3.2804751692638998</v>
      </c>
      <c r="K1968">
        <v>3.2536038701257102</v>
      </c>
      <c r="L1968">
        <v>3.3037968619261799</v>
      </c>
      <c r="M1968">
        <v>3.2623584257367</v>
      </c>
      <c r="N1968">
        <v>3.2623081218026</v>
      </c>
      <c r="Q1968">
        <f t="shared" si="150"/>
        <v>1.69</v>
      </c>
      <c r="R1968">
        <f t="shared" si="152"/>
        <v>3.3638498718325422</v>
      </c>
      <c r="S1968">
        <f t="shared" si="153"/>
        <v>-1.6738498718325423</v>
      </c>
      <c r="T1968">
        <f t="shared" si="154"/>
        <v>2.8017733934338183</v>
      </c>
    </row>
    <row r="1969" spans="1:20" hidden="1" x14ac:dyDescent="0.25">
      <c r="A1969" t="str">
        <f t="shared" si="151"/>
        <v>RIP</v>
      </c>
      <c r="B1969" t="s">
        <v>1975</v>
      </c>
      <c r="C1969">
        <v>1.211842756</v>
      </c>
      <c r="D1969">
        <v>9.2494381000000001E-2</v>
      </c>
      <c r="E1969">
        <v>0.73128347299999996</v>
      </c>
      <c r="F1969">
        <v>0.50083066600000004</v>
      </c>
      <c r="G1969">
        <v>0.809596757</v>
      </c>
      <c r="H1969">
        <v>2.92</v>
      </c>
      <c r="I1969">
        <v>3.1924867308751002</v>
      </c>
      <c r="J1969">
        <v>3.2407170273575598</v>
      </c>
      <c r="K1969">
        <v>3.2080746852517499</v>
      </c>
      <c r="L1969">
        <v>3.2574629550641401</v>
      </c>
      <c r="M1969">
        <v>3.2166018791163302</v>
      </c>
      <c r="N1969">
        <v>3.2165114811484798</v>
      </c>
      <c r="Q1969">
        <f t="shared" si="150"/>
        <v>2.92</v>
      </c>
      <c r="R1969">
        <f t="shared" si="152"/>
        <v>3.3199831870217267</v>
      </c>
      <c r="S1969">
        <f t="shared" si="153"/>
        <v>-0.39998318702172675</v>
      </c>
      <c r="T1969">
        <f t="shared" si="154"/>
        <v>0.15998654990005765</v>
      </c>
    </row>
    <row r="1970" spans="1:20" hidden="1" x14ac:dyDescent="0.25">
      <c r="A1970" t="str">
        <f t="shared" si="151"/>
        <v>RIP</v>
      </c>
      <c r="B1970" t="s">
        <v>1976</v>
      </c>
      <c r="C1970">
        <v>1.259105138</v>
      </c>
      <c r="D1970">
        <v>9.2161248000000001E-2</v>
      </c>
      <c r="E1970">
        <v>0.74409312100000002</v>
      </c>
      <c r="F1970">
        <v>0.51007468600000005</v>
      </c>
      <c r="G1970">
        <v>0.82610008300000004</v>
      </c>
      <c r="H1970">
        <v>2.78</v>
      </c>
      <c r="I1970">
        <v>3.1797262487379498</v>
      </c>
      <c r="J1970">
        <v>3.2336248848434601</v>
      </c>
      <c r="K1970">
        <v>3.18712569630876</v>
      </c>
      <c r="L1970">
        <v>3.1879854172106099</v>
      </c>
      <c r="M1970">
        <v>3.2066755667906999</v>
      </c>
      <c r="N1970">
        <v>3.2065623220060702</v>
      </c>
      <c r="Q1970">
        <f t="shared" si="150"/>
        <v>2.78</v>
      </c>
      <c r="R1970">
        <f t="shared" si="152"/>
        <v>3.3100875771335501</v>
      </c>
      <c r="S1970">
        <f t="shared" si="153"/>
        <v>-0.53008757713355026</v>
      </c>
      <c r="T1970">
        <f t="shared" si="154"/>
        <v>0.28099283943131759</v>
      </c>
    </row>
    <row r="1971" spans="1:20" hidden="1" x14ac:dyDescent="0.25">
      <c r="A1971" t="str">
        <f t="shared" si="151"/>
        <v>RIP</v>
      </c>
      <c r="B1971" t="s">
        <v>1977</v>
      </c>
      <c r="C1971">
        <v>1.3086501909999999</v>
      </c>
      <c r="D1971">
        <v>9.4260078999999997E-2</v>
      </c>
      <c r="E1971">
        <v>0.74660246100000005</v>
      </c>
      <c r="F1971">
        <v>0.51661203899999997</v>
      </c>
      <c r="G1971">
        <v>0.83779540799999996</v>
      </c>
      <c r="H1971">
        <v>2.74</v>
      </c>
      <c r="I1971">
        <v>3.3064803542499299</v>
      </c>
      <c r="J1971">
        <v>3.3040622810934002</v>
      </c>
      <c r="K1971">
        <v>3.0796527253561199</v>
      </c>
      <c r="L1971">
        <v>3.0805112867922202</v>
      </c>
      <c r="M1971">
        <v>3.3052713176716599</v>
      </c>
      <c r="N1971">
        <v>3.3052710965446601</v>
      </c>
      <c r="Q1971">
        <f t="shared" si="150"/>
        <v>2.74</v>
      </c>
      <c r="R1971">
        <f t="shared" si="152"/>
        <v>3.3675530662394721</v>
      </c>
      <c r="S1971">
        <f t="shared" si="153"/>
        <v>-0.62755306623947194</v>
      </c>
      <c r="T1971">
        <f t="shared" si="154"/>
        <v>0.39382285094656305</v>
      </c>
    </row>
    <row r="1972" spans="1:20" hidden="1" x14ac:dyDescent="0.25">
      <c r="A1972" t="str">
        <f t="shared" si="151"/>
        <v>RIP</v>
      </c>
      <c r="B1972" t="s">
        <v>1978</v>
      </c>
      <c r="C1972">
        <v>1.3465183970000001</v>
      </c>
      <c r="D1972">
        <v>9.4418032999999998E-2</v>
      </c>
      <c r="E1972">
        <v>0.74734155499999999</v>
      </c>
      <c r="F1972">
        <v>0.56711877200000005</v>
      </c>
      <c r="G1972">
        <v>0.83609899899999995</v>
      </c>
      <c r="H1972">
        <v>2.75</v>
      </c>
      <c r="I1972">
        <v>3.4327182903996301</v>
      </c>
      <c r="J1972">
        <v>3.4600504682313198</v>
      </c>
      <c r="K1972">
        <v>3.2165183162433801</v>
      </c>
      <c r="L1972">
        <v>3.1781220409150799</v>
      </c>
      <c r="M1972">
        <v>3.4463843793154698</v>
      </c>
      <c r="N1972">
        <v>3.4463572838583398</v>
      </c>
      <c r="Q1972">
        <f t="shared" si="150"/>
        <v>2.75</v>
      </c>
      <c r="R1972">
        <f t="shared" si="152"/>
        <v>3.5459387300943392</v>
      </c>
      <c r="S1972">
        <f t="shared" si="153"/>
        <v>-0.79593873009433924</v>
      </c>
      <c r="T1972">
        <f t="shared" si="154"/>
        <v>0.63351846206418938</v>
      </c>
    </row>
    <row r="1973" spans="1:20" hidden="1" x14ac:dyDescent="0.25">
      <c r="A1973" t="str">
        <f t="shared" si="151"/>
        <v>RIP</v>
      </c>
      <c r="B1973" t="s">
        <v>1979</v>
      </c>
      <c r="C1973">
        <v>1.27825802</v>
      </c>
      <c r="D1973">
        <v>8.6257821999999998E-2</v>
      </c>
      <c r="E1973">
        <v>0.71257518200000003</v>
      </c>
      <c r="F1973">
        <v>0.55515687999999996</v>
      </c>
      <c r="G1973">
        <v>0.78990121000000002</v>
      </c>
      <c r="H1973">
        <v>3.17</v>
      </c>
      <c r="I1973">
        <v>3.1489024153196401</v>
      </c>
      <c r="J1973">
        <v>3.10155934231901</v>
      </c>
      <c r="K1973">
        <v>3.3864461440981999</v>
      </c>
      <c r="L1973">
        <v>3.3835374584663298</v>
      </c>
      <c r="M1973">
        <v>3.1252308788193202</v>
      </c>
      <c r="N1973">
        <v>3.1251412294943601</v>
      </c>
      <c r="Q1973">
        <f t="shared" si="150"/>
        <v>3.17</v>
      </c>
      <c r="R1973">
        <f t="shared" si="152"/>
        <v>3.2130659958271401</v>
      </c>
      <c r="S1973">
        <f t="shared" si="153"/>
        <v>-4.3065995827140213E-2</v>
      </c>
      <c r="T1973">
        <f t="shared" si="154"/>
        <v>1.8546799965832583E-3</v>
      </c>
    </row>
    <row r="1974" spans="1:20" hidden="1" x14ac:dyDescent="0.25">
      <c r="A1974" t="str">
        <f t="shared" si="151"/>
        <v>RIP</v>
      </c>
      <c r="B1974" t="s">
        <v>1980</v>
      </c>
      <c r="C1974">
        <v>1.247733958</v>
      </c>
      <c r="D1974">
        <v>8.5375536000000002E-2</v>
      </c>
      <c r="E1974">
        <v>0.71211064599999996</v>
      </c>
      <c r="F1974">
        <v>0.55404766000000005</v>
      </c>
      <c r="G1974">
        <v>0.79603882100000001</v>
      </c>
      <c r="H1974">
        <v>3.14</v>
      </c>
      <c r="I1974">
        <v>3.15700496484844</v>
      </c>
      <c r="J1974">
        <v>3.0960488550668401</v>
      </c>
      <c r="K1974">
        <v>3.35797753605737</v>
      </c>
      <c r="L1974">
        <v>3.34182886575626</v>
      </c>
      <c r="M1974">
        <v>3.12652690995764</v>
      </c>
      <c r="N1974">
        <v>3.12637835312032</v>
      </c>
      <c r="Q1974">
        <f t="shared" si="150"/>
        <v>3.14</v>
      </c>
      <c r="R1974">
        <f t="shared" si="152"/>
        <v>3.2148127064217906</v>
      </c>
      <c r="S1974">
        <f t="shared" si="153"/>
        <v>-7.4812706421790498E-2</v>
      </c>
      <c r="T1974">
        <f t="shared" si="154"/>
        <v>5.5969410421530131E-3</v>
      </c>
    </row>
    <row r="1975" spans="1:20" hidden="1" x14ac:dyDescent="0.25">
      <c r="A1975" t="str">
        <f t="shared" si="151"/>
        <v>RIP</v>
      </c>
      <c r="B1975" t="s">
        <v>1981</v>
      </c>
      <c r="C1975">
        <v>1.013539239</v>
      </c>
      <c r="D1975">
        <v>8.6181381000000001E-2</v>
      </c>
      <c r="E1975">
        <v>0.72950506199999998</v>
      </c>
      <c r="F1975">
        <v>0.573000905</v>
      </c>
      <c r="G1975">
        <v>0.82767960200000001</v>
      </c>
      <c r="H1975">
        <v>3.7</v>
      </c>
      <c r="I1975">
        <v>3.5550277620094302</v>
      </c>
      <c r="J1975">
        <v>3.4542330018585101</v>
      </c>
      <c r="K1975">
        <v>3.8424714114710601</v>
      </c>
      <c r="L1975">
        <v>3.8283105582260801</v>
      </c>
      <c r="M1975">
        <v>3.5046303819339699</v>
      </c>
      <c r="N1975">
        <v>3.5042680003184898</v>
      </c>
      <c r="Q1975">
        <f t="shared" si="150"/>
        <v>3.7</v>
      </c>
      <c r="R1975">
        <f t="shared" si="152"/>
        <v>3.6342460721028775</v>
      </c>
      <c r="S1975">
        <f t="shared" si="153"/>
        <v>6.5753927897122644E-2</v>
      </c>
      <c r="T1975">
        <f t="shared" si="154"/>
        <v>4.3235790339000036E-3</v>
      </c>
    </row>
    <row r="1976" spans="1:20" hidden="1" x14ac:dyDescent="0.25">
      <c r="A1976" t="str">
        <f t="shared" si="151"/>
        <v>RIP</v>
      </c>
      <c r="B1976" t="s">
        <v>1982</v>
      </c>
      <c r="C1976">
        <v>1.2252517940000001</v>
      </c>
      <c r="D1976">
        <v>8.6529550999999996E-2</v>
      </c>
      <c r="E1976">
        <v>0.73287559700000005</v>
      </c>
      <c r="F1976">
        <v>0.52987476099999997</v>
      </c>
      <c r="G1976">
        <v>0.82752136499999995</v>
      </c>
      <c r="H1976">
        <v>4.08</v>
      </c>
      <c r="I1976">
        <v>3.1433310985304099</v>
      </c>
      <c r="J1976">
        <v>3.1017677013350702</v>
      </c>
      <c r="K1976">
        <v>3.1692350040292601</v>
      </c>
      <c r="L1976">
        <v>3.1433380338456902</v>
      </c>
      <c r="M1976">
        <v>3.1225493999327401</v>
      </c>
      <c r="N1976">
        <v>3.1224802442967801</v>
      </c>
      <c r="Q1976">
        <f t="shared" si="150"/>
        <v>4.08</v>
      </c>
      <c r="R1976">
        <f t="shared" si="152"/>
        <v>3.2096228191798608</v>
      </c>
      <c r="S1976">
        <f t="shared" si="153"/>
        <v>0.87037718082013926</v>
      </c>
      <c r="T1976">
        <f t="shared" si="154"/>
        <v>0.75755643689241337</v>
      </c>
    </row>
    <row r="1977" spans="1:20" hidden="1" x14ac:dyDescent="0.25">
      <c r="A1977" t="str">
        <f t="shared" si="151"/>
        <v>RIP</v>
      </c>
      <c r="B1977" t="s">
        <v>1983</v>
      </c>
      <c r="C1977">
        <v>0.996364158</v>
      </c>
      <c r="D1977">
        <v>8.2641892999999994E-2</v>
      </c>
      <c r="E1977">
        <v>0.72758636899999996</v>
      </c>
      <c r="F1977">
        <v>0.53779428699999998</v>
      </c>
      <c r="G1977">
        <v>0.826805805</v>
      </c>
      <c r="H1977">
        <v>3.31</v>
      </c>
      <c r="I1977">
        <v>3.3228321853467202</v>
      </c>
      <c r="J1977">
        <v>3.2168367611983202</v>
      </c>
      <c r="K1977">
        <v>3.5502129287730302</v>
      </c>
      <c r="L1977">
        <v>3.5357846216303899</v>
      </c>
      <c r="M1977">
        <v>3.2698344732725202</v>
      </c>
      <c r="N1977">
        <v>3.2694049496989899</v>
      </c>
      <c r="Q1977">
        <f t="shared" si="150"/>
        <v>3.31</v>
      </c>
      <c r="R1977">
        <f t="shared" si="152"/>
        <v>3.3838704334754013</v>
      </c>
      <c r="S1977">
        <f t="shared" si="153"/>
        <v>-7.3870433475401232E-2</v>
      </c>
      <c r="T1977">
        <f t="shared" si="154"/>
        <v>5.4568409418436787E-3</v>
      </c>
    </row>
    <row r="1978" spans="1:20" hidden="1" x14ac:dyDescent="0.25">
      <c r="A1978" t="str">
        <f t="shared" si="151"/>
        <v>RIP</v>
      </c>
      <c r="B1978" t="s">
        <v>1984</v>
      </c>
      <c r="C1978">
        <v>1.12557555</v>
      </c>
      <c r="D1978">
        <v>9.1821684000000001E-2</v>
      </c>
      <c r="E1978">
        <v>0.72124632600000005</v>
      </c>
      <c r="F1978">
        <v>0.52645816999999995</v>
      </c>
      <c r="G1978">
        <v>0.81761867300000002</v>
      </c>
      <c r="H1978">
        <v>3.29</v>
      </c>
      <c r="I1978">
        <v>3.45413956036308</v>
      </c>
      <c r="J1978">
        <v>3.3768113477709001</v>
      </c>
      <c r="K1978">
        <v>3.57678505483883</v>
      </c>
      <c r="L1978">
        <v>3.6172992749673898</v>
      </c>
      <c r="M1978">
        <v>3.41547545406699</v>
      </c>
      <c r="N1978">
        <v>3.4152566029829199</v>
      </c>
      <c r="Q1978">
        <f t="shared" si="150"/>
        <v>3.29</v>
      </c>
      <c r="R1978">
        <f t="shared" si="152"/>
        <v>3.4916359019941878</v>
      </c>
      <c r="S1978">
        <f t="shared" si="153"/>
        <v>-0.20163590199418779</v>
      </c>
      <c r="T1978">
        <f t="shared" si="154"/>
        <v>4.0657036973009708E-2</v>
      </c>
    </row>
    <row r="1979" spans="1:20" hidden="1" x14ac:dyDescent="0.25">
      <c r="A1979" t="str">
        <f t="shared" si="151"/>
        <v>RIP</v>
      </c>
      <c r="B1979" t="s">
        <v>1985</v>
      </c>
      <c r="C1979">
        <v>1.0933814100000001</v>
      </c>
      <c r="D1979">
        <v>8.9546354999999994E-2</v>
      </c>
      <c r="E1979">
        <v>0.719728217</v>
      </c>
      <c r="F1979">
        <v>0.51113925999999998</v>
      </c>
      <c r="G1979">
        <v>0.81314858199999995</v>
      </c>
      <c r="H1979">
        <v>3.19</v>
      </c>
      <c r="I1979">
        <v>3.3293389343967501</v>
      </c>
      <c r="J1979">
        <v>3.2586110728233502</v>
      </c>
      <c r="K1979">
        <v>3.4962559734021101</v>
      </c>
      <c r="L1979">
        <v>3.52195294206465</v>
      </c>
      <c r="M1979">
        <v>3.2939750036100501</v>
      </c>
      <c r="N1979">
        <v>3.2937851655514998</v>
      </c>
      <c r="Q1979">
        <f t="shared" si="150"/>
        <v>3.19</v>
      </c>
      <c r="R1979">
        <f t="shared" si="152"/>
        <v>3.3765334144940327</v>
      </c>
      <c r="S1979">
        <f t="shared" si="153"/>
        <v>-0.18653341449403271</v>
      </c>
      <c r="T1979">
        <f t="shared" si="154"/>
        <v>3.4794714722802614E-2</v>
      </c>
    </row>
    <row r="1980" spans="1:20" hidden="1" x14ac:dyDescent="0.25">
      <c r="A1980" t="str">
        <f t="shared" si="151"/>
        <v>RIP</v>
      </c>
      <c r="B1980" t="s">
        <v>1986</v>
      </c>
      <c r="C1980">
        <v>1.1577182109999999</v>
      </c>
      <c r="D1980">
        <v>9.1007693000000001E-2</v>
      </c>
      <c r="E1980">
        <v>0.72702325300000004</v>
      </c>
      <c r="F1980">
        <v>0.55185896099999998</v>
      </c>
      <c r="G1980">
        <v>0.82561870100000001</v>
      </c>
      <c r="H1980">
        <v>3.28</v>
      </c>
      <c r="I1980">
        <v>3.4979394051698698</v>
      </c>
      <c r="J1980">
        <v>3.4135151981795602</v>
      </c>
      <c r="K1980">
        <v>3.64530167892989</v>
      </c>
      <c r="L1980">
        <v>3.6624832165068901</v>
      </c>
      <c r="M1980">
        <v>3.4557273016747101</v>
      </c>
      <c r="N1980">
        <v>3.4554694792254401</v>
      </c>
      <c r="Q1980">
        <f t="shared" si="150"/>
        <v>3.28</v>
      </c>
      <c r="R1980">
        <f t="shared" si="152"/>
        <v>3.5395221328386492</v>
      </c>
      <c r="S1980">
        <f t="shared" si="153"/>
        <v>-0.25952213283864944</v>
      </c>
      <c r="T1980">
        <f t="shared" si="154"/>
        <v>6.7351737433121603E-2</v>
      </c>
    </row>
    <row r="1981" spans="1:20" hidden="1" x14ac:dyDescent="0.25">
      <c r="A1981" t="str">
        <f t="shared" si="151"/>
        <v>RIP</v>
      </c>
      <c r="B1981" t="s">
        <v>1987</v>
      </c>
      <c r="C1981">
        <v>1.12347496</v>
      </c>
      <c r="D1981">
        <v>8.8758215000000001E-2</v>
      </c>
      <c r="E1981">
        <v>0.71884347500000001</v>
      </c>
      <c r="F1981">
        <v>0.53684362900000004</v>
      </c>
      <c r="G1981">
        <v>0.81871456499999995</v>
      </c>
      <c r="H1981">
        <v>3.48</v>
      </c>
      <c r="I1981">
        <v>3.3899762684497299</v>
      </c>
      <c r="J1981">
        <v>3.2910894055302</v>
      </c>
      <c r="K1981">
        <v>3.5186835632703</v>
      </c>
      <c r="L1981">
        <v>3.53619341543178</v>
      </c>
      <c r="M1981">
        <v>3.3405328369899601</v>
      </c>
      <c r="N1981">
        <v>3.34016690931661</v>
      </c>
      <c r="Q1981">
        <f t="shared" si="150"/>
        <v>3.48</v>
      </c>
      <c r="R1981">
        <f t="shared" si="152"/>
        <v>3.4200289747291173</v>
      </c>
      <c r="S1981">
        <f t="shared" si="153"/>
        <v>5.9971025270882716E-2</v>
      </c>
      <c r="T1981">
        <f t="shared" si="154"/>
        <v>3.5965238720408535E-3</v>
      </c>
    </row>
    <row r="1982" spans="1:20" hidden="1" x14ac:dyDescent="0.25">
      <c r="A1982" t="str">
        <f t="shared" si="151"/>
        <v>RIP</v>
      </c>
      <c r="B1982" t="s">
        <v>1988</v>
      </c>
      <c r="C1982">
        <v>1.338480906</v>
      </c>
      <c r="D1982">
        <v>8.9306609999999995E-2</v>
      </c>
      <c r="E1982">
        <v>0.71598034700000002</v>
      </c>
      <c r="F1982">
        <v>0.54057592899999996</v>
      </c>
      <c r="G1982">
        <v>0.81513656199999995</v>
      </c>
      <c r="H1982">
        <v>3.04</v>
      </c>
      <c r="I1982">
        <v>3.1600032275633501</v>
      </c>
      <c r="J1982">
        <v>3.1065123787795601</v>
      </c>
      <c r="K1982">
        <v>3.1748654069636899</v>
      </c>
      <c r="L1982">
        <v>3.2142751467850301</v>
      </c>
      <c r="M1982">
        <v>3.1332578031714502</v>
      </c>
      <c r="N1982">
        <v>3.1331436518948399</v>
      </c>
      <c r="Q1982">
        <f t="shared" si="150"/>
        <v>3.04</v>
      </c>
      <c r="R1982">
        <f t="shared" si="152"/>
        <v>3.1904418170890638</v>
      </c>
      <c r="S1982">
        <f t="shared" si="153"/>
        <v>-0.15044181708906379</v>
      </c>
      <c r="T1982">
        <f t="shared" si="154"/>
        <v>2.2632740329059327E-2</v>
      </c>
    </row>
    <row r="1983" spans="1:20" hidden="1" x14ac:dyDescent="0.25">
      <c r="A1983" t="str">
        <f t="shared" si="151"/>
        <v>RIP</v>
      </c>
      <c r="B1983" t="s">
        <v>1989</v>
      </c>
      <c r="C1983">
        <v>1.1797037420000001</v>
      </c>
      <c r="D1983">
        <v>8.8937435999999995E-2</v>
      </c>
      <c r="E1983">
        <v>0.71804918799999995</v>
      </c>
      <c r="F1983">
        <v>0.50960814499999996</v>
      </c>
      <c r="G1983">
        <v>0.81158598100000001</v>
      </c>
      <c r="H1983">
        <v>3.54</v>
      </c>
      <c r="I1983">
        <v>3.1949828025781501</v>
      </c>
      <c r="J1983">
        <v>3.14048922837233</v>
      </c>
      <c r="K1983">
        <v>3.42467144172966</v>
      </c>
      <c r="L1983">
        <v>3.45441696535597</v>
      </c>
      <c r="M1983">
        <v>3.1677360154752399</v>
      </c>
      <c r="N1983">
        <v>3.1676188338137399</v>
      </c>
      <c r="Q1983">
        <f t="shared" si="150"/>
        <v>3.54</v>
      </c>
      <c r="R1983">
        <f t="shared" si="152"/>
        <v>3.2402710507422334</v>
      </c>
      <c r="S1983">
        <f t="shared" si="153"/>
        <v>0.29972894925776661</v>
      </c>
      <c r="T1983">
        <f t="shared" si="154"/>
        <v>8.9837443023164834E-2</v>
      </c>
    </row>
    <row r="1984" spans="1:20" hidden="1" x14ac:dyDescent="0.25">
      <c r="A1984" t="str">
        <f t="shared" si="151"/>
        <v>RIP</v>
      </c>
      <c r="B1984" t="s">
        <v>1990</v>
      </c>
      <c r="C1984">
        <v>1.045165406</v>
      </c>
      <c r="D1984">
        <v>9.1636770000000006E-2</v>
      </c>
      <c r="E1984">
        <v>0.71688921699999997</v>
      </c>
      <c r="F1984">
        <v>0.51436273600000004</v>
      </c>
      <c r="G1984">
        <v>0.81447056699999998</v>
      </c>
      <c r="H1984">
        <v>3.58</v>
      </c>
      <c r="I1984">
        <v>3.5006791319541102</v>
      </c>
      <c r="J1984">
        <v>3.3982357985951901</v>
      </c>
      <c r="K1984">
        <v>3.61297923082348</v>
      </c>
      <c r="L1984">
        <v>3.6374893403527699</v>
      </c>
      <c r="M1984">
        <v>3.4494574652746501</v>
      </c>
      <c r="N1984">
        <v>3.44907714404905</v>
      </c>
      <c r="Q1984">
        <f t="shared" si="150"/>
        <v>3.58</v>
      </c>
      <c r="R1984">
        <f t="shared" si="152"/>
        <v>3.5231097073432469</v>
      </c>
      <c r="S1984">
        <f t="shared" si="153"/>
        <v>5.6890292656753161E-2</v>
      </c>
      <c r="T1984">
        <f t="shared" si="154"/>
        <v>3.2365053985710227E-3</v>
      </c>
    </row>
    <row r="1985" spans="1:20" hidden="1" x14ac:dyDescent="0.25">
      <c r="A1985" t="str">
        <f t="shared" si="151"/>
        <v>RIP</v>
      </c>
      <c r="B1985" t="s">
        <v>1991</v>
      </c>
      <c r="C1985">
        <v>1.2808928180000001</v>
      </c>
      <c r="D1985">
        <v>8.8262418999999995E-2</v>
      </c>
      <c r="E1985">
        <v>0.72614216399999998</v>
      </c>
      <c r="F1985">
        <v>0.57373600400000002</v>
      </c>
      <c r="G1985">
        <v>0.82036943299999998</v>
      </c>
      <c r="H1985">
        <v>3.63</v>
      </c>
      <c r="I1985">
        <v>3.2995873648399598</v>
      </c>
      <c r="J1985">
        <v>3.2614249647102702</v>
      </c>
      <c r="K1985">
        <v>3.41400484135663</v>
      </c>
      <c r="L1985">
        <v>3.3826000066045299</v>
      </c>
      <c r="M1985">
        <v>3.2805061647751099</v>
      </c>
      <c r="N1985">
        <v>3.2804506710102501</v>
      </c>
      <c r="Q1985">
        <f t="shared" ref="Q1985:Q2048" si="155">H1985</f>
        <v>3.63</v>
      </c>
      <c r="R1985">
        <f t="shared" si="152"/>
        <v>3.3807362857105749</v>
      </c>
      <c r="S1985">
        <f t="shared" si="153"/>
        <v>0.24926371428942495</v>
      </c>
      <c r="T1985">
        <f t="shared" si="154"/>
        <v>6.213239926136007E-2</v>
      </c>
    </row>
    <row r="1986" spans="1:20" hidden="1" x14ac:dyDescent="0.25">
      <c r="A1986" t="str">
        <f t="shared" si="151"/>
        <v>RIP</v>
      </c>
      <c r="B1986" t="s">
        <v>1992</v>
      </c>
      <c r="C1986">
        <v>1.1488969609999999</v>
      </c>
      <c r="D1986">
        <v>8.7760146999999997E-2</v>
      </c>
      <c r="E1986">
        <v>0.71605172500000003</v>
      </c>
      <c r="F1986">
        <v>0.57408783200000002</v>
      </c>
      <c r="G1986">
        <v>0.81092100700000003</v>
      </c>
      <c r="H1986">
        <v>3.89</v>
      </c>
      <c r="I1986">
        <v>3.44705400991892</v>
      </c>
      <c r="J1986">
        <v>3.3605324412705202</v>
      </c>
      <c r="K1986">
        <v>3.5268545403133</v>
      </c>
      <c r="L1986">
        <v>3.4885063200331001</v>
      </c>
      <c r="M1986">
        <v>3.4037932255947201</v>
      </c>
      <c r="N1986">
        <v>3.4035183012794499</v>
      </c>
      <c r="Q1986">
        <f t="shared" si="155"/>
        <v>3.89</v>
      </c>
      <c r="R1986">
        <f t="shared" si="152"/>
        <v>3.5087691955429694</v>
      </c>
      <c r="S1986">
        <f t="shared" si="153"/>
        <v>0.38123080445703073</v>
      </c>
      <c r="T1986">
        <f t="shared" si="154"/>
        <v>0.1453369262669548</v>
      </c>
    </row>
    <row r="1987" spans="1:20" hidden="1" x14ac:dyDescent="0.25">
      <c r="A1987" t="str">
        <f t="shared" ref="A1987:A2050" si="156">LEFT(B1987,3)</f>
        <v>RIP</v>
      </c>
      <c r="B1987" t="s">
        <v>1993</v>
      </c>
      <c r="C1987">
        <v>1.2582386569999999</v>
      </c>
      <c r="D1987">
        <v>8.8482265000000004E-2</v>
      </c>
      <c r="E1987">
        <v>0.715567752</v>
      </c>
      <c r="F1987">
        <v>0.58996783100000005</v>
      </c>
      <c r="G1987">
        <v>0.81076902299999998</v>
      </c>
      <c r="H1987">
        <v>3.37</v>
      </c>
      <c r="I1987">
        <v>3.40259590210457</v>
      </c>
      <c r="J1987">
        <v>3.3359144993650101</v>
      </c>
      <c r="K1987">
        <v>3.3987879171281201</v>
      </c>
      <c r="L1987">
        <v>3.35614146403951</v>
      </c>
      <c r="M1987">
        <v>3.36925520073479</v>
      </c>
      <c r="N1987">
        <v>3.3690902340707001</v>
      </c>
      <c r="Q1987">
        <f t="shared" si="155"/>
        <v>3.37</v>
      </c>
      <c r="R1987">
        <f t="shared" ref="R1987:R2050" si="157">$X$2*F1987+$X$3*D1987*E1987+($X$4/(D1987-$X$5))-$X$6*C1987</f>
        <v>3.4690531627750572</v>
      </c>
      <c r="S1987">
        <f t="shared" ref="S1987:S2050" si="158">Q1987-R1987</f>
        <v>-9.9053162775057046E-2</v>
      </c>
      <c r="T1987">
        <f t="shared" ref="T1987:T2050" si="159">S1987^2</f>
        <v>9.8115290557419469E-3</v>
      </c>
    </row>
    <row r="1988" spans="1:20" hidden="1" x14ac:dyDescent="0.25">
      <c r="A1988" t="str">
        <f t="shared" si="156"/>
        <v>RIP</v>
      </c>
      <c r="B1988" t="s">
        <v>1994</v>
      </c>
      <c r="C1988">
        <v>1.118958055</v>
      </c>
      <c r="D1988">
        <v>9.2115469000000005E-2</v>
      </c>
      <c r="E1988">
        <v>0.74427542800000002</v>
      </c>
      <c r="F1988">
        <v>0.51265970800000005</v>
      </c>
      <c r="G1988">
        <v>0.827982722</v>
      </c>
      <c r="H1988">
        <v>3.26</v>
      </c>
      <c r="I1988">
        <v>3.3711022558353898</v>
      </c>
      <c r="J1988">
        <v>3.38161349920912</v>
      </c>
      <c r="K1988">
        <v>3.6221855455296801</v>
      </c>
      <c r="L1988">
        <v>3.6700583340930102</v>
      </c>
      <c r="M1988">
        <v>3.3763578775222598</v>
      </c>
      <c r="N1988">
        <v>3.3763537870826399</v>
      </c>
      <c r="Q1988">
        <f t="shared" si="155"/>
        <v>3.26</v>
      </c>
      <c r="R1988">
        <f t="shared" si="157"/>
        <v>3.4897662793404685</v>
      </c>
      <c r="S1988">
        <f t="shared" si="158"/>
        <v>-0.22976627934046867</v>
      </c>
      <c r="T1988">
        <f t="shared" si="159"/>
        <v>5.2792543121962278E-2</v>
      </c>
    </row>
    <row r="1989" spans="1:20" hidden="1" x14ac:dyDescent="0.25">
      <c r="A1989" t="str">
        <f t="shared" si="156"/>
        <v>RIP</v>
      </c>
      <c r="B1989" t="s">
        <v>1995</v>
      </c>
      <c r="C1989">
        <v>1.162241232</v>
      </c>
      <c r="D1989">
        <v>9.6000315000000003E-2</v>
      </c>
      <c r="E1989">
        <v>0.74574080300000001</v>
      </c>
      <c r="F1989">
        <v>0.54301740600000004</v>
      </c>
      <c r="G1989">
        <v>0.83223584100000003</v>
      </c>
      <c r="H1989">
        <v>2.95</v>
      </c>
      <c r="I1989">
        <v>3.6183427187655899</v>
      </c>
      <c r="J1989">
        <v>3.6269196026601098</v>
      </c>
      <c r="K1989">
        <v>3.52985891398869</v>
      </c>
      <c r="L1989">
        <v>3.5569018613333498</v>
      </c>
      <c r="M1989">
        <v>3.6226311607128499</v>
      </c>
      <c r="N1989">
        <v>3.6226286224002302</v>
      </c>
      <c r="Q1989">
        <f t="shared" si="155"/>
        <v>2.95</v>
      </c>
      <c r="R1989">
        <f t="shared" si="157"/>
        <v>3.7314692772651723</v>
      </c>
      <c r="S1989">
        <f t="shared" si="158"/>
        <v>-0.78146927726517212</v>
      </c>
      <c r="T1989">
        <f t="shared" si="159"/>
        <v>0.61069423130935041</v>
      </c>
    </row>
    <row r="1990" spans="1:20" hidden="1" x14ac:dyDescent="0.25">
      <c r="A1990" t="str">
        <f t="shared" si="156"/>
        <v>RIP</v>
      </c>
      <c r="B1990" t="s">
        <v>1996</v>
      </c>
      <c r="C1990">
        <v>1.204402328</v>
      </c>
      <c r="D1990">
        <v>9.9788000000000002E-2</v>
      </c>
      <c r="E1990">
        <v>0.74422137700000002</v>
      </c>
      <c r="F1990">
        <v>0.54773518399999999</v>
      </c>
      <c r="G1990">
        <v>0.826551535</v>
      </c>
      <c r="H1990">
        <v>3.52</v>
      </c>
      <c r="I1990">
        <v>3.7243541578421002</v>
      </c>
      <c r="J1990">
        <v>3.7927009412109101</v>
      </c>
      <c r="K1990">
        <v>3.61957815114065</v>
      </c>
      <c r="L1990">
        <v>3.6936217866817098</v>
      </c>
      <c r="M1990">
        <v>3.7585275495264998</v>
      </c>
      <c r="N1990">
        <v>3.7583721901709599</v>
      </c>
      <c r="Q1990">
        <f t="shared" si="155"/>
        <v>3.52</v>
      </c>
      <c r="R1990">
        <f t="shared" si="157"/>
        <v>3.8731449967720919</v>
      </c>
      <c r="S1990">
        <f t="shared" si="158"/>
        <v>-0.35314499677209188</v>
      </c>
      <c r="T1990">
        <f t="shared" si="159"/>
        <v>0.12471138874516079</v>
      </c>
    </row>
    <row r="1991" spans="1:20" hidden="1" x14ac:dyDescent="0.25">
      <c r="A1991" t="str">
        <f t="shared" si="156"/>
        <v>RIP</v>
      </c>
      <c r="B1991" t="s">
        <v>1997</v>
      </c>
      <c r="C1991">
        <v>1.134036654</v>
      </c>
      <c r="D1991">
        <v>9.5918003000000002E-2</v>
      </c>
      <c r="E1991">
        <v>0.75107527500000004</v>
      </c>
      <c r="F1991">
        <v>0.55413751899999997</v>
      </c>
      <c r="G1991">
        <v>0.83424529599999997</v>
      </c>
      <c r="H1991">
        <v>3.39</v>
      </c>
      <c r="I1991">
        <v>3.6733050619701699</v>
      </c>
      <c r="J1991">
        <v>3.7008586569817901</v>
      </c>
      <c r="K1991">
        <v>3.7254910354986199</v>
      </c>
      <c r="L1991">
        <v>3.74218178738424</v>
      </c>
      <c r="M1991">
        <v>3.6870818594759802</v>
      </c>
      <c r="N1991">
        <v>3.68705612085405</v>
      </c>
      <c r="Q1991">
        <f t="shared" si="155"/>
        <v>3.39</v>
      </c>
      <c r="R1991">
        <f t="shared" si="157"/>
        <v>3.8188788794990085</v>
      </c>
      <c r="S1991">
        <f t="shared" si="158"/>
        <v>-0.42887887949900838</v>
      </c>
      <c r="T1991">
        <f t="shared" si="159"/>
        <v>0.18393709328032495</v>
      </c>
    </row>
    <row r="1992" spans="1:20" hidden="1" x14ac:dyDescent="0.25">
      <c r="A1992" t="str">
        <f t="shared" si="156"/>
        <v>RIP</v>
      </c>
      <c r="B1992" t="s">
        <v>1998</v>
      </c>
      <c r="C1992">
        <v>1.1082969899999999</v>
      </c>
      <c r="D1992">
        <v>9.4857545000000001E-2</v>
      </c>
      <c r="E1992">
        <v>0.755322418</v>
      </c>
      <c r="F1992">
        <v>0.53345724999999999</v>
      </c>
      <c r="G1992">
        <v>0.83574253300000001</v>
      </c>
      <c r="H1992">
        <v>3.48</v>
      </c>
      <c r="I1992">
        <v>3.56613906510524</v>
      </c>
      <c r="J1992">
        <v>3.6078165814231098</v>
      </c>
      <c r="K1992">
        <v>3.5779649344773001</v>
      </c>
      <c r="L1992">
        <v>3.60000375840916</v>
      </c>
      <c r="M1992">
        <v>3.58697782326418</v>
      </c>
      <c r="N1992">
        <v>3.5869172907592102</v>
      </c>
      <c r="Q1992">
        <f t="shared" si="155"/>
        <v>3.48</v>
      </c>
      <c r="R1992">
        <f t="shared" si="157"/>
        <v>3.7228636183143324</v>
      </c>
      <c r="S1992">
        <f t="shared" si="158"/>
        <v>-0.24286361831433245</v>
      </c>
      <c r="T1992">
        <f t="shared" si="159"/>
        <v>5.8982737100729758E-2</v>
      </c>
    </row>
    <row r="1993" spans="1:20" hidden="1" x14ac:dyDescent="0.25">
      <c r="A1993" t="str">
        <f t="shared" si="156"/>
        <v>RIP</v>
      </c>
      <c r="B1993" t="s">
        <v>1999</v>
      </c>
      <c r="C1993">
        <v>1.0263592669999999</v>
      </c>
      <c r="D1993">
        <v>9.6007611000000007E-2</v>
      </c>
      <c r="E1993">
        <v>0.75326725999999999</v>
      </c>
      <c r="F1993">
        <v>0.54677661300000002</v>
      </c>
      <c r="G1993">
        <v>0.83638992199999995</v>
      </c>
      <c r="H1993">
        <v>3.8</v>
      </c>
      <c r="I1993">
        <v>3.7858499469347602</v>
      </c>
      <c r="J1993">
        <v>3.7894152722458299</v>
      </c>
      <c r="K1993">
        <v>3.7661412737542301</v>
      </c>
      <c r="L1993">
        <v>3.7850528900410398</v>
      </c>
      <c r="M1993">
        <v>3.7876326095902999</v>
      </c>
      <c r="N1993">
        <v>3.7876321900820402</v>
      </c>
      <c r="Q1993">
        <f t="shared" si="155"/>
        <v>3.8</v>
      </c>
      <c r="R1993">
        <f t="shared" si="157"/>
        <v>3.9257056023481152</v>
      </c>
      <c r="S1993">
        <f t="shared" si="158"/>
        <v>-0.12570560234811534</v>
      </c>
      <c r="T1993">
        <f t="shared" si="159"/>
        <v>1.5801898461702501E-2</v>
      </c>
    </row>
    <row r="1994" spans="1:20" hidden="1" x14ac:dyDescent="0.25">
      <c r="A1994" t="str">
        <f t="shared" si="156"/>
        <v>RIP</v>
      </c>
      <c r="B1994" t="s">
        <v>2000</v>
      </c>
      <c r="C1994">
        <v>1.1500278230000001</v>
      </c>
      <c r="D1994">
        <v>9.2871624999999999E-2</v>
      </c>
      <c r="E1994">
        <v>0.74966936500000003</v>
      </c>
      <c r="F1994">
        <v>0.56889298600000004</v>
      </c>
      <c r="G1994">
        <v>0.83224178599999998</v>
      </c>
      <c r="H1994">
        <v>3.49</v>
      </c>
      <c r="I1994">
        <v>3.57468089028451</v>
      </c>
      <c r="J1994">
        <v>3.5981130875626701</v>
      </c>
      <c r="K1994">
        <v>3.8993034884366802</v>
      </c>
      <c r="L1994">
        <v>3.90719540364928</v>
      </c>
      <c r="M1994">
        <v>3.5863969889235898</v>
      </c>
      <c r="N1994">
        <v>3.5863778517039799</v>
      </c>
      <c r="Q1994">
        <f t="shared" si="155"/>
        <v>3.49</v>
      </c>
      <c r="R1994">
        <f t="shared" si="157"/>
        <v>3.7322130556001616</v>
      </c>
      <c r="S1994">
        <f t="shared" si="158"/>
        <v>-0.24221305560016138</v>
      </c>
      <c r="T1994">
        <f t="shared" si="159"/>
        <v>5.8667164303166867E-2</v>
      </c>
    </row>
    <row r="1995" spans="1:20" hidden="1" x14ac:dyDescent="0.25">
      <c r="A1995" t="str">
        <f t="shared" si="156"/>
        <v>RIP</v>
      </c>
      <c r="B1995" t="s">
        <v>2001</v>
      </c>
      <c r="C1995">
        <v>1.231496012</v>
      </c>
      <c r="D1995">
        <v>9.7868457000000006E-2</v>
      </c>
      <c r="E1995">
        <v>0.74664852400000004</v>
      </c>
      <c r="F1995">
        <v>0.57460597199999996</v>
      </c>
      <c r="G1995">
        <v>0.83436837799999997</v>
      </c>
      <c r="H1995">
        <v>3.12</v>
      </c>
      <c r="I1995">
        <v>3.7565341478196901</v>
      </c>
      <c r="J1995">
        <v>3.7673174292722198</v>
      </c>
      <c r="K1995">
        <v>3.6391842349674799</v>
      </c>
      <c r="L1995">
        <v>3.6625075409415699</v>
      </c>
      <c r="M1995">
        <v>3.7619257885459598</v>
      </c>
      <c r="N1995">
        <v>3.7619219248593398</v>
      </c>
      <c r="Q1995">
        <f t="shared" si="155"/>
        <v>3.12</v>
      </c>
      <c r="R1995">
        <f t="shared" si="157"/>
        <v>3.8684256756305553</v>
      </c>
      <c r="S1995">
        <f t="shared" si="158"/>
        <v>-0.74842567563055518</v>
      </c>
      <c r="T1995">
        <f t="shared" si="159"/>
        <v>0.560140991943053</v>
      </c>
    </row>
    <row r="1996" spans="1:20" hidden="1" x14ac:dyDescent="0.25">
      <c r="A1996" t="str">
        <f t="shared" si="156"/>
        <v>RIP</v>
      </c>
      <c r="B1996" t="s">
        <v>2002</v>
      </c>
      <c r="C1996">
        <v>1.168874443</v>
      </c>
      <c r="D1996">
        <v>0.100955877</v>
      </c>
      <c r="E1996">
        <v>0.74238183899999999</v>
      </c>
      <c r="F1996">
        <v>0.54929362400000004</v>
      </c>
      <c r="G1996">
        <v>0.82986393800000002</v>
      </c>
      <c r="H1996">
        <v>3.3</v>
      </c>
      <c r="I1996">
        <v>3.8885358405299</v>
      </c>
      <c r="J1996">
        <v>3.8958580499466202</v>
      </c>
      <c r="K1996">
        <v>3.7236330934474302</v>
      </c>
      <c r="L1996">
        <v>3.7904532301806202</v>
      </c>
      <c r="M1996">
        <v>3.8921969452382599</v>
      </c>
      <c r="N1996">
        <v>3.8921952233713002</v>
      </c>
      <c r="Q1996">
        <f t="shared" si="155"/>
        <v>3.3</v>
      </c>
      <c r="R1996">
        <f t="shared" si="157"/>
        <v>3.9778711019294386</v>
      </c>
      <c r="S1996">
        <f t="shared" si="158"/>
        <v>-0.67787110192943878</v>
      </c>
      <c r="T1996">
        <f t="shared" si="159"/>
        <v>0.45950923083103157</v>
      </c>
    </row>
    <row r="1997" spans="1:20" hidden="1" x14ac:dyDescent="0.25">
      <c r="A1997" t="str">
        <f t="shared" si="156"/>
        <v>RIP</v>
      </c>
      <c r="B1997" t="s">
        <v>2003</v>
      </c>
      <c r="C1997">
        <v>1.112469792</v>
      </c>
      <c r="D1997">
        <v>9.9525400999999999E-2</v>
      </c>
      <c r="E1997">
        <v>0.74649150099999995</v>
      </c>
      <c r="F1997">
        <v>0.55764084700000005</v>
      </c>
      <c r="G1997">
        <v>0.83190368299999995</v>
      </c>
      <c r="H1997">
        <v>3.85</v>
      </c>
      <c r="I1997">
        <v>3.90058048977945</v>
      </c>
      <c r="J1997">
        <v>3.9106608580392099</v>
      </c>
      <c r="K1997">
        <v>3.88922334122574</v>
      </c>
      <c r="L1997">
        <v>3.9458455561235199</v>
      </c>
      <c r="M1997">
        <v>3.90562067390933</v>
      </c>
      <c r="N1997">
        <v>3.9056174217416499</v>
      </c>
      <c r="Q1997">
        <f t="shared" si="155"/>
        <v>3.85</v>
      </c>
      <c r="R1997">
        <f t="shared" si="157"/>
        <v>4.0184162476689167</v>
      </c>
      <c r="S1997">
        <f t="shared" si="158"/>
        <v>-0.16841624766891661</v>
      </c>
      <c r="T1997">
        <f t="shared" si="159"/>
        <v>2.8364032478877858E-2</v>
      </c>
    </row>
    <row r="1998" spans="1:20" hidden="1" x14ac:dyDescent="0.25">
      <c r="A1998" t="str">
        <f t="shared" si="156"/>
        <v>RIP</v>
      </c>
      <c r="B1998" t="s">
        <v>2004</v>
      </c>
      <c r="C1998">
        <v>1.1104270860000001</v>
      </c>
      <c r="D1998">
        <v>9.4762257000000003E-2</v>
      </c>
      <c r="E1998">
        <v>0.74205785700000004</v>
      </c>
      <c r="F1998">
        <v>0.52356502699999996</v>
      </c>
      <c r="G1998">
        <v>0.82993191600000005</v>
      </c>
      <c r="H1998">
        <v>3.89</v>
      </c>
      <c r="I1998">
        <v>3.5572563334957801</v>
      </c>
      <c r="J1998">
        <v>3.5432852144204099</v>
      </c>
      <c r="K1998">
        <v>3.5549779299281399</v>
      </c>
      <c r="L1998">
        <v>3.5822586389512101</v>
      </c>
      <c r="M1998">
        <v>3.5502707739580899</v>
      </c>
      <c r="N1998">
        <v>3.5502639015119599</v>
      </c>
      <c r="Q1998">
        <f t="shared" si="155"/>
        <v>3.89</v>
      </c>
      <c r="R1998">
        <f t="shared" si="157"/>
        <v>3.6514332567785588</v>
      </c>
      <c r="S1998">
        <f t="shared" si="158"/>
        <v>0.23856674322144134</v>
      </c>
      <c r="T1998">
        <f t="shared" si="159"/>
        <v>5.6914090971285122E-2</v>
      </c>
    </row>
    <row r="1999" spans="1:20" hidden="1" x14ac:dyDescent="0.25">
      <c r="A1999" t="str">
        <f t="shared" si="156"/>
        <v>RIP</v>
      </c>
      <c r="B1999" t="s">
        <v>2005</v>
      </c>
      <c r="C1999">
        <v>1.2603810550000001</v>
      </c>
      <c r="D1999">
        <v>9.4867408E-2</v>
      </c>
      <c r="E1999">
        <v>0.73256477600000003</v>
      </c>
      <c r="F1999">
        <v>0.54835170499999997</v>
      </c>
      <c r="G1999">
        <v>0.81642809500000002</v>
      </c>
      <c r="H1999">
        <v>2.54</v>
      </c>
      <c r="I1999">
        <v>3.4357333235904002</v>
      </c>
      <c r="J1999">
        <v>3.47366573909289</v>
      </c>
      <c r="K1999">
        <v>3.4753125061016701</v>
      </c>
      <c r="L1999">
        <v>3.5484932374864799</v>
      </c>
      <c r="M1999">
        <v>3.45469953134165</v>
      </c>
      <c r="N1999">
        <v>3.4546474689634801</v>
      </c>
      <c r="Q1999">
        <f t="shared" si="155"/>
        <v>2.54</v>
      </c>
      <c r="R1999">
        <f t="shared" si="157"/>
        <v>3.5640769003770423</v>
      </c>
      <c r="S1999">
        <f t="shared" si="158"/>
        <v>-1.0240769003770422</v>
      </c>
      <c r="T1999">
        <f t="shared" si="159"/>
        <v>1.0487334978858505</v>
      </c>
    </row>
    <row r="2000" spans="1:20" hidden="1" x14ac:dyDescent="0.25">
      <c r="A2000" t="str">
        <f t="shared" si="156"/>
        <v>RIP</v>
      </c>
      <c r="B2000" t="s">
        <v>2006</v>
      </c>
      <c r="C2000">
        <v>1.2176808830000001</v>
      </c>
      <c r="D2000">
        <v>0.100990014</v>
      </c>
      <c r="E2000">
        <v>0.74532776499999998</v>
      </c>
      <c r="F2000">
        <v>0.53482005799999999</v>
      </c>
      <c r="G2000">
        <v>0.82834513099999996</v>
      </c>
      <c r="H2000">
        <v>2.98</v>
      </c>
      <c r="I2000">
        <v>3.7271933268328099</v>
      </c>
      <c r="J2000">
        <v>3.8009716800742699</v>
      </c>
      <c r="K2000">
        <v>3.4526707900010098</v>
      </c>
      <c r="L2000">
        <v>3.5013934052679501</v>
      </c>
      <c r="M2000">
        <v>3.7640825034535399</v>
      </c>
      <c r="N2000">
        <v>3.7639017364236902</v>
      </c>
      <c r="Q2000">
        <f t="shared" si="155"/>
        <v>2.98</v>
      </c>
      <c r="R2000">
        <f t="shared" si="157"/>
        <v>3.8636233397842199</v>
      </c>
      <c r="S2000">
        <f t="shared" si="158"/>
        <v>-0.88362333978421992</v>
      </c>
      <c r="T2000">
        <f t="shared" si="159"/>
        <v>0.78079020661141896</v>
      </c>
    </row>
    <row r="2001" spans="1:20" hidden="1" x14ac:dyDescent="0.25">
      <c r="A2001" t="str">
        <f t="shared" si="156"/>
        <v>RIP</v>
      </c>
      <c r="B2001" t="s">
        <v>2007</v>
      </c>
      <c r="C2001">
        <v>1.380243659</v>
      </c>
      <c r="D2001">
        <v>0.10175551200000001</v>
      </c>
      <c r="E2001">
        <v>0.745900801</v>
      </c>
      <c r="F2001">
        <v>0.54286069299999995</v>
      </c>
      <c r="G2001">
        <v>0.83596842599999999</v>
      </c>
      <c r="H2001">
        <v>3.16</v>
      </c>
      <c r="I2001">
        <v>3.7002193316807999</v>
      </c>
      <c r="J2001">
        <v>3.7133246850640602</v>
      </c>
      <c r="K2001">
        <v>3.1412423373921299</v>
      </c>
      <c r="L2001">
        <v>3.1536344832475698</v>
      </c>
      <c r="M2001">
        <v>3.7067720083724298</v>
      </c>
      <c r="N2001">
        <v>3.7067662165938602</v>
      </c>
      <c r="Q2001">
        <f t="shared" si="155"/>
        <v>3.16</v>
      </c>
      <c r="R2001">
        <f t="shared" si="157"/>
        <v>3.7412443230762156</v>
      </c>
      <c r="S2001">
        <f t="shared" si="158"/>
        <v>-0.58124432307621543</v>
      </c>
      <c r="T2001">
        <f t="shared" si="159"/>
        <v>0.3378449631083279</v>
      </c>
    </row>
    <row r="2002" spans="1:20" hidden="1" x14ac:dyDescent="0.25">
      <c r="A2002" t="str">
        <f t="shared" si="156"/>
        <v>RIP</v>
      </c>
      <c r="B2002" t="s">
        <v>2008</v>
      </c>
      <c r="C2002">
        <v>1.2572273169999999</v>
      </c>
      <c r="D2002">
        <v>9.5425294999999993E-2</v>
      </c>
      <c r="E2002">
        <v>0.75446951500000003</v>
      </c>
      <c r="F2002">
        <v>0.57070181600000003</v>
      </c>
      <c r="G2002">
        <v>0.83766981299999999</v>
      </c>
      <c r="H2002">
        <v>3.65</v>
      </c>
      <c r="I2002">
        <v>3.5663487035785901</v>
      </c>
      <c r="J2002">
        <v>3.6207494465291101</v>
      </c>
      <c r="K2002">
        <v>3.4250976117674301</v>
      </c>
      <c r="L2002">
        <v>3.4230032953543499</v>
      </c>
      <c r="M2002">
        <v>3.5935490750538501</v>
      </c>
      <c r="N2002">
        <v>3.5934461307513699</v>
      </c>
      <c r="Q2002">
        <f t="shared" si="155"/>
        <v>3.65</v>
      </c>
      <c r="R2002">
        <f t="shared" si="157"/>
        <v>3.7246782000617782</v>
      </c>
      <c r="S2002">
        <f t="shared" si="158"/>
        <v>-7.4678200061778277E-2</v>
      </c>
      <c r="T2002">
        <f t="shared" si="159"/>
        <v>5.5768335644669808E-3</v>
      </c>
    </row>
    <row r="2003" spans="1:20" hidden="1" x14ac:dyDescent="0.25">
      <c r="A2003" t="str">
        <f t="shared" si="156"/>
        <v>RIP</v>
      </c>
      <c r="B2003" t="s">
        <v>2009</v>
      </c>
      <c r="C2003">
        <v>1.1006097749999999</v>
      </c>
      <c r="D2003">
        <v>9.5675929000000007E-2</v>
      </c>
      <c r="E2003">
        <v>0.74415624599999997</v>
      </c>
      <c r="F2003">
        <v>0.51875454099999996</v>
      </c>
      <c r="G2003">
        <v>0.82720759600000004</v>
      </c>
      <c r="H2003">
        <v>3.85</v>
      </c>
      <c r="I2003">
        <v>3.5586087323545699</v>
      </c>
      <c r="J2003">
        <v>3.58141104334744</v>
      </c>
      <c r="K2003">
        <v>3.5527486556063201</v>
      </c>
      <c r="L2003">
        <v>3.5963777633639298</v>
      </c>
      <c r="M2003">
        <v>3.570009887851</v>
      </c>
      <c r="N2003">
        <v>3.5699916824843299</v>
      </c>
      <c r="Q2003">
        <f t="shared" si="155"/>
        <v>3.85</v>
      </c>
      <c r="R2003">
        <f t="shared" si="157"/>
        <v>3.685431740262942</v>
      </c>
      <c r="S2003">
        <f t="shared" si="158"/>
        <v>0.16456825973705813</v>
      </c>
      <c r="T2003">
        <f t="shared" si="159"/>
        <v>2.7082712112883829E-2</v>
      </c>
    </row>
    <row r="2004" spans="1:20" hidden="1" x14ac:dyDescent="0.25">
      <c r="A2004" t="str">
        <f t="shared" si="156"/>
        <v>RIP</v>
      </c>
      <c r="B2004" t="s">
        <v>2010</v>
      </c>
      <c r="C2004">
        <v>1.240871775</v>
      </c>
      <c r="D2004">
        <v>9.7297566000000002E-2</v>
      </c>
      <c r="E2004">
        <v>0.74536967799999998</v>
      </c>
      <c r="F2004">
        <v>0.544136591</v>
      </c>
      <c r="G2004">
        <v>0.82865667700000001</v>
      </c>
      <c r="H2004">
        <v>3.13</v>
      </c>
      <c r="I2004">
        <v>3.5567481186893399</v>
      </c>
      <c r="J2004">
        <v>3.61511516946512</v>
      </c>
      <c r="K2004">
        <v>3.3349673693870501</v>
      </c>
      <c r="L2004">
        <v>3.36136634437577</v>
      </c>
      <c r="M2004">
        <v>3.5859316440772302</v>
      </c>
      <c r="N2004">
        <v>3.5858128894074102</v>
      </c>
      <c r="Q2004">
        <f t="shared" si="155"/>
        <v>3.13</v>
      </c>
      <c r="R2004">
        <f t="shared" si="157"/>
        <v>3.698059467399414</v>
      </c>
      <c r="S2004">
        <f t="shared" si="158"/>
        <v>-0.56805946739941415</v>
      </c>
      <c r="T2004">
        <f t="shared" si="159"/>
        <v>0.32269155850210607</v>
      </c>
    </row>
    <row r="2005" spans="1:20" hidden="1" x14ac:dyDescent="0.25">
      <c r="A2005" t="str">
        <f t="shared" si="156"/>
        <v>RIP</v>
      </c>
      <c r="B2005" t="s">
        <v>2011</v>
      </c>
      <c r="C2005">
        <v>1.2133885659999999</v>
      </c>
      <c r="D2005">
        <v>9.4688559000000005E-2</v>
      </c>
      <c r="E2005">
        <v>0.73960741600000002</v>
      </c>
      <c r="F2005">
        <v>0.53466589799999997</v>
      </c>
      <c r="G2005">
        <v>0.82390525999999997</v>
      </c>
      <c r="H2005">
        <v>3.32</v>
      </c>
      <c r="I2005">
        <v>3.4409439957185999</v>
      </c>
      <c r="J2005">
        <v>3.4737165367327698</v>
      </c>
      <c r="K2005">
        <v>3.4246371276716698</v>
      </c>
      <c r="L2005">
        <v>3.5017275044278602</v>
      </c>
      <c r="M2005">
        <v>3.45733026622568</v>
      </c>
      <c r="N2005">
        <v>3.4572914340418301</v>
      </c>
      <c r="Q2005">
        <f t="shared" si="155"/>
        <v>3.32</v>
      </c>
      <c r="R2005">
        <f t="shared" si="157"/>
        <v>3.5667929714411839</v>
      </c>
      <c r="S2005">
        <f t="shared" si="158"/>
        <v>-0.24679297144118406</v>
      </c>
      <c r="T2005">
        <f t="shared" si="159"/>
        <v>6.0906770752769089E-2</v>
      </c>
    </row>
    <row r="2006" spans="1:20" hidden="1" x14ac:dyDescent="0.25">
      <c r="A2006" t="str">
        <f t="shared" si="156"/>
        <v>RIP</v>
      </c>
      <c r="B2006" t="s">
        <v>2012</v>
      </c>
      <c r="C2006">
        <v>1.2941417879999999</v>
      </c>
      <c r="D2006">
        <v>9.6643308999999997E-2</v>
      </c>
      <c r="E2006">
        <v>0.73248971600000001</v>
      </c>
      <c r="F2006">
        <v>0.513039888</v>
      </c>
      <c r="G2006">
        <v>0.817767829</v>
      </c>
      <c r="H2006">
        <v>3.7</v>
      </c>
      <c r="I2006">
        <v>3.3353029603534599</v>
      </c>
      <c r="J2006">
        <v>3.3938932698992601</v>
      </c>
      <c r="K2006">
        <v>3.1179102744892</v>
      </c>
      <c r="L2006">
        <v>3.13280653997565</v>
      </c>
      <c r="M2006">
        <v>3.36459811512636</v>
      </c>
      <c r="N2006">
        <v>3.3644705779986599</v>
      </c>
      <c r="Q2006">
        <f t="shared" si="155"/>
        <v>3.7</v>
      </c>
      <c r="R2006">
        <f t="shared" si="157"/>
        <v>3.448490668896826</v>
      </c>
      <c r="S2006">
        <f t="shared" si="158"/>
        <v>0.25150933110317419</v>
      </c>
      <c r="T2006">
        <f t="shared" si="159"/>
        <v>6.32569436319661E-2</v>
      </c>
    </row>
    <row r="2007" spans="1:20" hidden="1" x14ac:dyDescent="0.25">
      <c r="A2007" t="str">
        <f t="shared" si="156"/>
        <v>RIP</v>
      </c>
      <c r="B2007" t="s">
        <v>2013</v>
      </c>
      <c r="C2007">
        <v>1.310183077</v>
      </c>
      <c r="D2007">
        <v>9.9007154E-2</v>
      </c>
      <c r="E2007">
        <v>0.73592271799999998</v>
      </c>
      <c r="F2007">
        <v>0.56324254799999995</v>
      </c>
      <c r="G2007">
        <v>0.83202704500000002</v>
      </c>
      <c r="H2007">
        <v>3.31</v>
      </c>
      <c r="I2007">
        <v>3.75086779508388</v>
      </c>
      <c r="J2007">
        <v>3.6877422113264799</v>
      </c>
      <c r="K2007">
        <v>3.2310716869179301</v>
      </c>
      <c r="L2007">
        <v>3.22113964015848</v>
      </c>
      <c r="M2007">
        <v>3.71930500320518</v>
      </c>
      <c r="N2007">
        <v>3.71917107660241</v>
      </c>
      <c r="Q2007">
        <f t="shared" si="155"/>
        <v>3.31</v>
      </c>
      <c r="R2007">
        <f t="shared" si="157"/>
        <v>3.758826679547369</v>
      </c>
      <c r="S2007">
        <f t="shared" si="158"/>
        <v>-0.44882667954736899</v>
      </c>
      <c r="T2007">
        <f t="shared" si="159"/>
        <v>0.20144538827351666</v>
      </c>
    </row>
    <row r="2008" spans="1:20" hidden="1" x14ac:dyDescent="0.25">
      <c r="A2008" t="str">
        <f t="shared" si="156"/>
        <v>RIP</v>
      </c>
      <c r="B2008" t="s">
        <v>2014</v>
      </c>
      <c r="C2008">
        <v>1.1762764859999999</v>
      </c>
      <c r="D2008">
        <v>9.7681972000000006E-2</v>
      </c>
      <c r="E2008">
        <v>0.73624179300000003</v>
      </c>
      <c r="F2008">
        <v>0.56294427800000002</v>
      </c>
      <c r="G2008">
        <v>0.83329543699999997</v>
      </c>
      <c r="H2008">
        <v>3.72</v>
      </c>
      <c r="I2008">
        <v>3.8512415752368598</v>
      </c>
      <c r="J2008">
        <v>3.75271750367174</v>
      </c>
      <c r="K2008">
        <v>3.56451807681582</v>
      </c>
      <c r="L2008">
        <v>3.6043019235774998</v>
      </c>
      <c r="M2008">
        <v>3.8019795394543001</v>
      </c>
      <c r="N2008">
        <v>3.8016603833403799</v>
      </c>
      <c r="Q2008">
        <f t="shared" si="155"/>
        <v>3.72</v>
      </c>
      <c r="R2008">
        <f t="shared" si="157"/>
        <v>3.8587664290456902</v>
      </c>
      <c r="S2008">
        <f t="shared" si="158"/>
        <v>-0.13876642904569003</v>
      </c>
      <c r="T2008">
        <f t="shared" si="159"/>
        <v>1.9256121830092527E-2</v>
      </c>
    </row>
    <row r="2009" spans="1:20" hidden="1" x14ac:dyDescent="0.25">
      <c r="A2009" t="str">
        <f t="shared" si="156"/>
        <v>RIP</v>
      </c>
      <c r="B2009" t="s">
        <v>2015</v>
      </c>
      <c r="C2009">
        <v>1.1328545489999999</v>
      </c>
      <c r="D2009">
        <v>0.100023204</v>
      </c>
      <c r="E2009">
        <v>0.763613129</v>
      </c>
      <c r="F2009">
        <v>0.55406031700000002</v>
      </c>
      <c r="G2009">
        <v>0.85431341999999999</v>
      </c>
      <c r="H2009">
        <v>3.25</v>
      </c>
      <c r="I2009">
        <v>4.0458145118419901</v>
      </c>
      <c r="J2009">
        <v>3.9338020348370102</v>
      </c>
      <c r="K2009">
        <v>3.55723495968381</v>
      </c>
      <c r="L2009">
        <v>3.5611055507115101</v>
      </c>
      <c r="M2009">
        <v>3.9898082733394999</v>
      </c>
      <c r="N2009">
        <v>3.9894151650658198</v>
      </c>
      <c r="Q2009">
        <f t="shared" si="155"/>
        <v>3.25</v>
      </c>
      <c r="R2009">
        <f t="shared" si="157"/>
        <v>4.0331984880349463</v>
      </c>
      <c r="S2009">
        <f t="shared" si="158"/>
        <v>-0.78319848803494629</v>
      </c>
      <c r="T2009">
        <f t="shared" si="159"/>
        <v>0.61339987166022591</v>
      </c>
    </row>
    <row r="2010" spans="1:20" hidden="1" x14ac:dyDescent="0.25">
      <c r="A2010" t="str">
        <f t="shared" si="156"/>
        <v>RIP</v>
      </c>
      <c r="B2010" t="s">
        <v>2016</v>
      </c>
      <c r="C2010">
        <v>1.0894622249999999</v>
      </c>
      <c r="D2010">
        <v>9.7837563000000002E-2</v>
      </c>
      <c r="E2010">
        <v>0.75740400900000004</v>
      </c>
      <c r="F2010">
        <v>0.54926881000000005</v>
      </c>
      <c r="G2010">
        <v>0.84592712699999995</v>
      </c>
      <c r="H2010">
        <v>3.28</v>
      </c>
      <c r="I2010">
        <v>3.8773003814889599</v>
      </c>
      <c r="J2010">
        <v>3.8328688846102699</v>
      </c>
      <c r="K2010">
        <v>3.7554108854304</v>
      </c>
      <c r="L2010">
        <v>3.79397467098465</v>
      </c>
      <c r="M2010">
        <v>3.85508463304962</v>
      </c>
      <c r="N2010">
        <v>3.8550206210209299</v>
      </c>
      <c r="Q2010">
        <f t="shared" si="155"/>
        <v>3.28</v>
      </c>
      <c r="R2010">
        <f t="shared" si="157"/>
        <v>3.9495373677914465</v>
      </c>
      <c r="S2010">
        <f t="shared" si="158"/>
        <v>-0.66953736779144668</v>
      </c>
      <c r="T2010">
        <f t="shared" si="159"/>
        <v>0.44828028686909893</v>
      </c>
    </row>
    <row r="2011" spans="1:20" hidden="1" x14ac:dyDescent="0.25">
      <c r="A2011" t="str">
        <f t="shared" si="156"/>
        <v>RIP</v>
      </c>
      <c r="B2011" t="s">
        <v>2017</v>
      </c>
      <c r="C2011">
        <v>0.98572731300000005</v>
      </c>
      <c r="D2011">
        <v>0.103577501</v>
      </c>
      <c r="E2011">
        <v>0.75383141799999998</v>
      </c>
      <c r="F2011">
        <v>0.47808852899999998</v>
      </c>
      <c r="G2011">
        <v>0.84274599500000003</v>
      </c>
      <c r="H2011">
        <v>3.98</v>
      </c>
      <c r="I2011">
        <v>4.0896775382142696</v>
      </c>
      <c r="J2011">
        <v>3.9955026382465499</v>
      </c>
      <c r="K2011">
        <v>3.44478618377831</v>
      </c>
      <c r="L2011">
        <v>3.4526294367817401</v>
      </c>
      <c r="M2011">
        <v>4.0425900882304102</v>
      </c>
      <c r="N2011">
        <v>4.04231584534321</v>
      </c>
      <c r="Q2011">
        <f t="shared" si="155"/>
        <v>3.98</v>
      </c>
      <c r="R2011">
        <f t="shared" si="157"/>
        <v>4.0552008401482524</v>
      </c>
      <c r="S2011">
        <f t="shared" si="158"/>
        <v>-7.5200840148252457E-2</v>
      </c>
      <c r="T2011">
        <f t="shared" si="159"/>
        <v>5.6551663590030188E-3</v>
      </c>
    </row>
    <row r="2012" spans="1:20" hidden="1" x14ac:dyDescent="0.25">
      <c r="A2012" t="str">
        <f t="shared" si="156"/>
        <v>RIP</v>
      </c>
      <c r="B2012" t="s">
        <v>2018</v>
      </c>
      <c r="C2012">
        <v>1.0564911370000001</v>
      </c>
      <c r="D2012">
        <v>9.6895878000000005E-2</v>
      </c>
      <c r="E2012">
        <v>0.73983432999999998</v>
      </c>
      <c r="F2012">
        <v>0.47135255599999998</v>
      </c>
      <c r="G2012">
        <v>0.82221731399999998</v>
      </c>
      <c r="H2012">
        <v>3.48</v>
      </c>
      <c r="I2012">
        <v>3.4701468762341299</v>
      </c>
      <c r="J2012">
        <v>3.5030346808881201</v>
      </c>
      <c r="K2012">
        <v>3.4605370701888201</v>
      </c>
      <c r="L2012">
        <v>3.4882591406638501</v>
      </c>
      <c r="M2012">
        <v>3.4865907785611299</v>
      </c>
      <c r="N2012">
        <v>3.48655200093499</v>
      </c>
      <c r="Q2012">
        <f t="shared" si="155"/>
        <v>3.48</v>
      </c>
      <c r="R2012">
        <f t="shared" si="157"/>
        <v>3.5821884332473415</v>
      </c>
      <c r="S2012">
        <f t="shared" si="158"/>
        <v>-0.1021884332473415</v>
      </c>
      <c r="T2012">
        <f t="shared" si="159"/>
        <v>1.044247588954637E-2</v>
      </c>
    </row>
    <row r="2013" spans="1:20" hidden="1" x14ac:dyDescent="0.25">
      <c r="A2013" t="str">
        <f t="shared" si="156"/>
        <v>RIP</v>
      </c>
      <c r="B2013" t="s">
        <v>2019</v>
      </c>
      <c r="C2013">
        <v>1.1131513449999999</v>
      </c>
      <c r="D2013">
        <v>0.10304885</v>
      </c>
      <c r="E2013">
        <v>0.74202198100000005</v>
      </c>
      <c r="F2013">
        <v>0.51660670600000003</v>
      </c>
      <c r="G2013">
        <v>0.835474088</v>
      </c>
      <c r="H2013">
        <v>2.83</v>
      </c>
      <c r="I2013">
        <v>4.0598600964566502</v>
      </c>
      <c r="J2013">
        <v>3.9552919854683801</v>
      </c>
      <c r="K2013">
        <v>3.4481387198208902</v>
      </c>
      <c r="L2013">
        <v>3.4676345726681301</v>
      </c>
      <c r="M2013">
        <v>4.0075760409625198</v>
      </c>
      <c r="N2013">
        <v>4.0072349696065803</v>
      </c>
      <c r="Q2013">
        <f t="shared" si="155"/>
        <v>2.83</v>
      </c>
      <c r="R2013">
        <f t="shared" si="157"/>
        <v>4.0147851512071107</v>
      </c>
      <c r="S2013">
        <f t="shared" si="158"/>
        <v>-1.1847851512071106</v>
      </c>
      <c r="T2013">
        <f t="shared" si="159"/>
        <v>1.4037158545208559</v>
      </c>
    </row>
    <row r="2014" spans="1:20" hidden="1" x14ac:dyDescent="0.25">
      <c r="A2014" t="str">
        <f t="shared" si="156"/>
        <v>RIP</v>
      </c>
      <c r="B2014" t="s">
        <v>2020</v>
      </c>
      <c r="C2014">
        <v>1.4281570509999999</v>
      </c>
      <c r="D2014">
        <v>9.2729505000000004E-2</v>
      </c>
      <c r="E2014">
        <v>0.74375612300000005</v>
      </c>
      <c r="F2014">
        <v>0.536088173</v>
      </c>
      <c r="G2014">
        <v>0.83328152099999997</v>
      </c>
      <c r="H2014">
        <v>3.64</v>
      </c>
      <c r="I2014">
        <v>3.14342193496514</v>
      </c>
      <c r="J2014">
        <v>3.1838909220849199</v>
      </c>
      <c r="K2014">
        <v>2.9091478556002199</v>
      </c>
      <c r="L2014">
        <v>2.9115021369718401</v>
      </c>
      <c r="M2014">
        <v>3.1636564285250302</v>
      </c>
      <c r="N2014">
        <v>3.1635917187617801</v>
      </c>
      <c r="Q2014">
        <f t="shared" si="155"/>
        <v>3.64</v>
      </c>
      <c r="R2014">
        <f t="shared" si="157"/>
        <v>3.2385060446677354</v>
      </c>
      <c r="S2014">
        <f t="shared" si="158"/>
        <v>0.40149395533226473</v>
      </c>
      <c r="T2014">
        <f t="shared" si="159"/>
        <v>0.16119739616834658</v>
      </c>
    </row>
    <row r="2015" spans="1:20" hidden="1" x14ac:dyDescent="0.25">
      <c r="A2015" t="str">
        <f t="shared" si="156"/>
        <v>RIP</v>
      </c>
      <c r="B2015" t="s">
        <v>2021</v>
      </c>
      <c r="C2015">
        <v>1.420905893</v>
      </c>
      <c r="D2015">
        <v>9.1437252999999996E-2</v>
      </c>
      <c r="E2015">
        <v>0.74637235700000004</v>
      </c>
      <c r="F2015">
        <v>0.576598944</v>
      </c>
      <c r="G2015">
        <v>0.83284612499999999</v>
      </c>
      <c r="H2015">
        <v>3.38</v>
      </c>
      <c r="I2015">
        <v>3.23303446792062</v>
      </c>
      <c r="J2015">
        <v>3.2893209869678302</v>
      </c>
      <c r="K2015">
        <v>3.1338222636371298</v>
      </c>
      <c r="L2015">
        <v>3.11977403993669</v>
      </c>
      <c r="M2015">
        <v>3.2611777274442302</v>
      </c>
      <c r="N2015">
        <v>3.2610562900572102</v>
      </c>
      <c r="Q2015">
        <f t="shared" si="155"/>
        <v>3.38</v>
      </c>
      <c r="R2015">
        <f t="shared" si="157"/>
        <v>3.374118306907067</v>
      </c>
      <c r="S2015">
        <f t="shared" si="158"/>
        <v>5.8816930929328493E-3</v>
      </c>
      <c r="T2015">
        <f t="shared" si="159"/>
        <v>3.4594313639453989E-5</v>
      </c>
    </row>
    <row r="2016" spans="1:20" hidden="1" x14ac:dyDescent="0.25">
      <c r="A2016" t="str">
        <f t="shared" si="156"/>
        <v>RIP</v>
      </c>
      <c r="B2016" t="s">
        <v>2022</v>
      </c>
      <c r="C2016">
        <v>1.306674753</v>
      </c>
      <c r="D2016">
        <v>9.0076508E-2</v>
      </c>
      <c r="E2016">
        <v>0.74581760900000005</v>
      </c>
      <c r="F2016">
        <v>0.54868907899999997</v>
      </c>
      <c r="G2016">
        <v>0.83449593</v>
      </c>
      <c r="H2016">
        <v>3.55</v>
      </c>
      <c r="I2016">
        <v>3.22756909611513</v>
      </c>
      <c r="J2016">
        <v>3.24460610312252</v>
      </c>
      <c r="K2016">
        <v>3.26060368823171</v>
      </c>
      <c r="L2016">
        <v>3.2660358567660999</v>
      </c>
      <c r="M2016">
        <v>3.2360875996188301</v>
      </c>
      <c r="N2016">
        <v>3.2360763877734402</v>
      </c>
      <c r="Q2016">
        <f t="shared" si="155"/>
        <v>3.55</v>
      </c>
      <c r="R2016">
        <f t="shared" si="157"/>
        <v>3.3400739324226612</v>
      </c>
      <c r="S2016">
        <f t="shared" si="158"/>
        <v>0.20992606757733867</v>
      </c>
      <c r="T2016">
        <f t="shared" si="159"/>
        <v>4.4068953848485359E-2</v>
      </c>
    </row>
    <row r="2017" spans="1:20" hidden="1" x14ac:dyDescent="0.25">
      <c r="A2017" t="str">
        <f t="shared" si="156"/>
        <v>RIP</v>
      </c>
      <c r="B2017" t="s">
        <v>2023</v>
      </c>
      <c r="C2017">
        <v>1.2020415449999999</v>
      </c>
      <c r="D2017">
        <v>9.2312535000000001E-2</v>
      </c>
      <c r="E2017">
        <v>0.75277155699999998</v>
      </c>
      <c r="F2017">
        <v>0.56028239199999996</v>
      </c>
      <c r="G2017">
        <v>0.841237032</v>
      </c>
      <c r="H2017">
        <v>3.7</v>
      </c>
      <c r="I2017">
        <v>3.4968424300347101</v>
      </c>
      <c r="J2017">
        <v>3.4953306378596598</v>
      </c>
      <c r="K2017">
        <v>3.3632233045467799</v>
      </c>
      <c r="L2017">
        <v>3.3321243370139202</v>
      </c>
      <c r="M2017">
        <v>3.49608653394719</v>
      </c>
      <c r="N2017">
        <v>3.4960864522302599</v>
      </c>
      <c r="Q2017">
        <f t="shared" si="155"/>
        <v>3.7</v>
      </c>
      <c r="R2017">
        <f t="shared" si="157"/>
        <v>3.6148296085222364</v>
      </c>
      <c r="S2017">
        <f t="shared" si="158"/>
        <v>8.5170391477763729E-2</v>
      </c>
      <c r="T2017">
        <f t="shared" si="159"/>
        <v>7.2539955844755288E-3</v>
      </c>
    </row>
    <row r="2018" spans="1:20" hidden="1" x14ac:dyDescent="0.25">
      <c r="A2018" t="str">
        <f t="shared" si="156"/>
        <v>RIP</v>
      </c>
      <c r="B2018" t="s">
        <v>2024</v>
      </c>
      <c r="C2018">
        <v>1.3602294989999999</v>
      </c>
      <c r="D2018">
        <v>9.3131543999999997E-2</v>
      </c>
      <c r="E2018">
        <v>0.75273625799999999</v>
      </c>
      <c r="F2018">
        <v>0.58975097799999998</v>
      </c>
      <c r="G2018">
        <v>0.84363701400000002</v>
      </c>
      <c r="H2018">
        <v>3.74</v>
      </c>
      <c r="I2018">
        <v>3.4712876886744</v>
      </c>
      <c r="J2018">
        <v>3.4807706068841502</v>
      </c>
      <c r="K2018">
        <v>3.1642109541888299</v>
      </c>
      <c r="L2018">
        <v>3.0957854290626701</v>
      </c>
      <c r="M2018">
        <v>3.47602914777928</v>
      </c>
      <c r="N2018">
        <v>3.4760259139967098</v>
      </c>
      <c r="Q2018">
        <f t="shared" si="155"/>
        <v>3.74</v>
      </c>
      <c r="R2018">
        <f t="shared" si="157"/>
        <v>3.5820984907153628</v>
      </c>
      <c r="S2018">
        <f t="shared" si="158"/>
        <v>0.15790150928463742</v>
      </c>
      <c r="T2018">
        <f t="shared" si="159"/>
        <v>2.4932886634366436E-2</v>
      </c>
    </row>
    <row r="2019" spans="1:20" hidden="1" x14ac:dyDescent="0.25">
      <c r="A2019" t="str">
        <f t="shared" si="156"/>
        <v>RIP</v>
      </c>
      <c r="B2019" t="s">
        <v>2025</v>
      </c>
      <c r="C2019">
        <v>1.1786304329999999</v>
      </c>
      <c r="D2019">
        <v>9.4989497000000006E-2</v>
      </c>
      <c r="E2019">
        <v>0.74527407300000004</v>
      </c>
      <c r="F2019">
        <v>0.55749036600000001</v>
      </c>
      <c r="G2019">
        <v>0.83543122999999997</v>
      </c>
      <c r="H2019">
        <v>3.25</v>
      </c>
      <c r="I2019">
        <v>3.6368052855794799</v>
      </c>
      <c r="J2019">
        <v>3.61540278788411</v>
      </c>
      <c r="K2019">
        <v>3.6452346182005102</v>
      </c>
      <c r="L2019">
        <v>3.7310736485803302</v>
      </c>
      <c r="M2019">
        <v>3.6261040367318</v>
      </c>
      <c r="N2019">
        <v>3.6260882460960202</v>
      </c>
      <c r="Q2019">
        <f t="shared" si="155"/>
        <v>3.25</v>
      </c>
      <c r="R2019">
        <f t="shared" si="157"/>
        <v>3.7291441487820611</v>
      </c>
      <c r="S2019">
        <f t="shared" si="158"/>
        <v>-0.47914414878206113</v>
      </c>
      <c r="T2019">
        <f t="shared" si="159"/>
        <v>0.22957911531208594</v>
      </c>
    </row>
    <row r="2020" spans="1:20" hidden="1" x14ac:dyDescent="0.25">
      <c r="A2020" t="str">
        <f t="shared" si="156"/>
        <v>RIP</v>
      </c>
      <c r="B2020" t="s">
        <v>2026</v>
      </c>
      <c r="C2020">
        <v>1.1785292380000001</v>
      </c>
      <c r="D2020">
        <v>9.2979292000000005E-2</v>
      </c>
      <c r="E2020">
        <v>0.74265127799999997</v>
      </c>
      <c r="F2020">
        <v>0.54766032600000003</v>
      </c>
      <c r="G2020">
        <v>0.83228488</v>
      </c>
      <c r="H2020">
        <v>3.47</v>
      </c>
      <c r="I2020">
        <v>3.50069242889847</v>
      </c>
      <c r="J2020">
        <v>3.4850643855367802</v>
      </c>
      <c r="K2020">
        <v>3.4735569909576598</v>
      </c>
      <c r="L2020">
        <v>3.4951926593943798</v>
      </c>
      <c r="M2020">
        <v>3.4928784072176202</v>
      </c>
      <c r="N2020">
        <v>3.49286966671708</v>
      </c>
      <c r="Q2020">
        <f t="shared" si="155"/>
        <v>3.47</v>
      </c>
      <c r="R2020">
        <f t="shared" si="157"/>
        <v>3.5993444358020343</v>
      </c>
      <c r="S2020">
        <f t="shared" si="158"/>
        <v>-0.12934443580203414</v>
      </c>
      <c r="T2020">
        <f t="shared" si="159"/>
        <v>1.6729983072946531E-2</v>
      </c>
    </row>
    <row r="2021" spans="1:20" hidden="1" x14ac:dyDescent="0.25">
      <c r="A2021" t="str">
        <f t="shared" si="156"/>
        <v>RIP</v>
      </c>
      <c r="B2021" t="s">
        <v>2027</v>
      </c>
      <c r="C2021">
        <v>1.3240932889999999</v>
      </c>
      <c r="D2021">
        <v>9.1678285999999998E-2</v>
      </c>
      <c r="E2021">
        <v>0.73545478900000005</v>
      </c>
      <c r="F2021">
        <v>0.56300471200000002</v>
      </c>
      <c r="G2021">
        <v>0.82784220900000005</v>
      </c>
      <c r="H2021">
        <v>3.63</v>
      </c>
      <c r="I2021">
        <v>3.3358546312900499</v>
      </c>
      <c r="J2021">
        <v>3.3290155681521298</v>
      </c>
      <c r="K2021">
        <v>3.37393878718634</v>
      </c>
      <c r="L2021">
        <v>3.4558719091269299</v>
      </c>
      <c r="M2021">
        <v>3.3324350997210899</v>
      </c>
      <c r="N2021">
        <v>3.3324333452684298</v>
      </c>
      <c r="Q2021">
        <f t="shared" si="155"/>
        <v>3.63</v>
      </c>
      <c r="R2021">
        <f t="shared" si="157"/>
        <v>3.424955492579639</v>
      </c>
      <c r="S2021">
        <f t="shared" si="158"/>
        <v>0.20504450742036084</v>
      </c>
      <c r="T2021">
        <f t="shared" si="159"/>
        <v>4.2043250023258413E-2</v>
      </c>
    </row>
    <row r="2022" spans="1:20" hidden="1" x14ac:dyDescent="0.25">
      <c r="A2022" t="str">
        <f t="shared" si="156"/>
        <v>RIP</v>
      </c>
      <c r="B2022" t="s">
        <v>2028</v>
      </c>
      <c r="C2022">
        <v>1.3218100859999999</v>
      </c>
      <c r="D2022">
        <v>9.1992735000000006E-2</v>
      </c>
      <c r="E2022">
        <v>0.75224885799999996</v>
      </c>
      <c r="F2022">
        <v>0.61640030000000001</v>
      </c>
      <c r="G2022">
        <v>0.84401962100000005</v>
      </c>
      <c r="H2022">
        <v>3.14</v>
      </c>
      <c r="I2022">
        <v>3.5677918674389701</v>
      </c>
      <c r="J2022">
        <v>3.56721423322923</v>
      </c>
      <c r="K2022">
        <v>3.4094219909268002</v>
      </c>
      <c r="L2022">
        <v>3.3198772040947802</v>
      </c>
      <c r="M2022">
        <v>3.5675030503340999</v>
      </c>
      <c r="N2022">
        <v>3.5675030386431099</v>
      </c>
      <c r="Q2022">
        <f t="shared" si="155"/>
        <v>3.14</v>
      </c>
      <c r="R2022">
        <f t="shared" si="157"/>
        <v>3.6964206447658849</v>
      </c>
      <c r="S2022">
        <f t="shared" si="158"/>
        <v>-0.55642064476588482</v>
      </c>
      <c r="T2022">
        <f t="shared" si="159"/>
        <v>0.30960393392168301</v>
      </c>
    </row>
    <row r="2023" spans="1:20" hidden="1" x14ac:dyDescent="0.25">
      <c r="A2023" t="str">
        <f t="shared" si="156"/>
        <v>RIP</v>
      </c>
      <c r="B2023" t="s">
        <v>2029</v>
      </c>
      <c r="C2023">
        <v>1.2998226310000001</v>
      </c>
      <c r="D2023">
        <v>9.1377509999999995E-2</v>
      </c>
      <c r="E2023">
        <v>0.74752848000000005</v>
      </c>
      <c r="F2023">
        <v>0.59523176300000002</v>
      </c>
      <c r="G2023">
        <v>0.83308305800000004</v>
      </c>
      <c r="H2023">
        <v>3.19</v>
      </c>
      <c r="I2023">
        <v>3.4443095036045501</v>
      </c>
      <c r="J2023">
        <v>3.47817259428823</v>
      </c>
      <c r="K2023">
        <v>3.26134333581044</v>
      </c>
      <c r="L2023">
        <v>3.1911494275733201</v>
      </c>
      <c r="M2023">
        <v>3.4612410489463898</v>
      </c>
      <c r="N2023">
        <v>3.4611996362076298</v>
      </c>
      <c r="Q2023">
        <f t="shared" si="155"/>
        <v>3.19</v>
      </c>
      <c r="R2023">
        <f t="shared" si="157"/>
        <v>3.6005116725789748</v>
      </c>
      <c r="S2023">
        <f t="shared" si="158"/>
        <v>-0.41051167257897481</v>
      </c>
      <c r="T2023">
        <f t="shared" si="159"/>
        <v>0.16851983332358741</v>
      </c>
    </row>
    <row r="2024" spans="1:20" hidden="1" x14ac:dyDescent="0.25">
      <c r="A2024" t="str">
        <f t="shared" si="156"/>
        <v>RIP</v>
      </c>
      <c r="B2024" t="s">
        <v>2030</v>
      </c>
      <c r="C2024">
        <v>1.033943858</v>
      </c>
      <c r="D2024">
        <v>9.3735076000000001E-2</v>
      </c>
      <c r="E2024">
        <v>0.74805135599999995</v>
      </c>
      <c r="F2024">
        <v>0.50886508100000005</v>
      </c>
      <c r="G2024">
        <v>0.83949007600000003</v>
      </c>
      <c r="H2024">
        <v>3.37</v>
      </c>
      <c r="I2024">
        <v>3.5923319769386599</v>
      </c>
      <c r="J2024">
        <v>3.5291044870679902</v>
      </c>
      <c r="K2024">
        <v>3.44957033452387</v>
      </c>
      <c r="L2024">
        <v>3.45262982159778</v>
      </c>
      <c r="M2024">
        <v>3.5607182320033299</v>
      </c>
      <c r="N2024">
        <v>3.56057788832825</v>
      </c>
      <c r="Q2024">
        <f t="shared" si="155"/>
        <v>3.37</v>
      </c>
      <c r="R2024">
        <f t="shared" si="157"/>
        <v>3.6483990424238506</v>
      </c>
      <c r="S2024">
        <f t="shared" si="158"/>
        <v>-0.2783990424238505</v>
      </c>
      <c r="T2024">
        <f t="shared" si="159"/>
        <v>7.7506026822516907E-2</v>
      </c>
    </row>
    <row r="2025" spans="1:20" hidden="1" x14ac:dyDescent="0.25">
      <c r="A2025" t="str">
        <f t="shared" si="156"/>
        <v>RIP</v>
      </c>
      <c r="B2025" t="s">
        <v>2031</v>
      </c>
      <c r="C2025">
        <v>0.88805205799999998</v>
      </c>
      <c r="D2025">
        <v>9.1581878000000005E-2</v>
      </c>
      <c r="E2025">
        <v>0.74729270000000003</v>
      </c>
      <c r="F2025">
        <v>0.56693174199999996</v>
      </c>
      <c r="G2025">
        <v>0.83759679499999995</v>
      </c>
      <c r="H2025">
        <v>3.72</v>
      </c>
      <c r="I2025">
        <v>3.8739619814433</v>
      </c>
      <c r="J2025">
        <v>3.7941556543777102</v>
      </c>
      <c r="K2025">
        <v>4.0001630945297597</v>
      </c>
      <c r="L2025">
        <v>4.0140093297935904</v>
      </c>
      <c r="M2025">
        <v>3.8340588179105102</v>
      </c>
      <c r="N2025">
        <v>3.83385116517809</v>
      </c>
      <c r="Q2025">
        <f t="shared" si="155"/>
        <v>3.72</v>
      </c>
      <c r="R2025">
        <f t="shared" si="157"/>
        <v>3.9866110827561796</v>
      </c>
      <c r="S2025">
        <f t="shared" si="158"/>
        <v>-0.2666110827561794</v>
      </c>
      <c r="T2025">
        <f t="shared" si="159"/>
        <v>7.1081469448422335E-2</v>
      </c>
    </row>
    <row r="2026" spans="1:20" hidden="1" x14ac:dyDescent="0.25">
      <c r="A2026" t="str">
        <f t="shared" si="156"/>
        <v>RIP</v>
      </c>
      <c r="B2026" t="s">
        <v>2032</v>
      </c>
      <c r="C2026">
        <v>1.110293331</v>
      </c>
      <c r="D2026">
        <v>8.8919915000000002E-2</v>
      </c>
      <c r="E2026">
        <v>0.74309689400000001</v>
      </c>
      <c r="F2026">
        <v>0.58447447600000002</v>
      </c>
      <c r="G2026">
        <v>0.83373712799999999</v>
      </c>
      <c r="H2026">
        <v>3.64</v>
      </c>
      <c r="I2026">
        <v>3.5601076791784201</v>
      </c>
      <c r="J2026">
        <v>3.5225839066966298</v>
      </c>
      <c r="K2026">
        <v>3.74919142519121</v>
      </c>
      <c r="L2026">
        <v>3.7543631080019302</v>
      </c>
      <c r="M2026">
        <v>3.54134579293753</v>
      </c>
      <c r="N2026">
        <v>3.5412960927859398</v>
      </c>
      <c r="Q2026">
        <f t="shared" si="155"/>
        <v>3.64</v>
      </c>
      <c r="R2026">
        <f t="shared" si="157"/>
        <v>3.6844520761197366</v>
      </c>
      <c r="S2026">
        <f t="shared" si="158"/>
        <v>-4.445207611973645E-2</v>
      </c>
      <c r="T2026">
        <f t="shared" si="159"/>
        <v>1.9759870713548437E-3</v>
      </c>
    </row>
    <row r="2027" spans="1:20" hidden="1" x14ac:dyDescent="0.25">
      <c r="A2027" t="str">
        <f t="shared" si="156"/>
        <v>RIP</v>
      </c>
      <c r="B2027" t="s">
        <v>2033</v>
      </c>
      <c r="C2027">
        <v>1.04060547</v>
      </c>
      <c r="D2027">
        <v>9.1372403000000005E-2</v>
      </c>
      <c r="E2027">
        <v>0.75059469899999998</v>
      </c>
      <c r="F2027">
        <v>0.57264703699999997</v>
      </c>
      <c r="G2027">
        <v>0.84529407499999998</v>
      </c>
      <c r="H2027">
        <v>3.87</v>
      </c>
      <c r="I2027">
        <v>3.7396639493258701</v>
      </c>
      <c r="J2027">
        <v>3.65906297784854</v>
      </c>
      <c r="K2027">
        <v>3.71410868610372</v>
      </c>
      <c r="L2027">
        <v>3.6996453049133899</v>
      </c>
      <c r="M2027">
        <v>3.6993634635872001</v>
      </c>
      <c r="N2027">
        <v>3.69914394239709</v>
      </c>
      <c r="Q2027">
        <f t="shared" si="155"/>
        <v>3.87</v>
      </c>
      <c r="R2027">
        <f t="shared" si="157"/>
        <v>3.8231373670776856</v>
      </c>
      <c r="S2027">
        <f t="shared" si="158"/>
        <v>4.6862632922314518E-2</v>
      </c>
      <c r="T2027">
        <f t="shared" si="159"/>
        <v>2.1961063644115966E-3</v>
      </c>
    </row>
    <row r="2028" spans="1:20" hidden="1" x14ac:dyDescent="0.25">
      <c r="A2028" t="str">
        <f t="shared" si="156"/>
        <v>RIP</v>
      </c>
      <c r="B2028" t="s">
        <v>2034</v>
      </c>
      <c r="C2028">
        <v>1.063209233</v>
      </c>
      <c r="D2028">
        <v>9.1941961000000003E-2</v>
      </c>
      <c r="E2028">
        <v>0.74586668599999995</v>
      </c>
      <c r="F2028">
        <v>0.55700632400000005</v>
      </c>
      <c r="G2028">
        <v>0.83831142800000003</v>
      </c>
      <c r="H2028">
        <v>2.79</v>
      </c>
      <c r="I2028">
        <v>3.6550632088352799</v>
      </c>
      <c r="J2028">
        <v>3.59541595487139</v>
      </c>
      <c r="K2028">
        <v>3.6795599779607202</v>
      </c>
      <c r="L2028">
        <v>3.6838537151858799</v>
      </c>
      <c r="M2028">
        <v>3.6252395818533301</v>
      </c>
      <c r="N2028">
        <v>3.6251169053024701</v>
      </c>
      <c r="Q2028">
        <f t="shared" si="155"/>
        <v>2.79</v>
      </c>
      <c r="R2028">
        <f t="shared" si="157"/>
        <v>3.7432721561101934</v>
      </c>
      <c r="S2028">
        <f t="shared" si="158"/>
        <v>-0.95327215611019334</v>
      </c>
      <c r="T2028">
        <f t="shared" si="159"/>
        <v>0.90872780361497685</v>
      </c>
    </row>
    <row r="2029" spans="1:20" hidden="1" x14ac:dyDescent="0.25">
      <c r="A2029" t="str">
        <f t="shared" si="156"/>
        <v>RIP</v>
      </c>
      <c r="B2029" t="s">
        <v>2035</v>
      </c>
      <c r="C2029">
        <v>0.96296749100000001</v>
      </c>
      <c r="D2029">
        <v>9.3164095000000002E-2</v>
      </c>
      <c r="E2029">
        <v>0.753438944</v>
      </c>
      <c r="F2029">
        <v>0.56496870499999996</v>
      </c>
      <c r="G2029">
        <v>0.84313869900000005</v>
      </c>
      <c r="H2029">
        <v>3.73</v>
      </c>
      <c r="I2029">
        <v>3.85175198853642</v>
      </c>
      <c r="J2029">
        <v>3.78957241298578</v>
      </c>
      <c r="K2029">
        <v>3.84290789665876</v>
      </c>
      <c r="L2029">
        <v>3.8438176304717602</v>
      </c>
      <c r="M2029">
        <v>3.8206622007611002</v>
      </c>
      <c r="N2029">
        <v>3.82053570555501</v>
      </c>
      <c r="Q2029">
        <f t="shared" si="155"/>
        <v>3.73</v>
      </c>
      <c r="R2029">
        <f t="shared" si="157"/>
        <v>3.9605667659553658</v>
      </c>
      <c r="S2029">
        <f t="shared" si="158"/>
        <v>-0.23056676595536585</v>
      </c>
      <c r="T2029">
        <f t="shared" si="159"/>
        <v>5.3161033563116453E-2</v>
      </c>
    </row>
    <row r="2030" spans="1:20" hidden="1" x14ac:dyDescent="0.25">
      <c r="A2030" t="str">
        <f t="shared" si="156"/>
        <v>RIP</v>
      </c>
      <c r="B2030" t="s">
        <v>2036</v>
      </c>
      <c r="C2030">
        <v>1.178988929</v>
      </c>
      <c r="D2030">
        <v>9.1409433999999998E-2</v>
      </c>
      <c r="E2030">
        <v>0.75079551499999997</v>
      </c>
      <c r="F2030">
        <v>0.53339082800000004</v>
      </c>
      <c r="G2030">
        <v>0.83989203499999998</v>
      </c>
      <c r="H2030">
        <v>3.42</v>
      </c>
      <c r="I2030">
        <v>3.38936504009602</v>
      </c>
      <c r="J2030">
        <v>3.37836482395709</v>
      </c>
      <c r="K2030">
        <v>3.3132745752819899</v>
      </c>
      <c r="L2030">
        <v>3.2897148524964601</v>
      </c>
      <c r="M2030">
        <v>3.3838649320265501</v>
      </c>
      <c r="N2030">
        <v>3.3838604621069002</v>
      </c>
      <c r="Q2030">
        <f t="shared" si="155"/>
        <v>3.42</v>
      </c>
      <c r="R2030">
        <f t="shared" si="157"/>
        <v>3.4886726153662586</v>
      </c>
      <c r="S2030">
        <f t="shared" si="158"/>
        <v>-6.8672615366258682E-2</v>
      </c>
      <c r="T2030">
        <f t="shared" si="159"/>
        <v>4.7159281012421079E-3</v>
      </c>
    </row>
    <row r="2031" spans="1:20" hidden="1" x14ac:dyDescent="0.25">
      <c r="A2031" t="str">
        <f t="shared" si="156"/>
        <v>RIP</v>
      </c>
      <c r="B2031" t="s">
        <v>2037</v>
      </c>
      <c r="C2031">
        <v>1.0511224939999999</v>
      </c>
      <c r="D2031">
        <v>9.4238478000000001E-2</v>
      </c>
      <c r="E2031">
        <v>0.74698153199999995</v>
      </c>
      <c r="F2031">
        <v>0.51718295299999995</v>
      </c>
      <c r="G2031">
        <v>0.83689862999999998</v>
      </c>
      <c r="H2031">
        <v>3.18</v>
      </c>
      <c r="I2031">
        <v>3.6087946774534498</v>
      </c>
      <c r="J2031">
        <v>3.5633260449335902</v>
      </c>
      <c r="K2031">
        <v>3.6611341324232498</v>
      </c>
      <c r="L2031">
        <v>3.6916285285009498</v>
      </c>
      <c r="M2031">
        <v>3.5860603611935198</v>
      </c>
      <c r="N2031">
        <v>3.5859882968280301</v>
      </c>
      <c r="Q2031">
        <f t="shared" si="155"/>
        <v>3.18</v>
      </c>
      <c r="R2031">
        <f t="shared" si="157"/>
        <v>3.6823228590427486</v>
      </c>
      <c r="S2031">
        <f t="shared" si="158"/>
        <v>-0.50232285904274843</v>
      </c>
      <c r="T2031">
        <f t="shared" si="159"/>
        <v>0.25232825471688092</v>
      </c>
    </row>
    <row r="2032" spans="1:20" hidden="1" x14ac:dyDescent="0.25">
      <c r="A2032" t="str">
        <f t="shared" si="156"/>
        <v>RIP</v>
      </c>
      <c r="B2032" t="s">
        <v>2038</v>
      </c>
      <c r="C2032">
        <v>1.117993011</v>
      </c>
      <c r="D2032">
        <v>9.6192520000000004E-2</v>
      </c>
      <c r="E2032">
        <v>0.74161664500000002</v>
      </c>
      <c r="F2032">
        <v>0.53225836800000004</v>
      </c>
      <c r="G2032">
        <v>0.83727236999999999</v>
      </c>
      <c r="H2032">
        <v>2.23</v>
      </c>
      <c r="I2032">
        <v>3.7270582961391501</v>
      </c>
      <c r="J2032">
        <v>3.6340266504887402</v>
      </c>
      <c r="K2032">
        <v>3.5063870120425502</v>
      </c>
      <c r="L2032">
        <v>3.5141284211031101</v>
      </c>
      <c r="M2032">
        <v>3.68054247331394</v>
      </c>
      <c r="N2032">
        <v>3.6802485209690401</v>
      </c>
      <c r="Q2032">
        <f t="shared" si="155"/>
        <v>2.23</v>
      </c>
      <c r="R2032">
        <f t="shared" si="157"/>
        <v>3.740439553674606</v>
      </c>
      <c r="S2032">
        <f t="shared" si="158"/>
        <v>-1.510439553674606</v>
      </c>
      <c r="T2032">
        <f t="shared" si="159"/>
        <v>2.2814276453047428</v>
      </c>
    </row>
    <row r="2033" spans="1:20" hidden="1" x14ac:dyDescent="0.25">
      <c r="A2033" t="str">
        <f t="shared" si="156"/>
        <v>RIP</v>
      </c>
      <c r="B2033" t="s">
        <v>2039</v>
      </c>
      <c r="C2033">
        <v>1.1137644040000001</v>
      </c>
      <c r="D2033">
        <v>9.6835465999999995E-2</v>
      </c>
      <c r="E2033">
        <v>0.75160021600000004</v>
      </c>
      <c r="F2033">
        <v>0.55891702099999996</v>
      </c>
      <c r="G2033">
        <v>0.844292716</v>
      </c>
      <c r="H2033">
        <v>3.17</v>
      </c>
      <c r="I2033">
        <v>3.8622727355813402</v>
      </c>
      <c r="J2033">
        <v>3.7840324600445601</v>
      </c>
      <c r="K2033">
        <v>3.5019440054547299</v>
      </c>
      <c r="L2033">
        <v>3.4825381031416698</v>
      </c>
      <c r="M2033">
        <v>3.8231525978129501</v>
      </c>
      <c r="N2033">
        <v>3.8229524455563002</v>
      </c>
      <c r="Q2033">
        <f t="shared" si="155"/>
        <v>3.17</v>
      </c>
      <c r="R2033">
        <f t="shared" si="157"/>
        <v>3.9055840233708676</v>
      </c>
      <c r="S2033">
        <f t="shared" si="158"/>
        <v>-0.7355840233708677</v>
      </c>
      <c r="T2033">
        <f t="shared" si="159"/>
        <v>0.54108385543847326</v>
      </c>
    </row>
    <row r="2034" spans="1:20" hidden="1" x14ac:dyDescent="0.25">
      <c r="A2034" t="str">
        <f t="shared" si="156"/>
        <v>RIP</v>
      </c>
      <c r="B2034" t="s">
        <v>2040</v>
      </c>
      <c r="C2034">
        <v>1.224987864</v>
      </c>
      <c r="D2034">
        <v>9.3800823000000005E-2</v>
      </c>
      <c r="E2034">
        <v>0.75349956799999995</v>
      </c>
      <c r="F2034">
        <v>0.56125190000000003</v>
      </c>
      <c r="G2034">
        <v>0.84522135700000001</v>
      </c>
      <c r="H2034">
        <v>3.97</v>
      </c>
      <c r="I2034">
        <v>3.57320806175496</v>
      </c>
      <c r="J2034">
        <v>3.5421994873271401</v>
      </c>
      <c r="K2034">
        <v>3.34412418936023</v>
      </c>
      <c r="L2034">
        <v>3.31466993719213</v>
      </c>
      <c r="M2034">
        <v>3.55770377454105</v>
      </c>
      <c r="N2034">
        <v>3.5576699909437299</v>
      </c>
      <c r="Q2034">
        <f t="shared" si="155"/>
        <v>3.97</v>
      </c>
      <c r="R2034">
        <f t="shared" si="157"/>
        <v>3.6528722003342828</v>
      </c>
      <c r="S2034">
        <f t="shared" si="158"/>
        <v>0.31712779966571736</v>
      </c>
      <c r="T2034">
        <f t="shared" si="159"/>
        <v>0.10057004132081936</v>
      </c>
    </row>
    <row r="2035" spans="1:20" hidden="1" x14ac:dyDescent="0.25">
      <c r="A2035" t="str">
        <f t="shared" si="156"/>
        <v>RIP</v>
      </c>
      <c r="B2035" t="s">
        <v>2041</v>
      </c>
      <c r="C2035">
        <v>1.209382578</v>
      </c>
      <c r="D2035">
        <v>9.3408160000000004E-2</v>
      </c>
      <c r="E2035">
        <v>0.74911327599999999</v>
      </c>
      <c r="F2035">
        <v>0.55197403099999998</v>
      </c>
      <c r="G2035">
        <v>0.83754459999999997</v>
      </c>
      <c r="H2035">
        <v>3.01</v>
      </c>
      <c r="I2035">
        <v>3.4989127993524902</v>
      </c>
      <c r="J2035">
        <v>3.49921207399602</v>
      </c>
      <c r="K2035">
        <v>3.42504790410098</v>
      </c>
      <c r="L2035">
        <v>3.4018089558129598</v>
      </c>
      <c r="M2035">
        <v>3.49906243667425</v>
      </c>
      <c r="N2035">
        <v>3.4990624334746299</v>
      </c>
      <c r="Q2035">
        <f t="shared" si="155"/>
        <v>3.01</v>
      </c>
      <c r="R2035">
        <f t="shared" si="157"/>
        <v>3.608555139641906</v>
      </c>
      <c r="S2035">
        <f t="shared" si="158"/>
        <v>-0.59855513964190621</v>
      </c>
      <c r="T2035">
        <f t="shared" si="159"/>
        <v>0.35826825519174182</v>
      </c>
    </row>
    <row r="2036" spans="1:20" hidden="1" x14ac:dyDescent="0.25">
      <c r="A2036" t="str">
        <f t="shared" si="156"/>
        <v>RIP</v>
      </c>
      <c r="B2036" t="s">
        <v>2042</v>
      </c>
      <c r="C2036">
        <v>1.139890251</v>
      </c>
      <c r="D2036">
        <v>9.6923228E-2</v>
      </c>
      <c r="E2036">
        <v>0.75059593000000002</v>
      </c>
      <c r="F2036">
        <v>0.56310901999999996</v>
      </c>
      <c r="G2036">
        <v>0.83551517799999997</v>
      </c>
      <c r="H2036">
        <v>2.9</v>
      </c>
      <c r="I2036">
        <v>3.7605259838946798</v>
      </c>
      <c r="J2036">
        <v>3.77595038336176</v>
      </c>
      <c r="K2036">
        <v>3.6843776454242398</v>
      </c>
      <c r="L2036">
        <v>3.7063799728821598</v>
      </c>
      <c r="M2036">
        <v>3.7682381836282199</v>
      </c>
      <c r="N2036">
        <v>3.76823029159962</v>
      </c>
      <c r="Q2036">
        <f t="shared" si="155"/>
        <v>2.9</v>
      </c>
      <c r="R2036">
        <f t="shared" si="157"/>
        <v>3.8940569038272219</v>
      </c>
      <c r="S2036">
        <f t="shared" si="158"/>
        <v>-0.994056903827222</v>
      </c>
      <c r="T2036">
        <f t="shared" si="159"/>
        <v>0.98814912804656285</v>
      </c>
    </row>
    <row r="2037" spans="1:20" hidden="1" x14ac:dyDescent="0.25">
      <c r="A2037" t="str">
        <f t="shared" si="156"/>
        <v>RIP</v>
      </c>
      <c r="B2037" t="s">
        <v>2043</v>
      </c>
      <c r="C2037">
        <v>1.1185108610000001</v>
      </c>
      <c r="D2037">
        <v>9.6522838E-2</v>
      </c>
      <c r="E2037">
        <v>0.74474686899999998</v>
      </c>
      <c r="F2037">
        <v>0.54793957100000001</v>
      </c>
      <c r="G2037">
        <v>0.83891770899999996</v>
      </c>
      <c r="H2037">
        <v>3.08</v>
      </c>
      <c r="I2037">
        <v>3.7939368915303699</v>
      </c>
      <c r="J2037">
        <v>3.7122556335374002</v>
      </c>
      <c r="K2037">
        <v>3.4386135894225598</v>
      </c>
      <c r="L2037">
        <v>3.4164337001463898</v>
      </c>
      <c r="M2037">
        <v>3.7530962625338899</v>
      </c>
      <c r="N2037">
        <v>3.7528740451644498</v>
      </c>
      <c r="Q2037">
        <f t="shared" si="155"/>
        <v>3.08</v>
      </c>
      <c r="R2037">
        <f t="shared" si="157"/>
        <v>3.8269979734786879</v>
      </c>
      <c r="S2037">
        <f t="shared" si="158"/>
        <v>-0.74699797347868779</v>
      </c>
      <c r="T2037">
        <f t="shared" si="159"/>
        <v>0.55800597238126637</v>
      </c>
    </row>
    <row r="2038" spans="1:20" hidden="1" x14ac:dyDescent="0.25">
      <c r="A2038" t="str">
        <f t="shared" si="156"/>
        <v>RIP</v>
      </c>
      <c r="B2038" t="s">
        <v>2044</v>
      </c>
      <c r="C2038">
        <v>1.066882704</v>
      </c>
      <c r="D2038">
        <v>9.6981385000000003E-2</v>
      </c>
      <c r="E2038">
        <v>0.75578350400000005</v>
      </c>
      <c r="F2038">
        <v>0.53206088200000001</v>
      </c>
      <c r="G2038">
        <v>0.84781585400000004</v>
      </c>
      <c r="H2038">
        <v>3.32</v>
      </c>
      <c r="I2038">
        <v>3.83811703626208</v>
      </c>
      <c r="J2038">
        <v>3.7464773036031298</v>
      </c>
      <c r="K2038">
        <v>3.5320790916084102</v>
      </c>
      <c r="L2038">
        <v>3.5350789944382601</v>
      </c>
      <c r="M2038">
        <v>3.7922971699326</v>
      </c>
      <c r="N2038">
        <v>3.7920203539707402</v>
      </c>
      <c r="Q2038">
        <f t="shared" si="155"/>
        <v>3.32</v>
      </c>
      <c r="R2038">
        <f t="shared" si="157"/>
        <v>3.8611734907128228</v>
      </c>
      <c r="S2038">
        <f t="shared" si="158"/>
        <v>-0.54117349071282295</v>
      </c>
      <c r="T2038">
        <f t="shared" si="159"/>
        <v>0.29286874705030186</v>
      </c>
    </row>
    <row r="2039" spans="1:20" hidden="1" x14ac:dyDescent="0.25">
      <c r="A2039" t="str">
        <f t="shared" si="156"/>
        <v>RIP</v>
      </c>
      <c r="B2039" t="s">
        <v>2045</v>
      </c>
      <c r="C2039">
        <v>1.2037508770000001</v>
      </c>
      <c r="D2039">
        <v>8.8253503999999997E-2</v>
      </c>
      <c r="E2039">
        <v>0.73259659099999996</v>
      </c>
      <c r="F2039">
        <v>0.56728187100000005</v>
      </c>
      <c r="G2039">
        <v>0.804768386</v>
      </c>
      <c r="H2039">
        <v>3.8</v>
      </c>
      <c r="I2039">
        <v>3.3284827122106999</v>
      </c>
      <c r="J2039">
        <v>3.3243469528626801</v>
      </c>
      <c r="K2039">
        <v>3.7085339527316799</v>
      </c>
      <c r="L2039">
        <v>3.8230651853431699</v>
      </c>
      <c r="M2039">
        <v>3.32641483253669</v>
      </c>
      <c r="N2039">
        <v>3.3264141897836099</v>
      </c>
      <c r="Q2039">
        <f t="shared" si="155"/>
        <v>3.8</v>
      </c>
      <c r="R2039">
        <f t="shared" si="157"/>
        <v>3.4565320213881847</v>
      </c>
      <c r="S2039">
        <f t="shared" si="158"/>
        <v>0.34346797861181511</v>
      </c>
      <c r="T2039">
        <f t="shared" si="159"/>
        <v>0.11797025233168627</v>
      </c>
    </row>
    <row r="2040" spans="1:20" hidden="1" x14ac:dyDescent="0.25">
      <c r="A2040" t="str">
        <f t="shared" si="156"/>
        <v>RIP</v>
      </c>
      <c r="B2040" t="s">
        <v>2046</v>
      </c>
      <c r="C2040">
        <v>1.2214321420000001</v>
      </c>
      <c r="D2040">
        <v>8.7263544999999998E-2</v>
      </c>
      <c r="E2040">
        <v>0.73504314299999995</v>
      </c>
      <c r="F2040">
        <v>0.55661473500000003</v>
      </c>
      <c r="G2040">
        <v>0.80275539900000004</v>
      </c>
      <c r="H2040">
        <v>3.46</v>
      </c>
      <c r="I2040">
        <v>3.2303119524496098</v>
      </c>
      <c r="J2040">
        <v>3.2340205306348002</v>
      </c>
      <c r="K2040">
        <v>3.6303749816334099</v>
      </c>
      <c r="L2040">
        <v>3.7667321159486198</v>
      </c>
      <c r="M2040">
        <v>3.2321662415422101</v>
      </c>
      <c r="N2040">
        <v>3.2321657096406802</v>
      </c>
      <c r="Q2040">
        <f t="shared" si="155"/>
        <v>3.46</v>
      </c>
      <c r="R2040">
        <f t="shared" si="157"/>
        <v>3.3579036403398193</v>
      </c>
      <c r="S2040">
        <f t="shared" si="158"/>
        <v>0.10209635966018071</v>
      </c>
      <c r="T2040">
        <f t="shared" si="159"/>
        <v>1.0423666655860976E-2</v>
      </c>
    </row>
    <row r="2041" spans="1:20" hidden="1" x14ac:dyDescent="0.25">
      <c r="A2041" t="str">
        <f t="shared" si="156"/>
        <v>RIP</v>
      </c>
      <c r="B2041" t="s">
        <v>2047</v>
      </c>
      <c r="C2041">
        <v>1.130171713</v>
      </c>
      <c r="D2041">
        <v>8.5999713000000005E-2</v>
      </c>
      <c r="E2041">
        <v>0.74275856100000004</v>
      </c>
      <c r="F2041">
        <v>0.52981535400000002</v>
      </c>
      <c r="G2041">
        <v>0.80524291599999998</v>
      </c>
      <c r="H2041">
        <v>3.67</v>
      </c>
      <c r="I2041">
        <v>3.1941449582190899</v>
      </c>
      <c r="J2041">
        <v>3.1921134468349299</v>
      </c>
      <c r="K2041">
        <v>3.5168654866473998</v>
      </c>
      <c r="L2041">
        <v>3.5307379016064502</v>
      </c>
      <c r="M2041">
        <v>3.1931292025270102</v>
      </c>
      <c r="N2041">
        <v>3.19312904096767</v>
      </c>
      <c r="Q2041">
        <f t="shared" si="155"/>
        <v>3.67</v>
      </c>
      <c r="R2041">
        <f t="shared" si="157"/>
        <v>3.3216335856414037</v>
      </c>
      <c r="S2041">
        <f t="shared" si="158"/>
        <v>0.34836641435859628</v>
      </c>
      <c r="T2041">
        <f t="shared" si="159"/>
        <v>0.12135915865306519</v>
      </c>
    </row>
    <row r="2042" spans="1:20" hidden="1" x14ac:dyDescent="0.25">
      <c r="A2042" t="str">
        <f t="shared" si="156"/>
        <v>RIP</v>
      </c>
      <c r="B2042" t="s">
        <v>2048</v>
      </c>
      <c r="C2042">
        <v>1.2990230739999999</v>
      </c>
      <c r="D2042">
        <v>8.7864949999999997E-2</v>
      </c>
      <c r="E2042">
        <v>0.73832800600000004</v>
      </c>
      <c r="F2042">
        <v>0.53260795900000002</v>
      </c>
      <c r="G2042">
        <v>0.79993352399999995</v>
      </c>
      <c r="H2042">
        <v>4.09</v>
      </c>
      <c r="I2042">
        <v>3.04301941016654</v>
      </c>
      <c r="J2042">
        <v>3.0957222294926598</v>
      </c>
      <c r="K2042">
        <v>3.1955812372530299</v>
      </c>
      <c r="L2042">
        <v>3.1960290201368502</v>
      </c>
      <c r="M2042">
        <v>3.0693708198295999</v>
      </c>
      <c r="N2042">
        <v>3.0692577006224502</v>
      </c>
      <c r="Q2042">
        <f t="shared" si="155"/>
        <v>4.09</v>
      </c>
      <c r="R2042">
        <f t="shared" si="157"/>
        <v>3.1873107673700289</v>
      </c>
      <c r="S2042">
        <f t="shared" si="158"/>
        <v>0.90268923262997092</v>
      </c>
      <c r="T2042">
        <f t="shared" si="159"/>
        <v>0.81484785070608579</v>
      </c>
    </row>
    <row r="2043" spans="1:20" hidden="1" x14ac:dyDescent="0.25">
      <c r="A2043" t="str">
        <f t="shared" si="156"/>
        <v>RIP</v>
      </c>
      <c r="B2043" t="s">
        <v>2049</v>
      </c>
      <c r="C2043">
        <v>1.18183795</v>
      </c>
      <c r="D2043">
        <v>8.4572460000000002E-2</v>
      </c>
      <c r="E2043">
        <v>0.73281758900000005</v>
      </c>
      <c r="F2043">
        <v>0.53472033799999996</v>
      </c>
      <c r="G2043">
        <v>0.79523411899999996</v>
      </c>
      <c r="H2043">
        <v>3.63</v>
      </c>
      <c r="I2043">
        <v>3.1238969810589801</v>
      </c>
      <c r="J2043">
        <v>3.0932536982056398</v>
      </c>
      <c r="K2043">
        <v>3.4496768778395501</v>
      </c>
      <c r="L2043">
        <v>3.4651215268992401</v>
      </c>
      <c r="M2043">
        <v>3.1085753396323099</v>
      </c>
      <c r="N2043">
        <v>3.1085375805150099</v>
      </c>
      <c r="Q2043">
        <f t="shared" si="155"/>
        <v>3.63</v>
      </c>
      <c r="R2043">
        <f t="shared" si="157"/>
        <v>3.2164477911277345</v>
      </c>
      <c r="S2043">
        <f t="shared" si="158"/>
        <v>0.4135522088722654</v>
      </c>
      <c r="T2043">
        <f t="shared" si="159"/>
        <v>0.17102542946312982</v>
      </c>
    </row>
    <row r="2044" spans="1:20" hidden="1" x14ac:dyDescent="0.25">
      <c r="A2044" t="str">
        <f t="shared" si="156"/>
        <v>RIP</v>
      </c>
      <c r="B2044" t="s">
        <v>2050</v>
      </c>
      <c r="C2044">
        <v>1.0308105489999999</v>
      </c>
      <c r="D2044">
        <v>9.3304647000000004E-2</v>
      </c>
      <c r="E2044">
        <v>0.73020140700000002</v>
      </c>
      <c r="F2044">
        <v>0.48786125699999999</v>
      </c>
      <c r="G2044">
        <v>0.80329341499999996</v>
      </c>
      <c r="H2044">
        <v>3.24</v>
      </c>
      <c r="I2044">
        <v>3.3850598619411501</v>
      </c>
      <c r="J2044">
        <v>3.4073385128277902</v>
      </c>
      <c r="K2044">
        <v>3.6823568242076101</v>
      </c>
      <c r="L2044">
        <v>3.7432130241194801</v>
      </c>
      <c r="M2044">
        <v>3.3961991873844699</v>
      </c>
      <c r="N2044">
        <v>3.3961809191825498</v>
      </c>
      <c r="Q2044">
        <f t="shared" si="155"/>
        <v>3.24</v>
      </c>
      <c r="R2044">
        <f t="shared" si="157"/>
        <v>3.5148408535904947</v>
      </c>
      <c r="S2044">
        <f t="shared" si="158"/>
        <v>-0.27484085359049448</v>
      </c>
      <c r="T2044">
        <f t="shared" si="159"/>
        <v>7.5537494802351626E-2</v>
      </c>
    </row>
    <row r="2045" spans="1:20" hidden="1" x14ac:dyDescent="0.25">
      <c r="A2045" t="str">
        <f t="shared" si="156"/>
        <v>RIP</v>
      </c>
      <c r="B2045" t="s">
        <v>2051</v>
      </c>
      <c r="C2045">
        <v>1.333814692</v>
      </c>
      <c r="D2045">
        <v>8.8258387999999993E-2</v>
      </c>
      <c r="E2045">
        <v>0.72128740099999999</v>
      </c>
      <c r="F2045">
        <v>0.51202249600000005</v>
      </c>
      <c r="G2045">
        <v>0.79443302699999996</v>
      </c>
      <c r="H2045">
        <v>2.68</v>
      </c>
      <c r="I2045">
        <v>2.9407640994690101</v>
      </c>
      <c r="J2045">
        <v>2.9743124079783798</v>
      </c>
      <c r="K2045">
        <v>3.18026708805965</v>
      </c>
      <c r="L2045">
        <v>3.2953821895478401</v>
      </c>
      <c r="M2045">
        <v>2.9575382537236998</v>
      </c>
      <c r="N2045">
        <v>2.9574906846832199</v>
      </c>
      <c r="Q2045">
        <f t="shared" si="155"/>
        <v>2.68</v>
      </c>
      <c r="R2045">
        <f t="shared" si="157"/>
        <v>3.0442002515940145</v>
      </c>
      <c r="S2045">
        <f t="shared" si="158"/>
        <v>-0.36420025159401437</v>
      </c>
      <c r="T2045">
        <f t="shared" si="159"/>
        <v>0.13264182326114338</v>
      </c>
    </row>
    <row r="2046" spans="1:20" hidden="1" x14ac:dyDescent="0.25">
      <c r="A2046" t="str">
        <f t="shared" si="156"/>
        <v>RIP</v>
      </c>
      <c r="B2046" t="s">
        <v>2052</v>
      </c>
      <c r="C2046">
        <v>1.3479743580000001</v>
      </c>
      <c r="D2046">
        <v>8.8491431999999995E-2</v>
      </c>
      <c r="E2046">
        <v>0.73096309999999998</v>
      </c>
      <c r="F2046">
        <v>0.51415404200000003</v>
      </c>
      <c r="G2046">
        <v>0.79539248299999998</v>
      </c>
      <c r="H2046">
        <v>3.1</v>
      </c>
      <c r="I2046">
        <v>2.9243449136757</v>
      </c>
      <c r="J2046">
        <v>2.9915808563215101</v>
      </c>
      <c r="K2046">
        <v>2.99024343870005</v>
      </c>
      <c r="L2046">
        <v>3.0142073620852701</v>
      </c>
      <c r="M2046">
        <v>2.9579628849985999</v>
      </c>
      <c r="N2046">
        <v>2.9577718405978199</v>
      </c>
      <c r="Q2046">
        <f t="shared" si="155"/>
        <v>3.1</v>
      </c>
      <c r="R2046">
        <f t="shared" si="157"/>
        <v>3.0597599398631203</v>
      </c>
      <c r="S2046">
        <f t="shared" si="158"/>
        <v>4.0240060136879752E-2</v>
      </c>
      <c r="T2046">
        <f t="shared" si="159"/>
        <v>1.6192624398196989E-3</v>
      </c>
    </row>
    <row r="2047" spans="1:20" hidden="1" x14ac:dyDescent="0.25">
      <c r="A2047" t="str">
        <f t="shared" si="156"/>
        <v>RIP</v>
      </c>
      <c r="B2047" t="s">
        <v>2053</v>
      </c>
      <c r="C2047">
        <v>1.2146179530000001</v>
      </c>
      <c r="D2047">
        <v>8.8506509999999997E-2</v>
      </c>
      <c r="E2047">
        <v>0.72641192700000001</v>
      </c>
      <c r="F2047">
        <v>0.523719241</v>
      </c>
      <c r="G2047">
        <v>0.79184077399999997</v>
      </c>
      <c r="H2047">
        <v>3.5</v>
      </c>
      <c r="I2047">
        <v>3.1466432456975801</v>
      </c>
      <c r="J2047">
        <v>3.1536975318075902</v>
      </c>
      <c r="K2047">
        <v>3.3459723896451701</v>
      </c>
      <c r="L2047">
        <v>3.3729329438731201</v>
      </c>
      <c r="M2047">
        <v>3.1501703887525898</v>
      </c>
      <c r="N2047">
        <v>3.1501684141384398</v>
      </c>
      <c r="Q2047">
        <f t="shared" si="155"/>
        <v>3.5</v>
      </c>
      <c r="R2047">
        <f t="shared" si="157"/>
        <v>3.2560002928160086</v>
      </c>
      <c r="S2047">
        <f t="shared" si="158"/>
        <v>0.24399970718399144</v>
      </c>
      <c r="T2047">
        <f t="shared" si="159"/>
        <v>5.9535857105873564E-2</v>
      </c>
    </row>
    <row r="2048" spans="1:20" hidden="1" x14ac:dyDescent="0.25">
      <c r="A2048" t="str">
        <f t="shared" si="156"/>
        <v>RIP</v>
      </c>
      <c r="B2048" t="s">
        <v>2054</v>
      </c>
      <c r="C2048">
        <v>1.369087758</v>
      </c>
      <c r="D2048">
        <v>8.7380283000000003E-2</v>
      </c>
      <c r="E2048">
        <v>0.73412093300000003</v>
      </c>
      <c r="F2048">
        <v>0.54446429500000004</v>
      </c>
      <c r="G2048">
        <v>0.79407520600000003</v>
      </c>
      <c r="H2048">
        <v>3.63</v>
      </c>
      <c r="I2048">
        <v>2.9955742349349399</v>
      </c>
      <c r="J2048">
        <v>3.0446896525857001</v>
      </c>
      <c r="K2048">
        <v>3.1154378529254401</v>
      </c>
      <c r="L2048">
        <v>3.1263143050620101</v>
      </c>
      <c r="M2048">
        <v>3.0201319437603198</v>
      </c>
      <c r="N2048">
        <v>3.0200320986139801</v>
      </c>
      <c r="Q2048">
        <f t="shared" si="155"/>
        <v>3.63</v>
      </c>
      <c r="R2048">
        <f t="shared" si="157"/>
        <v>3.1292845020807181</v>
      </c>
      <c r="S2048">
        <f t="shared" si="158"/>
        <v>0.50071549791928183</v>
      </c>
      <c r="T2048">
        <f t="shared" si="159"/>
        <v>0.25071600985655434</v>
      </c>
    </row>
    <row r="2049" spans="1:20" hidden="1" x14ac:dyDescent="0.25">
      <c r="A2049" t="str">
        <f t="shared" si="156"/>
        <v>RIP</v>
      </c>
      <c r="B2049" t="s">
        <v>2055</v>
      </c>
      <c r="C2049">
        <v>1.2525527890000001</v>
      </c>
      <c r="D2049">
        <v>8.7092635000000002E-2</v>
      </c>
      <c r="E2049">
        <v>0.72240932499999999</v>
      </c>
      <c r="F2049">
        <v>0.52637218399999997</v>
      </c>
      <c r="G2049">
        <v>0.79018939099999996</v>
      </c>
      <c r="H2049">
        <v>3.29</v>
      </c>
      <c r="I2049">
        <v>3.0727065127722502</v>
      </c>
      <c r="J2049">
        <v>3.0665303533711699</v>
      </c>
      <c r="K2049">
        <v>3.3055159844089501</v>
      </c>
      <c r="L2049">
        <v>3.3593245530800799</v>
      </c>
      <c r="M2049">
        <v>3.0696184330717098</v>
      </c>
      <c r="N2049">
        <v>3.06961687974532</v>
      </c>
      <c r="Q2049">
        <f t="shared" ref="Q2049:Q2112" si="160">H2049</f>
        <v>3.29</v>
      </c>
      <c r="R2049">
        <f t="shared" si="157"/>
        <v>3.1648875716424074</v>
      </c>
      <c r="S2049">
        <f t="shared" si="158"/>
        <v>0.12511242835759262</v>
      </c>
      <c r="T2049">
        <f t="shared" si="159"/>
        <v>1.5653119729533746E-2</v>
      </c>
    </row>
    <row r="2050" spans="1:20" hidden="1" x14ac:dyDescent="0.25">
      <c r="A2050" t="str">
        <f t="shared" si="156"/>
        <v>RIP</v>
      </c>
      <c r="B2050" t="s">
        <v>2056</v>
      </c>
      <c r="C2050">
        <v>1.5748167399999999</v>
      </c>
      <c r="D2050">
        <v>8.8506640999999997E-2</v>
      </c>
      <c r="E2050">
        <v>0.7189352</v>
      </c>
      <c r="F2050">
        <v>0.54224465200000005</v>
      </c>
      <c r="G2050">
        <v>0.78617742099999999</v>
      </c>
      <c r="H2050">
        <v>2.62</v>
      </c>
      <c r="I2050">
        <v>2.7631062499889301</v>
      </c>
      <c r="J2050">
        <v>2.85013090573932</v>
      </c>
      <c r="K2050">
        <v>2.9029001537749601</v>
      </c>
      <c r="L2050">
        <v>3.0395261194315202</v>
      </c>
      <c r="M2050">
        <v>2.8066185778641302</v>
      </c>
      <c r="N2050">
        <v>2.8062812615514701</v>
      </c>
      <c r="Q2050">
        <f t="shared" si="160"/>
        <v>2.62</v>
      </c>
      <c r="R2050">
        <f t="shared" si="157"/>
        <v>2.8864131482995505</v>
      </c>
      <c r="S2050">
        <f t="shared" si="158"/>
        <v>-0.26641314829955043</v>
      </c>
      <c r="T2050">
        <f t="shared" si="159"/>
        <v>7.0975965586878256E-2</v>
      </c>
    </row>
    <row r="2051" spans="1:20" hidden="1" x14ac:dyDescent="0.25">
      <c r="A2051" t="str">
        <f t="shared" ref="A2051:A2114" si="161">LEFT(B2051,3)</f>
        <v>RIP</v>
      </c>
      <c r="B2051" t="s">
        <v>2057</v>
      </c>
      <c r="C2051">
        <v>1.4831064869999999</v>
      </c>
      <c r="D2051">
        <v>9.0526016000000001E-2</v>
      </c>
      <c r="E2051">
        <v>0.72197890300000001</v>
      </c>
      <c r="F2051">
        <v>0.53502420900000003</v>
      </c>
      <c r="G2051">
        <v>0.78695663400000004</v>
      </c>
      <c r="H2051">
        <v>3.41</v>
      </c>
      <c r="I2051">
        <v>2.9044167721860998</v>
      </c>
      <c r="J2051">
        <v>2.9989083738976898</v>
      </c>
      <c r="K2051">
        <v>3.0398337081262001</v>
      </c>
      <c r="L2051">
        <v>3.2468149403935098</v>
      </c>
      <c r="M2051">
        <v>2.9516625730418999</v>
      </c>
      <c r="N2051">
        <v>2.9512844287526399</v>
      </c>
      <c r="Q2051">
        <f t="shared" si="160"/>
        <v>3.41</v>
      </c>
      <c r="R2051">
        <f t="shared" ref="R2051:R2114" si="162">$X$2*F2051+$X$3*D2051*E2051+($X$4/(D2051-$X$5))-$X$6*C2051</f>
        <v>3.0459641831033606</v>
      </c>
      <c r="S2051">
        <f t="shared" ref="S2051:S2114" si="163">Q2051-R2051</f>
        <v>0.36403581689663955</v>
      </c>
      <c r="T2051">
        <f t="shared" ref="T2051:T2114" si="164">S2051^2</f>
        <v>0.13252207598360369</v>
      </c>
    </row>
    <row r="2052" spans="1:20" hidden="1" x14ac:dyDescent="0.25">
      <c r="A2052" t="str">
        <f t="shared" si="161"/>
        <v>RIP</v>
      </c>
      <c r="B2052" t="s">
        <v>2058</v>
      </c>
      <c r="C2052">
        <v>1.3046465679999999</v>
      </c>
      <c r="D2052">
        <v>9.1744865999999994E-2</v>
      </c>
      <c r="E2052">
        <v>0.730280602</v>
      </c>
      <c r="F2052">
        <v>0.53512923099999998</v>
      </c>
      <c r="G2052">
        <v>0.79609683899999995</v>
      </c>
      <c r="H2052">
        <v>2.89</v>
      </c>
      <c r="I2052">
        <v>3.16867398316989</v>
      </c>
      <c r="J2052">
        <v>3.24068147936898</v>
      </c>
      <c r="K2052">
        <v>3.36650634159375</v>
      </c>
      <c r="L2052">
        <v>3.5096014817984398</v>
      </c>
      <c r="M2052">
        <v>3.2046777312694399</v>
      </c>
      <c r="N2052">
        <v>3.2044754783610099</v>
      </c>
      <c r="Q2052">
        <f t="shared" si="160"/>
        <v>2.89</v>
      </c>
      <c r="R2052">
        <f t="shared" si="162"/>
        <v>3.3232215627139885</v>
      </c>
      <c r="S2052">
        <f t="shared" si="163"/>
        <v>-0.43322156271398837</v>
      </c>
      <c r="T2052">
        <f t="shared" si="164"/>
        <v>0.18768092240035017</v>
      </c>
    </row>
    <row r="2053" spans="1:20" hidden="1" x14ac:dyDescent="0.25">
      <c r="A2053" t="str">
        <f t="shared" si="161"/>
        <v>RIP</v>
      </c>
      <c r="B2053" t="s">
        <v>2059</v>
      </c>
      <c r="C2053">
        <v>1.2476554230000001</v>
      </c>
      <c r="D2053">
        <v>9.0034024000000004E-2</v>
      </c>
      <c r="E2053">
        <v>0.73571116999999997</v>
      </c>
      <c r="F2053">
        <v>0.53909794799999999</v>
      </c>
      <c r="G2053">
        <v>0.79362156900000003</v>
      </c>
      <c r="H2053">
        <v>3.32</v>
      </c>
      <c r="I2053">
        <v>3.2062499689111301</v>
      </c>
      <c r="J2053">
        <v>3.2510100650983902</v>
      </c>
      <c r="K2053">
        <v>3.38221868863784</v>
      </c>
      <c r="L2053">
        <v>3.4436919954895</v>
      </c>
      <c r="M2053">
        <v>3.2286300170047602</v>
      </c>
      <c r="N2053">
        <v>3.22855244965162</v>
      </c>
      <c r="Q2053">
        <f t="shared" si="160"/>
        <v>3.32</v>
      </c>
      <c r="R2053">
        <f t="shared" si="162"/>
        <v>3.3527946636861836</v>
      </c>
      <c r="S2053">
        <f t="shared" si="163"/>
        <v>-3.2794663686183778E-2</v>
      </c>
      <c r="T2053">
        <f t="shared" si="164"/>
        <v>1.075489966289901E-3</v>
      </c>
    </row>
    <row r="2054" spans="1:20" hidden="1" x14ac:dyDescent="0.25">
      <c r="A2054" t="str">
        <f t="shared" si="161"/>
        <v>RIP</v>
      </c>
      <c r="B2054" t="s">
        <v>2060</v>
      </c>
      <c r="C2054">
        <v>1.3630248549999999</v>
      </c>
      <c r="D2054">
        <v>9.3072592999999995E-2</v>
      </c>
      <c r="E2054">
        <v>0.68951413500000003</v>
      </c>
      <c r="F2054">
        <v>0.49440226900000001</v>
      </c>
      <c r="G2054">
        <v>0.76851760199999997</v>
      </c>
      <c r="H2054">
        <v>3.13</v>
      </c>
      <c r="I2054">
        <v>3.00004800882544</v>
      </c>
      <c r="J2054">
        <v>3.0237596833384099</v>
      </c>
      <c r="K2054">
        <v>2.8842028755553901</v>
      </c>
      <c r="L2054">
        <v>2.9454347974731001</v>
      </c>
      <c r="M2054">
        <v>3.0119038460819301</v>
      </c>
      <c r="N2054">
        <v>3.0118805117676999</v>
      </c>
      <c r="Q2054">
        <f t="shared" si="160"/>
        <v>3.13</v>
      </c>
      <c r="R2054">
        <f t="shared" si="162"/>
        <v>3.0628191663326763</v>
      </c>
      <c r="S2054">
        <f t="shared" si="163"/>
        <v>6.7180833667323636E-2</v>
      </c>
      <c r="T2054">
        <f t="shared" si="164"/>
        <v>4.5132644122366046E-3</v>
      </c>
    </row>
    <row r="2055" spans="1:20" hidden="1" x14ac:dyDescent="0.25">
      <c r="A2055" t="str">
        <f t="shared" si="161"/>
        <v>RIP</v>
      </c>
      <c r="B2055" t="s">
        <v>2061</v>
      </c>
      <c r="C2055">
        <v>1.207581429</v>
      </c>
      <c r="D2055">
        <v>8.8610260999999996E-2</v>
      </c>
      <c r="E2055">
        <v>0.68044171899999994</v>
      </c>
      <c r="F2055">
        <v>0.46049743100000001</v>
      </c>
      <c r="G2055">
        <v>0.75540157799999996</v>
      </c>
      <c r="H2055">
        <v>3.82</v>
      </c>
      <c r="I2055">
        <v>2.9169675084103202</v>
      </c>
      <c r="J2055">
        <v>2.8622728589413202</v>
      </c>
      <c r="K2055">
        <v>3.03052589560372</v>
      </c>
      <c r="L2055">
        <v>3.0248082397231899</v>
      </c>
      <c r="M2055">
        <v>2.8896201836758202</v>
      </c>
      <c r="N2055">
        <v>2.8894907734299098</v>
      </c>
      <c r="Q2055">
        <f t="shared" si="160"/>
        <v>3.82</v>
      </c>
      <c r="R2055">
        <f t="shared" si="162"/>
        <v>2.924756795584746</v>
      </c>
      <c r="S2055">
        <f t="shared" si="163"/>
        <v>0.89524320441525385</v>
      </c>
      <c r="T2055">
        <f t="shared" si="164"/>
        <v>0.80146039505169198</v>
      </c>
    </row>
    <row r="2056" spans="1:20" hidden="1" x14ac:dyDescent="0.25">
      <c r="A2056" t="str">
        <f t="shared" si="161"/>
        <v>RIP</v>
      </c>
      <c r="B2056" t="s">
        <v>2062</v>
      </c>
      <c r="C2056">
        <v>1.1759934400000001</v>
      </c>
      <c r="D2056">
        <v>9.4564527999999995E-2</v>
      </c>
      <c r="E2056">
        <v>0.68691159899999998</v>
      </c>
      <c r="F2056">
        <v>0.46513165000000001</v>
      </c>
      <c r="G2056">
        <v>0.77557915099999997</v>
      </c>
      <c r="H2056">
        <v>3.6</v>
      </c>
      <c r="I2056">
        <v>3.1895481598238402</v>
      </c>
      <c r="J2056">
        <v>3.1641613348655002</v>
      </c>
      <c r="K2056">
        <v>3.2079204624995499</v>
      </c>
      <c r="L2056">
        <v>3.24388154561449</v>
      </c>
      <c r="M2056">
        <v>3.1768547473446702</v>
      </c>
      <c r="N2056">
        <v>3.1768293884006402</v>
      </c>
      <c r="Q2056">
        <f t="shared" si="160"/>
        <v>3.6</v>
      </c>
      <c r="R2056">
        <f t="shared" si="162"/>
        <v>3.2201712189514522</v>
      </c>
      <c r="S2056">
        <f t="shared" si="163"/>
        <v>0.37982878104854789</v>
      </c>
      <c r="T2056">
        <f t="shared" si="164"/>
        <v>0.14426990291282574</v>
      </c>
    </row>
    <row r="2057" spans="1:20" hidden="1" x14ac:dyDescent="0.25">
      <c r="A2057" t="str">
        <f t="shared" si="161"/>
        <v>RIP</v>
      </c>
      <c r="B2057" t="s">
        <v>2063</v>
      </c>
      <c r="C2057">
        <v>1.148580011</v>
      </c>
      <c r="D2057">
        <v>9.6584592999999996E-2</v>
      </c>
      <c r="E2057">
        <v>0.69773426400000005</v>
      </c>
      <c r="F2057">
        <v>0.459324552</v>
      </c>
      <c r="G2057">
        <v>0.79875511799999999</v>
      </c>
      <c r="H2057">
        <v>3.5</v>
      </c>
      <c r="I2057">
        <v>3.3654461003681</v>
      </c>
      <c r="J2057">
        <v>3.2814513166812</v>
      </c>
      <c r="K2057">
        <v>3.2731858632677602</v>
      </c>
      <c r="L2057">
        <v>3.3157201728261798</v>
      </c>
      <c r="M2057">
        <v>3.32344870852465</v>
      </c>
      <c r="N2057">
        <v>3.3231833439147702</v>
      </c>
      <c r="Q2057">
        <f t="shared" si="160"/>
        <v>3.5</v>
      </c>
      <c r="R2057">
        <f t="shared" si="162"/>
        <v>3.3325495361609208</v>
      </c>
      <c r="S2057">
        <f t="shared" si="163"/>
        <v>0.16745046383907924</v>
      </c>
      <c r="T2057">
        <f t="shared" si="164"/>
        <v>2.8039657839922787E-2</v>
      </c>
    </row>
    <row r="2058" spans="1:20" hidden="1" x14ac:dyDescent="0.25">
      <c r="A2058" t="str">
        <f t="shared" si="161"/>
        <v>RIP</v>
      </c>
      <c r="B2058" t="s">
        <v>2064</v>
      </c>
      <c r="C2058">
        <v>1.248169391</v>
      </c>
      <c r="D2058">
        <v>9.4967187999999994E-2</v>
      </c>
      <c r="E2058">
        <v>0.68511221099999997</v>
      </c>
      <c r="F2058">
        <v>0.46551414899999999</v>
      </c>
      <c r="G2058">
        <v>0.77907612999999998</v>
      </c>
      <c r="H2058">
        <v>3.28</v>
      </c>
      <c r="I2058">
        <v>3.1348452453242599</v>
      </c>
      <c r="J2058">
        <v>3.10852920348123</v>
      </c>
      <c r="K2058">
        <v>3.1282294702818101</v>
      </c>
      <c r="L2058">
        <v>3.2317560030958798</v>
      </c>
      <c r="M2058">
        <v>3.12168722440274</v>
      </c>
      <c r="N2058">
        <v>3.1216594935201898</v>
      </c>
      <c r="Q2058">
        <f t="shared" si="160"/>
        <v>3.28</v>
      </c>
      <c r="R2058">
        <f t="shared" si="162"/>
        <v>3.1477982122303132</v>
      </c>
      <c r="S2058">
        <f t="shared" si="163"/>
        <v>0.13220178776968661</v>
      </c>
      <c r="T2058">
        <f t="shared" si="164"/>
        <v>1.747731268950126E-2</v>
      </c>
    </row>
    <row r="2059" spans="1:20" hidden="1" x14ac:dyDescent="0.25">
      <c r="A2059" t="str">
        <f t="shared" si="161"/>
        <v>RIP</v>
      </c>
      <c r="B2059" t="s">
        <v>2065</v>
      </c>
      <c r="C2059">
        <v>1.183907721</v>
      </c>
      <c r="D2059">
        <v>9.8454310000000003E-2</v>
      </c>
      <c r="E2059">
        <v>0.68833534600000001</v>
      </c>
      <c r="F2059">
        <v>0.47248521199999999</v>
      </c>
      <c r="G2059">
        <v>0.79925367999999997</v>
      </c>
      <c r="H2059">
        <v>3.77</v>
      </c>
      <c r="I2059">
        <v>3.54825579967632</v>
      </c>
      <c r="J2059">
        <v>3.37100158272915</v>
      </c>
      <c r="K2059">
        <v>3.1500973711514999</v>
      </c>
      <c r="L2059">
        <v>3.1729265706187699</v>
      </c>
      <c r="M2059">
        <v>3.4596286912027301</v>
      </c>
      <c r="N2059">
        <v>3.4584933015168202</v>
      </c>
      <c r="Q2059">
        <f t="shared" si="160"/>
        <v>3.77</v>
      </c>
      <c r="R2059">
        <f t="shared" si="162"/>
        <v>3.4135367515983628</v>
      </c>
      <c r="S2059">
        <f t="shared" si="163"/>
        <v>0.35646324840163723</v>
      </c>
      <c r="T2059">
        <f t="shared" si="164"/>
        <v>0.12706604746104733</v>
      </c>
    </row>
    <row r="2060" spans="1:20" hidden="1" x14ac:dyDescent="0.25">
      <c r="A2060" t="str">
        <f t="shared" si="161"/>
        <v>RIP</v>
      </c>
      <c r="B2060" t="s">
        <v>2066</v>
      </c>
      <c r="C2060">
        <v>1.030919691</v>
      </c>
      <c r="D2060">
        <v>9.5680956999999997E-2</v>
      </c>
      <c r="E2060">
        <v>0.68264133900000001</v>
      </c>
      <c r="F2060">
        <v>0.42742975100000002</v>
      </c>
      <c r="G2060">
        <v>0.795942814</v>
      </c>
      <c r="H2060">
        <v>3.8</v>
      </c>
      <c r="I2060">
        <v>3.4162889636535301</v>
      </c>
      <c r="J2060">
        <v>3.21445530134375</v>
      </c>
      <c r="K2060">
        <v>3.2484660120177198</v>
      </c>
      <c r="L2060">
        <v>3.1753185340221002</v>
      </c>
      <c r="M2060">
        <v>3.31537213249864</v>
      </c>
      <c r="N2060">
        <v>3.31383586952315</v>
      </c>
      <c r="Q2060">
        <f t="shared" si="160"/>
        <v>3.8</v>
      </c>
      <c r="R2060">
        <f t="shared" si="162"/>
        <v>3.2739739073424348</v>
      </c>
      <c r="S2060">
        <f t="shared" si="163"/>
        <v>0.52602609265756506</v>
      </c>
      <c r="T2060">
        <f t="shared" si="164"/>
        <v>0.27670345015658521</v>
      </c>
    </row>
    <row r="2061" spans="1:20" hidden="1" x14ac:dyDescent="0.25">
      <c r="A2061" t="str">
        <f t="shared" si="161"/>
        <v>RIP</v>
      </c>
      <c r="B2061" t="s">
        <v>2067</v>
      </c>
      <c r="C2061">
        <v>0.96573534599999999</v>
      </c>
      <c r="D2061">
        <v>9.8946887999999997E-2</v>
      </c>
      <c r="E2061">
        <v>0.67636520700000002</v>
      </c>
      <c r="F2061">
        <v>0.41227336199999998</v>
      </c>
      <c r="G2061">
        <v>0.79365997200000005</v>
      </c>
      <c r="H2061">
        <v>3.58</v>
      </c>
      <c r="I2061">
        <v>3.6401611675356502</v>
      </c>
      <c r="J2061">
        <v>3.37295026324656</v>
      </c>
      <c r="K2061">
        <v>3.39958844158217</v>
      </c>
      <c r="L2061">
        <v>3.3097047436728602</v>
      </c>
      <c r="M2061">
        <v>3.50655571539111</v>
      </c>
      <c r="N2061">
        <v>3.5040094988882799</v>
      </c>
      <c r="Q2061">
        <f t="shared" si="160"/>
        <v>3.58</v>
      </c>
      <c r="R2061">
        <f t="shared" si="162"/>
        <v>3.4220028999767163</v>
      </c>
      <c r="S2061">
        <f t="shared" si="163"/>
        <v>0.15799710002328382</v>
      </c>
      <c r="T2061">
        <f t="shared" si="164"/>
        <v>2.4963083615767552E-2</v>
      </c>
    </row>
    <row r="2062" spans="1:20" hidden="1" x14ac:dyDescent="0.25">
      <c r="A2062" t="str">
        <f t="shared" si="161"/>
        <v>RIP</v>
      </c>
      <c r="B2062" t="s">
        <v>2068</v>
      </c>
      <c r="C2062">
        <v>0.868542064</v>
      </c>
      <c r="D2062">
        <v>0.102198583</v>
      </c>
      <c r="E2062">
        <v>0.68222457000000003</v>
      </c>
      <c r="F2062">
        <v>0.43153412000000002</v>
      </c>
      <c r="G2062">
        <v>0.798445085</v>
      </c>
      <c r="H2062">
        <v>3.8</v>
      </c>
      <c r="I2062">
        <v>4.0636581447096001</v>
      </c>
      <c r="J2062">
        <v>3.7302822350336999</v>
      </c>
      <c r="K2062">
        <v>3.67881752243964</v>
      </c>
      <c r="L2062">
        <v>3.6089126371304001</v>
      </c>
      <c r="M2062">
        <v>3.89697018987165</v>
      </c>
      <c r="N2062">
        <v>3.8934036249097299</v>
      </c>
      <c r="Q2062">
        <f t="shared" si="160"/>
        <v>3.8</v>
      </c>
      <c r="R2062">
        <f t="shared" si="162"/>
        <v>3.7925727343082127</v>
      </c>
      <c r="S2062">
        <f t="shared" si="163"/>
        <v>7.4272656917870883E-3</v>
      </c>
      <c r="T2062">
        <f t="shared" si="164"/>
        <v>5.5164275656397538E-5</v>
      </c>
    </row>
    <row r="2063" spans="1:20" hidden="1" x14ac:dyDescent="0.25">
      <c r="A2063" t="str">
        <f t="shared" si="161"/>
        <v>RIP</v>
      </c>
      <c r="B2063" t="s">
        <v>2069</v>
      </c>
      <c r="C2063">
        <v>1.0139064689999999</v>
      </c>
      <c r="D2063">
        <v>9.7586764000000006E-2</v>
      </c>
      <c r="E2063">
        <v>0.67728303300000003</v>
      </c>
      <c r="F2063">
        <v>0.43944391500000002</v>
      </c>
      <c r="G2063">
        <v>0.78975423700000003</v>
      </c>
      <c r="H2063">
        <v>3.58</v>
      </c>
      <c r="I2063">
        <v>3.5604898618493301</v>
      </c>
      <c r="J2063">
        <v>3.3575242715199898</v>
      </c>
      <c r="K2063">
        <v>3.34029536832892</v>
      </c>
      <c r="L2063">
        <v>3.2822642605966599</v>
      </c>
      <c r="M2063">
        <v>3.4590070666846602</v>
      </c>
      <c r="N2063">
        <v>3.4575180591950598</v>
      </c>
      <c r="Q2063">
        <f t="shared" si="160"/>
        <v>3.58</v>
      </c>
      <c r="R2063">
        <f t="shared" si="162"/>
        <v>3.4196731001077305</v>
      </c>
      <c r="S2063">
        <f t="shared" si="163"/>
        <v>0.16032689989226956</v>
      </c>
      <c r="T2063">
        <f t="shared" si="164"/>
        <v>2.5704714829065823E-2</v>
      </c>
    </row>
    <row r="2064" spans="1:20" hidden="1" x14ac:dyDescent="0.25">
      <c r="A2064" t="str">
        <f t="shared" si="161"/>
        <v>RIP</v>
      </c>
      <c r="B2064" t="s">
        <v>2070</v>
      </c>
      <c r="C2064">
        <v>1.361260495</v>
      </c>
      <c r="D2064">
        <v>9.5031445000000006E-2</v>
      </c>
      <c r="E2064">
        <v>0.67010934200000005</v>
      </c>
      <c r="F2064">
        <v>0.46823959900000001</v>
      </c>
      <c r="G2064">
        <v>0.77736950400000004</v>
      </c>
      <c r="H2064">
        <v>4.1399999999999997</v>
      </c>
      <c r="I2064">
        <v>3.0687128792626899</v>
      </c>
      <c r="J2064">
        <v>2.9837709852176699</v>
      </c>
      <c r="K2064">
        <v>2.81518121007357</v>
      </c>
      <c r="L2064">
        <v>2.8842398656761801</v>
      </c>
      <c r="M2064">
        <v>3.0262419322401799</v>
      </c>
      <c r="N2064">
        <v>3.02594389424321</v>
      </c>
      <c r="Q2064">
        <f t="shared" si="160"/>
        <v>4.1399999999999997</v>
      </c>
      <c r="R2064">
        <f t="shared" si="162"/>
        <v>2.9994885066245027</v>
      </c>
      <c r="S2064">
        <f t="shared" si="163"/>
        <v>1.140511493375497</v>
      </c>
      <c r="T2064">
        <f t="shared" si="164"/>
        <v>1.3007664665216063</v>
      </c>
    </row>
    <row r="2065" spans="1:20" hidden="1" x14ac:dyDescent="0.25">
      <c r="A2065" t="str">
        <f t="shared" si="161"/>
        <v>RIP</v>
      </c>
      <c r="B2065" t="s">
        <v>2071</v>
      </c>
      <c r="C2065">
        <v>1.3314742470000001</v>
      </c>
      <c r="D2065">
        <v>9.7898221999999993E-2</v>
      </c>
      <c r="E2065">
        <v>0.68332272699999996</v>
      </c>
      <c r="F2065">
        <v>0.48506179599999999</v>
      </c>
      <c r="G2065">
        <v>0.79579346399999995</v>
      </c>
      <c r="H2065">
        <v>4.6100000000000003</v>
      </c>
      <c r="I2065">
        <v>3.3888421685071402</v>
      </c>
      <c r="J2065">
        <v>3.2331030273901402</v>
      </c>
      <c r="K2065">
        <v>2.7977362610441698</v>
      </c>
      <c r="L2065">
        <v>2.7966449548013199</v>
      </c>
      <c r="M2065">
        <v>3.31097259794864</v>
      </c>
      <c r="N2065">
        <v>3.3100567781154102</v>
      </c>
      <c r="Q2065">
        <f t="shared" si="160"/>
        <v>4.6100000000000003</v>
      </c>
      <c r="R2065">
        <f t="shared" si="162"/>
        <v>3.2542269580006553</v>
      </c>
      <c r="S2065">
        <f t="shared" si="163"/>
        <v>1.355773041999345</v>
      </c>
      <c r="T2065">
        <f t="shared" si="164"/>
        <v>1.8381205414121577</v>
      </c>
    </row>
    <row r="2066" spans="1:20" hidden="1" x14ac:dyDescent="0.25">
      <c r="A2066" t="str">
        <f t="shared" si="161"/>
        <v>RIP</v>
      </c>
      <c r="B2066" t="s">
        <v>2072</v>
      </c>
      <c r="C2066">
        <v>1.282952485</v>
      </c>
      <c r="D2066">
        <v>9.8174307000000002E-2</v>
      </c>
      <c r="E2066">
        <v>0.67438130500000004</v>
      </c>
      <c r="F2066">
        <v>0.48787987999999999</v>
      </c>
      <c r="G2066">
        <v>0.78747212</v>
      </c>
      <c r="H2066">
        <v>4.1100000000000003</v>
      </c>
      <c r="I2066">
        <v>3.4571337781103</v>
      </c>
      <c r="J2066">
        <v>3.2906764643372499</v>
      </c>
      <c r="K2066">
        <v>3.0343035527449498</v>
      </c>
      <c r="L2066">
        <v>3.0644222566627501</v>
      </c>
      <c r="M2066">
        <v>3.3739051212237801</v>
      </c>
      <c r="N2066">
        <v>3.3728784083765699</v>
      </c>
      <c r="Q2066">
        <f t="shared" si="160"/>
        <v>4.1100000000000003</v>
      </c>
      <c r="R2066">
        <f t="shared" si="162"/>
        <v>3.3220820384841128</v>
      </c>
      <c r="S2066">
        <f t="shared" si="163"/>
        <v>0.78791796151588755</v>
      </c>
      <c r="T2066">
        <f t="shared" si="164"/>
        <v>0.62081471407935163</v>
      </c>
    </row>
    <row r="2067" spans="1:20" hidden="1" x14ac:dyDescent="0.25">
      <c r="A2067" t="str">
        <f t="shared" si="161"/>
        <v>RIP</v>
      </c>
      <c r="B2067" t="s">
        <v>2073</v>
      </c>
      <c r="C2067">
        <v>1.2946445200000001</v>
      </c>
      <c r="D2067">
        <v>9.5152315000000001E-2</v>
      </c>
      <c r="E2067">
        <v>0.67978472999999995</v>
      </c>
      <c r="F2067">
        <v>0.47609386999999997</v>
      </c>
      <c r="G2067">
        <v>0.78764456199999999</v>
      </c>
      <c r="H2067">
        <v>3.98</v>
      </c>
      <c r="I2067">
        <v>3.2095945079643098</v>
      </c>
      <c r="J2067">
        <v>3.1005572738657499</v>
      </c>
      <c r="K2067">
        <v>2.9477824272667301</v>
      </c>
      <c r="L2067">
        <v>2.9718466291902899</v>
      </c>
      <c r="M2067">
        <v>3.1550758909150298</v>
      </c>
      <c r="N2067">
        <v>3.15460482435254</v>
      </c>
      <c r="Q2067">
        <f t="shared" si="160"/>
        <v>3.98</v>
      </c>
      <c r="R2067">
        <f t="shared" si="162"/>
        <v>3.1354121320338342</v>
      </c>
      <c r="S2067">
        <f t="shared" si="163"/>
        <v>0.84458786796616581</v>
      </c>
      <c r="T2067">
        <f t="shared" si="164"/>
        <v>0.71332866671563355</v>
      </c>
    </row>
    <row r="2068" spans="1:20" hidden="1" x14ac:dyDescent="0.25">
      <c r="A2068" t="str">
        <f t="shared" si="161"/>
        <v>RIP</v>
      </c>
      <c r="B2068" t="s">
        <v>2074</v>
      </c>
      <c r="C2068">
        <v>1.1853436930000001</v>
      </c>
      <c r="D2068">
        <v>9.5733189999999996E-2</v>
      </c>
      <c r="E2068">
        <v>0.67997243500000004</v>
      </c>
      <c r="F2068">
        <v>0.47847478199999999</v>
      </c>
      <c r="G2068">
        <v>0.78491261599999995</v>
      </c>
      <c r="H2068">
        <v>3.89</v>
      </c>
      <c r="I2068">
        <v>3.3611739876464499</v>
      </c>
      <c r="J2068">
        <v>3.2455101784981899</v>
      </c>
      <c r="K2068">
        <v>3.2062363180103501</v>
      </c>
      <c r="L2068">
        <v>3.2480838991767</v>
      </c>
      <c r="M2068">
        <v>3.3033420830723199</v>
      </c>
      <c r="N2068">
        <v>3.3028358101198299</v>
      </c>
      <c r="Q2068">
        <f t="shared" si="160"/>
        <v>3.89</v>
      </c>
      <c r="R2068">
        <f t="shared" si="162"/>
        <v>3.3029888023874223</v>
      </c>
      <c r="S2068">
        <f t="shared" si="163"/>
        <v>0.58701119761257781</v>
      </c>
      <c r="T2068">
        <f t="shared" si="164"/>
        <v>0.34458214612255289</v>
      </c>
    </row>
    <row r="2069" spans="1:20" hidden="1" x14ac:dyDescent="0.25">
      <c r="A2069" t="str">
        <f t="shared" si="161"/>
        <v>RIP</v>
      </c>
      <c r="B2069" t="s">
        <v>2075</v>
      </c>
      <c r="C2069">
        <v>1.267858151</v>
      </c>
      <c r="D2069">
        <v>9.7679372E-2</v>
      </c>
      <c r="E2069">
        <v>0.68984218100000005</v>
      </c>
      <c r="F2069">
        <v>0.46889655099999999</v>
      </c>
      <c r="G2069">
        <v>0.80146604799999999</v>
      </c>
      <c r="H2069">
        <v>3.57</v>
      </c>
      <c r="I2069">
        <v>3.40131770046712</v>
      </c>
      <c r="J2069">
        <v>3.23745823607995</v>
      </c>
      <c r="K2069">
        <v>2.9565833421104402</v>
      </c>
      <c r="L2069">
        <v>2.9880958314247699</v>
      </c>
      <c r="M2069">
        <v>3.3193879682735399</v>
      </c>
      <c r="N2069">
        <v>3.3183767120237899</v>
      </c>
      <c r="Q2069">
        <f t="shared" si="160"/>
        <v>3.57</v>
      </c>
      <c r="R2069">
        <f t="shared" si="162"/>
        <v>3.2636514131567074</v>
      </c>
      <c r="S2069">
        <f t="shared" si="163"/>
        <v>0.30634858684329247</v>
      </c>
      <c r="T2069">
        <f t="shared" si="164"/>
        <v>9.3849456660882305E-2</v>
      </c>
    </row>
    <row r="2070" spans="1:20" hidden="1" x14ac:dyDescent="0.25">
      <c r="A2070" t="str">
        <f t="shared" si="161"/>
        <v>RIP</v>
      </c>
      <c r="B2070" t="s">
        <v>2076</v>
      </c>
      <c r="C2070">
        <v>1.237309365</v>
      </c>
      <c r="D2070">
        <v>9.8944823000000001E-2</v>
      </c>
      <c r="E2070">
        <v>0.69348117899999995</v>
      </c>
      <c r="F2070">
        <v>0.47396673700000003</v>
      </c>
      <c r="G2070">
        <v>0.80608505200000002</v>
      </c>
      <c r="H2070">
        <v>4.07</v>
      </c>
      <c r="I2070">
        <v>3.5600060033390402</v>
      </c>
      <c r="J2070">
        <v>3.3570455218797499</v>
      </c>
      <c r="K2070">
        <v>2.88283691859082</v>
      </c>
      <c r="L2070">
        <v>2.84052429502418</v>
      </c>
      <c r="M2070">
        <v>3.4585257626093999</v>
      </c>
      <c r="N2070">
        <v>3.4570366227991198</v>
      </c>
      <c r="Q2070">
        <f t="shared" si="160"/>
        <v>4.07</v>
      </c>
      <c r="R2070">
        <f t="shared" si="162"/>
        <v>3.3868650635086772</v>
      </c>
      <c r="S2070">
        <f t="shared" si="163"/>
        <v>0.68313493649132306</v>
      </c>
      <c r="T2070">
        <f t="shared" si="164"/>
        <v>0.466673341455004</v>
      </c>
    </row>
    <row r="2071" spans="1:20" hidden="1" x14ac:dyDescent="0.25">
      <c r="A2071" t="str">
        <f t="shared" si="161"/>
        <v>RIP</v>
      </c>
      <c r="B2071" t="s">
        <v>2077</v>
      </c>
      <c r="C2071">
        <v>1.5480272340000001</v>
      </c>
      <c r="D2071">
        <v>9.7548079999999995E-2</v>
      </c>
      <c r="E2071">
        <v>0.69570986300000004</v>
      </c>
      <c r="F2071">
        <v>0.50109393599999996</v>
      </c>
      <c r="G2071">
        <v>0.80360916199999999</v>
      </c>
      <c r="H2071">
        <v>4.45</v>
      </c>
      <c r="I2071">
        <v>3.1518031757790599</v>
      </c>
      <c r="J2071">
        <v>3.0789101628690001</v>
      </c>
      <c r="K2071">
        <v>2.4321024707053098</v>
      </c>
      <c r="L2071">
        <v>2.4367928934573602</v>
      </c>
      <c r="M2071">
        <v>3.1153566693240302</v>
      </c>
      <c r="N2071">
        <v>3.1151434684888799</v>
      </c>
      <c r="Q2071">
        <f t="shared" si="160"/>
        <v>4.45</v>
      </c>
      <c r="R2071">
        <f t="shared" si="162"/>
        <v>3.0658905323039716</v>
      </c>
      <c r="S2071">
        <f t="shared" si="163"/>
        <v>1.3841094676960286</v>
      </c>
      <c r="T2071">
        <f t="shared" si="164"/>
        <v>1.9157590185657836</v>
      </c>
    </row>
    <row r="2072" spans="1:20" hidden="1" x14ac:dyDescent="0.25">
      <c r="A2072" t="str">
        <f t="shared" si="161"/>
        <v>RIP</v>
      </c>
      <c r="B2072" t="s">
        <v>2078</v>
      </c>
      <c r="C2072">
        <v>1.310313587</v>
      </c>
      <c r="D2072">
        <v>0.10044500000000001</v>
      </c>
      <c r="E2072">
        <v>0.68627826700000005</v>
      </c>
      <c r="F2072">
        <v>0.46143883400000002</v>
      </c>
      <c r="G2072">
        <v>0.79726614100000004</v>
      </c>
      <c r="H2072">
        <v>3.6</v>
      </c>
      <c r="I2072">
        <v>3.45522944897162</v>
      </c>
      <c r="J2072">
        <v>3.30577567929486</v>
      </c>
      <c r="K2072">
        <v>2.8540679755762999</v>
      </c>
      <c r="L2072">
        <v>2.8834838557054199</v>
      </c>
      <c r="M2072">
        <v>3.38050256413324</v>
      </c>
      <c r="N2072">
        <v>3.3796765346396298</v>
      </c>
      <c r="Q2072">
        <f t="shared" si="160"/>
        <v>3.6</v>
      </c>
      <c r="R2072">
        <f t="shared" si="162"/>
        <v>3.3035363354234306</v>
      </c>
      <c r="S2072">
        <f t="shared" si="163"/>
        <v>0.29646366457656947</v>
      </c>
      <c r="T2072">
        <f t="shared" si="164"/>
        <v>8.7890704414168699E-2</v>
      </c>
    </row>
    <row r="2073" spans="1:20" hidden="1" x14ac:dyDescent="0.25">
      <c r="A2073" t="str">
        <f t="shared" si="161"/>
        <v>RIP</v>
      </c>
      <c r="B2073" t="s">
        <v>2079</v>
      </c>
      <c r="C2073">
        <v>1.1539533639999999</v>
      </c>
      <c r="D2073">
        <v>9.6788581999999998E-2</v>
      </c>
      <c r="E2073">
        <v>0.68553441500000001</v>
      </c>
      <c r="F2073">
        <v>0.45307649900000002</v>
      </c>
      <c r="G2073">
        <v>0.79258135900000004</v>
      </c>
      <c r="H2073">
        <v>3.28</v>
      </c>
      <c r="I2073">
        <v>3.3699637320536699</v>
      </c>
      <c r="J2073">
        <v>3.2425738642332198</v>
      </c>
      <c r="K2073">
        <v>3.08779316366752</v>
      </c>
      <c r="L2073">
        <v>3.0637977775796799</v>
      </c>
      <c r="M2073">
        <v>3.30626879814344</v>
      </c>
      <c r="N2073">
        <v>3.3056552029773201</v>
      </c>
      <c r="Q2073">
        <f t="shared" si="160"/>
        <v>3.28</v>
      </c>
      <c r="R2073">
        <f t="shared" si="162"/>
        <v>3.2871528210832404</v>
      </c>
      <c r="S2073">
        <f t="shared" si="163"/>
        <v>-7.152821083240557E-3</v>
      </c>
      <c r="T2073">
        <f t="shared" si="164"/>
        <v>5.1162849448850617E-5</v>
      </c>
    </row>
    <row r="2074" spans="1:20" hidden="1" x14ac:dyDescent="0.25">
      <c r="A2074" t="str">
        <f t="shared" si="161"/>
        <v>RIP</v>
      </c>
      <c r="B2074" t="s">
        <v>2080</v>
      </c>
      <c r="C2074">
        <v>1.232397599</v>
      </c>
      <c r="D2074">
        <v>9.1068074999999998E-2</v>
      </c>
      <c r="E2074">
        <v>0.68228408100000004</v>
      </c>
      <c r="F2074">
        <v>0.450158212</v>
      </c>
      <c r="G2074">
        <v>0.77006048900000001</v>
      </c>
      <c r="H2074">
        <v>3.39</v>
      </c>
      <c r="I2074">
        <v>2.9270628144312201</v>
      </c>
      <c r="J2074">
        <v>2.89754410704314</v>
      </c>
      <c r="K2074">
        <v>2.9302557052306502</v>
      </c>
      <c r="L2074">
        <v>2.91241694394787</v>
      </c>
      <c r="M2074">
        <v>2.91230346073718</v>
      </c>
      <c r="N2074">
        <v>2.9122660608021902</v>
      </c>
      <c r="Q2074">
        <f t="shared" si="160"/>
        <v>3.39</v>
      </c>
      <c r="R2074">
        <f t="shared" si="162"/>
        <v>2.9427047711387981</v>
      </c>
      <c r="S2074">
        <f t="shared" si="163"/>
        <v>0.44729522886120199</v>
      </c>
      <c r="T2074">
        <f t="shared" si="164"/>
        <v>0.20007302176199507</v>
      </c>
    </row>
    <row r="2075" spans="1:20" hidden="1" x14ac:dyDescent="0.25">
      <c r="A2075" t="str">
        <f t="shared" si="161"/>
        <v>RIP</v>
      </c>
      <c r="B2075" t="s">
        <v>2081</v>
      </c>
      <c r="C2075">
        <v>1.0652164040000001</v>
      </c>
      <c r="D2075">
        <v>9.9637050000000005E-2</v>
      </c>
      <c r="E2075">
        <v>0.70231446600000003</v>
      </c>
      <c r="F2075">
        <v>0.43437661500000002</v>
      </c>
      <c r="G2075">
        <v>0.79615980799999997</v>
      </c>
      <c r="H2075">
        <v>3.69</v>
      </c>
      <c r="I2075">
        <v>3.4572401528422398</v>
      </c>
      <c r="J2075">
        <v>3.43536378665023</v>
      </c>
      <c r="K2075">
        <v>3.0983653999887402</v>
      </c>
      <c r="L2075">
        <v>3.0204679491961799</v>
      </c>
      <c r="M2075">
        <v>3.44630196974623</v>
      </c>
      <c r="N2075">
        <v>3.4462846114079602</v>
      </c>
      <c r="Q2075">
        <f t="shared" si="160"/>
        <v>3.69</v>
      </c>
      <c r="R2075">
        <f t="shared" si="162"/>
        <v>3.4744683372380614</v>
      </c>
      <c r="S2075">
        <f t="shared" si="163"/>
        <v>0.21553166276193858</v>
      </c>
      <c r="T2075">
        <f t="shared" si="164"/>
        <v>4.645389765292602E-2</v>
      </c>
    </row>
    <row r="2076" spans="1:20" hidden="1" x14ac:dyDescent="0.25">
      <c r="A2076" t="str">
        <f t="shared" si="161"/>
        <v>RIP</v>
      </c>
      <c r="B2076" t="s">
        <v>2082</v>
      </c>
      <c r="C2076">
        <v>1.2561532259999999</v>
      </c>
      <c r="D2076">
        <v>0.10229680300000001</v>
      </c>
      <c r="E2076">
        <v>0.69727275200000005</v>
      </c>
      <c r="F2076">
        <v>0.491301918</v>
      </c>
      <c r="G2076">
        <v>0.79859685300000005</v>
      </c>
      <c r="H2076">
        <v>4.16</v>
      </c>
      <c r="I2076">
        <v>3.6620062907047002</v>
      </c>
      <c r="J2076">
        <v>3.5945084200558601</v>
      </c>
      <c r="K2076">
        <v>3.1644949543191498</v>
      </c>
      <c r="L2076">
        <v>3.21362513471533</v>
      </c>
      <c r="M2076">
        <v>3.6282573553802799</v>
      </c>
      <c r="N2076">
        <v>3.6281003908706202</v>
      </c>
      <c r="Q2076">
        <f t="shared" si="160"/>
        <v>4.16</v>
      </c>
      <c r="R2076">
        <f t="shared" si="162"/>
        <v>3.610784714605844</v>
      </c>
      <c r="S2076">
        <f t="shared" si="163"/>
        <v>0.54921528539415609</v>
      </c>
      <c r="T2076">
        <f t="shared" si="164"/>
        <v>0.30163742971058433</v>
      </c>
    </row>
    <row r="2077" spans="1:20" hidden="1" x14ac:dyDescent="0.25">
      <c r="A2077" t="str">
        <f t="shared" si="161"/>
        <v>RIP</v>
      </c>
      <c r="B2077" t="s">
        <v>2083</v>
      </c>
      <c r="C2077">
        <v>1.099707408</v>
      </c>
      <c r="D2077">
        <v>9.9128337999999996E-2</v>
      </c>
      <c r="E2077">
        <v>0.70034702999999998</v>
      </c>
      <c r="F2077">
        <v>0.43460815000000003</v>
      </c>
      <c r="G2077">
        <v>0.79384900999999997</v>
      </c>
      <c r="H2077">
        <v>3.91</v>
      </c>
      <c r="I2077">
        <v>3.3830731589296898</v>
      </c>
      <c r="J2077">
        <v>3.3714048954531699</v>
      </c>
      <c r="K2077">
        <v>3.1404710022048401</v>
      </c>
      <c r="L2077">
        <v>3.0912474652589799</v>
      </c>
      <c r="M2077">
        <v>3.3772390271914299</v>
      </c>
      <c r="N2077">
        <v>3.3772339879984301</v>
      </c>
      <c r="Q2077">
        <f t="shared" si="160"/>
        <v>3.91</v>
      </c>
      <c r="R2077">
        <f t="shared" si="162"/>
        <v>3.4059148734175695</v>
      </c>
      <c r="S2077">
        <f t="shared" si="163"/>
        <v>0.50408512658243065</v>
      </c>
      <c r="T2077">
        <f t="shared" si="164"/>
        <v>0.25410181484162514</v>
      </c>
    </row>
    <row r="2078" spans="1:20" hidden="1" x14ac:dyDescent="0.25">
      <c r="A2078" t="str">
        <f t="shared" si="161"/>
        <v>RIP</v>
      </c>
      <c r="B2078" t="s">
        <v>2084</v>
      </c>
      <c r="C2078">
        <v>0.93769011300000005</v>
      </c>
      <c r="D2078">
        <v>9.5864503000000004E-2</v>
      </c>
      <c r="E2078">
        <v>0.69524226899999997</v>
      </c>
      <c r="F2078">
        <v>0.395269869</v>
      </c>
      <c r="G2078">
        <v>0.77717777899999996</v>
      </c>
      <c r="H2078">
        <v>3.35</v>
      </c>
      <c r="I2078">
        <v>3.21269624687412</v>
      </c>
      <c r="J2078">
        <v>3.21890728492914</v>
      </c>
      <c r="K2078">
        <v>3.2125578837169702</v>
      </c>
      <c r="L2078">
        <v>3.04305735331315</v>
      </c>
      <c r="M2078">
        <v>3.21580176590163</v>
      </c>
      <c r="N2078">
        <v>3.2158002663921201</v>
      </c>
      <c r="Q2078">
        <f t="shared" si="160"/>
        <v>3.35</v>
      </c>
      <c r="R2078">
        <f t="shared" si="162"/>
        <v>3.2785869407260062</v>
      </c>
      <c r="S2078">
        <f t="shared" si="163"/>
        <v>7.1413059273993884E-2</v>
      </c>
      <c r="T2078">
        <f t="shared" si="164"/>
        <v>5.0998250348709643E-3</v>
      </c>
    </row>
    <row r="2079" spans="1:20" hidden="1" x14ac:dyDescent="0.25">
      <c r="A2079" t="str">
        <f t="shared" si="161"/>
        <v>RIP</v>
      </c>
      <c r="B2079" t="s">
        <v>2085</v>
      </c>
      <c r="C2079">
        <v>1.3639956090000001</v>
      </c>
      <c r="D2079">
        <v>8.9862169000000006E-2</v>
      </c>
      <c r="E2079">
        <v>0.66885976999999996</v>
      </c>
      <c r="F2079">
        <v>0.46946864100000002</v>
      </c>
      <c r="G2079">
        <v>0.74983381100000002</v>
      </c>
      <c r="H2079">
        <v>4.42</v>
      </c>
      <c r="I2079">
        <v>2.80040593913338</v>
      </c>
      <c r="J2079">
        <v>2.7685337771727498</v>
      </c>
      <c r="K2079">
        <v>2.8308185019468399</v>
      </c>
      <c r="L2079">
        <v>2.8883486572635699</v>
      </c>
      <c r="M2079">
        <v>2.7844698581530598</v>
      </c>
      <c r="N2079">
        <v>2.78442425508146</v>
      </c>
      <c r="Q2079">
        <f t="shared" si="160"/>
        <v>4.42</v>
      </c>
      <c r="R2079">
        <f t="shared" si="162"/>
        <v>2.799707067441938</v>
      </c>
      <c r="S2079">
        <f t="shared" si="163"/>
        <v>1.6202929325580619</v>
      </c>
      <c r="T2079">
        <f t="shared" si="164"/>
        <v>2.6253491872976045</v>
      </c>
    </row>
    <row r="2080" spans="1:20" hidden="1" x14ac:dyDescent="0.25">
      <c r="A2080" t="str">
        <f t="shared" si="161"/>
        <v>RIP</v>
      </c>
      <c r="B2080" t="s">
        <v>2086</v>
      </c>
      <c r="C2080">
        <v>1.4213680120000001</v>
      </c>
      <c r="D2080">
        <v>9.9121523000000003E-2</v>
      </c>
      <c r="E2080">
        <v>0.68934636999999999</v>
      </c>
      <c r="F2080">
        <v>0.497682236</v>
      </c>
      <c r="G2080">
        <v>0.79722693499999997</v>
      </c>
      <c r="H2080">
        <v>3.52</v>
      </c>
      <c r="I2080">
        <v>3.3589363178578799</v>
      </c>
      <c r="J2080">
        <v>3.2622334126066002</v>
      </c>
      <c r="K2080">
        <v>2.7079839915060702</v>
      </c>
      <c r="L2080">
        <v>2.7427027914774502</v>
      </c>
      <c r="M2080">
        <v>3.31058486523224</v>
      </c>
      <c r="N2080">
        <v>3.31023175728434</v>
      </c>
      <c r="Q2080">
        <f t="shared" si="160"/>
        <v>3.52</v>
      </c>
      <c r="R2080">
        <f t="shared" si="162"/>
        <v>3.2660953619064705</v>
      </c>
      <c r="S2080">
        <f t="shared" si="163"/>
        <v>0.25390463809352948</v>
      </c>
      <c r="T2080">
        <f t="shared" si="164"/>
        <v>6.4467565245406186E-2</v>
      </c>
    </row>
    <row r="2081" spans="1:20" hidden="1" x14ac:dyDescent="0.25">
      <c r="A2081" t="str">
        <f t="shared" si="161"/>
        <v>RIP</v>
      </c>
      <c r="B2081" t="s">
        <v>2087</v>
      </c>
      <c r="C2081">
        <v>1.3986349</v>
      </c>
      <c r="D2081">
        <v>0.102409535</v>
      </c>
      <c r="E2081">
        <v>0.68615833800000003</v>
      </c>
      <c r="F2081">
        <v>0.47870022000000001</v>
      </c>
      <c r="G2081">
        <v>0.79014917600000001</v>
      </c>
      <c r="H2081">
        <v>3.3</v>
      </c>
      <c r="I2081">
        <v>3.4336388492348702</v>
      </c>
      <c r="J2081">
        <v>3.3928258347935798</v>
      </c>
      <c r="K2081">
        <v>2.8538615776284901</v>
      </c>
      <c r="L2081">
        <v>2.9729287865092302</v>
      </c>
      <c r="M2081">
        <v>3.4132323420142301</v>
      </c>
      <c r="N2081">
        <v>3.4131713398297201</v>
      </c>
      <c r="Q2081">
        <f t="shared" si="160"/>
        <v>3.3</v>
      </c>
      <c r="R2081">
        <f t="shared" si="162"/>
        <v>3.3694587750358203</v>
      </c>
      <c r="S2081">
        <f t="shared" si="163"/>
        <v>-6.945877503582043E-2</v>
      </c>
      <c r="T2081">
        <f t="shared" si="164"/>
        <v>4.8245214294767112E-3</v>
      </c>
    </row>
    <row r="2082" spans="1:20" hidden="1" x14ac:dyDescent="0.25">
      <c r="A2082" t="str">
        <f t="shared" si="161"/>
        <v>RIP</v>
      </c>
      <c r="B2082" t="s">
        <v>2088</v>
      </c>
      <c r="C2082">
        <v>1.2975873769999999</v>
      </c>
      <c r="D2082">
        <v>9.7196961999999998E-2</v>
      </c>
      <c r="E2082">
        <v>0.667544833</v>
      </c>
      <c r="F2082">
        <v>0.42684878300000001</v>
      </c>
      <c r="G2082">
        <v>0.76836473699999996</v>
      </c>
      <c r="H2082">
        <v>4.17</v>
      </c>
      <c r="I2082">
        <v>3.0107598141153402</v>
      </c>
      <c r="J2082">
        <v>2.9922119308267501</v>
      </c>
      <c r="K2082">
        <v>2.71092576480617</v>
      </c>
      <c r="L2082">
        <v>2.67803981022838</v>
      </c>
      <c r="M2082">
        <v>3.0014858724710498</v>
      </c>
      <c r="N2082">
        <v>3.0014715452007299</v>
      </c>
      <c r="Q2082">
        <f t="shared" si="160"/>
        <v>4.17</v>
      </c>
      <c r="R2082">
        <f t="shared" si="162"/>
        <v>2.9872079308330672</v>
      </c>
      <c r="S2082">
        <f t="shared" si="163"/>
        <v>1.1827920691669327</v>
      </c>
      <c r="T2082">
        <f t="shared" si="164"/>
        <v>1.3989970788841941</v>
      </c>
    </row>
    <row r="2083" spans="1:20" hidden="1" x14ac:dyDescent="0.25">
      <c r="A2083" t="str">
        <f t="shared" si="161"/>
        <v>RIP</v>
      </c>
      <c r="B2083" t="s">
        <v>2089</v>
      </c>
      <c r="C2083">
        <v>1.3024067349999999</v>
      </c>
      <c r="D2083">
        <v>9.5269309999999996E-2</v>
      </c>
      <c r="E2083">
        <v>0.68549880900000004</v>
      </c>
      <c r="F2083">
        <v>0.46512451300000002</v>
      </c>
      <c r="G2083">
        <v>0.78280060600000001</v>
      </c>
      <c r="H2083">
        <v>3.87</v>
      </c>
      <c r="I2083">
        <v>3.0939932068112599</v>
      </c>
      <c r="J2083">
        <v>3.0672113008171502</v>
      </c>
      <c r="K2083">
        <v>2.8826692720139802</v>
      </c>
      <c r="L2083">
        <v>2.9182442474378401</v>
      </c>
      <c r="M2083">
        <v>3.0806022538142099</v>
      </c>
      <c r="N2083">
        <v>3.0805731493640902</v>
      </c>
      <c r="Q2083">
        <f t="shared" si="160"/>
        <v>3.87</v>
      </c>
      <c r="R2083">
        <f t="shared" si="162"/>
        <v>3.0935457695018997</v>
      </c>
      <c r="S2083">
        <f t="shared" si="163"/>
        <v>0.77645423049810036</v>
      </c>
      <c r="T2083">
        <f t="shared" si="164"/>
        <v>0.6028811720583972</v>
      </c>
    </row>
    <row r="2084" spans="1:20" hidden="1" x14ac:dyDescent="0.25">
      <c r="A2084" t="str">
        <f t="shared" si="161"/>
        <v>RIP</v>
      </c>
      <c r="B2084" t="s">
        <v>2090</v>
      </c>
      <c r="C2084">
        <v>1.4584355529999999</v>
      </c>
      <c r="D2084">
        <v>8.9627412000000004E-2</v>
      </c>
      <c r="E2084">
        <v>0.67828744799999996</v>
      </c>
      <c r="F2084">
        <v>0.47509122599999998</v>
      </c>
      <c r="G2084">
        <v>0.76262635700000003</v>
      </c>
      <c r="H2084">
        <v>4.18</v>
      </c>
      <c r="I2084">
        <v>2.6957439977979099</v>
      </c>
      <c r="J2084">
        <v>2.7002966471269798</v>
      </c>
      <c r="K2084">
        <v>2.7497012730054702</v>
      </c>
      <c r="L2084">
        <v>2.8952639678676801</v>
      </c>
      <c r="M2084">
        <v>2.6980203224624399</v>
      </c>
      <c r="N2084">
        <v>2.6980193621926398</v>
      </c>
      <c r="Q2084">
        <f t="shared" si="160"/>
        <v>4.18</v>
      </c>
      <c r="R2084">
        <f t="shared" si="162"/>
        <v>2.715754306360143</v>
      </c>
      <c r="S2084">
        <f t="shared" si="163"/>
        <v>1.4642456936398567</v>
      </c>
      <c r="T2084">
        <f t="shared" si="164"/>
        <v>2.1440154513428649</v>
      </c>
    </row>
    <row r="2085" spans="1:20" hidden="1" x14ac:dyDescent="0.25">
      <c r="A2085" t="str">
        <f t="shared" si="161"/>
        <v>RIP</v>
      </c>
      <c r="B2085" t="s">
        <v>2091</v>
      </c>
      <c r="C2085">
        <v>1.2796482709999999</v>
      </c>
      <c r="D2085">
        <v>9.9934112000000005E-2</v>
      </c>
      <c r="E2085">
        <v>0.692764559</v>
      </c>
      <c r="F2085">
        <v>0.46085195800000001</v>
      </c>
      <c r="G2085">
        <v>0.79282302100000002</v>
      </c>
      <c r="H2085">
        <v>4.08</v>
      </c>
      <c r="I2085">
        <v>3.34839877746604</v>
      </c>
      <c r="J2085">
        <v>3.31769166167255</v>
      </c>
      <c r="K2085">
        <v>2.93570714376084</v>
      </c>
      <c r="L2085">
        <v>2.9768481178491002</v>
      </c>
      <c r="M2085">
        <v>3.3330452195692999</v>
      </c>
      <c r="N2085">
        <v>3.33300985656413</v>
      </c>
      <c r="Q2085">
        <f t="shared" si="160"/>
        <v>4.08</v>
      </c>
      <c r="R2085">
        <f t="shared" si="162"/>
        <v>3.3249907752601899</v>
      </c>
      <c r="S2085">
        <f t="shared" si="163"/>
        <v>0.75500922473981014</v>
      </c>
      <c r="T2085">
        <f t="shared" si="164"/>
        <v>0.57003892944220913</v>
      </c>
    </row>
    <row r="2086" spans="1:20" hidden="1" x14ac:dyDescent="0.25">
      <c r="A2086" t="str">
        <f t="shared" si="161"/>
        <v>RIP</v>
      </c>
      <c r="B2086" t="s">
        <v>2092</v>
      </c>
      <c r="C2086">
        <v>1.3091709520000001</v>
      </c>
      <c r="D2086">
        <v>0.100486178</v>
      </c>
      <c r="E2086">
        <v>0.69376463700000002</v>
      </c>
      <c r="F2086">
        <v>0.51144976799999997</v>
      </c>
      <c r="G2086">
        <v>0.80121426500000004</v>
      </c>
      <c r="H2086">
        <v>3.97</v>
      </c>
      <c r="I2086">
        <v>3.6414906100508899</v>
      </c>
      <c r="J2086">
        <v>3.5058224654783698</v>
      </c>
      <c r="K2086">
        <v>3.1766727513545598</v>
      </c>
      <c r="L2086">
        <v>3.31586398675746</v>
      </c>
      <c r="M2086">
        <v>3.5736565377646299</v>
      </c>
      <c r="N2086">
        <v>3.5730126767960102</v>
      </c>
      <c r="Q2086">
        <f t="shared" si="160"/>
        <v>3.97</v>
      </c>
      <c r="R2086">
        <f t="shared" si="162"/>
        <v>3.534699727109837</v>
      </c>
      <c r="S2086">
        <f t="shared" si="163"/>
        <v>0.43530027289016315</v>
      </c>
      <c r="T2086">
        <f t="shared" si="164"/>
        <v>0.18948632757825051</v>
      </c>
    </row>
    <row r="2087" spans="1:20" hidden="1" x14ac:dyDescent="0.25">
      <c r="A2087" t="str">
        <f t="shared" si="161"/>
        <v>RIP</v>
      </c>
      <c r="B2087" t="s">
        <v>2093</v>
      </c>
      <c r="C2087">
        <v>1.2495220330000001</v>
      </c>
      <c r="D2087">
        <v>9.7139717E-2</v>
      </c>
      <c r="E2087">
        <v>0.68039245000000004</v>
      </c>
      <c r="F2087">
        <v>0.45820531599999997</v>
      </c>
      <c r="G2087">
        <v>0.78730621300000003</v>
      </c>
      <c r="H2087">
        <v>3.2</v>
      </c>
      <c r="I2087">
        <v>3.2760173531676302</v>
      </c>
      <c r="J2087">
        <v>3.1741891554427002</v>
      </c>
      <c r="K2087">
        <v>2.97838985905299</v>
      </c>
      <c r="L2087">
        <v>3.00586218303533</v>
      </c>
      <c r="M2087">
        <v>3.2251032543051701</v>
      </c>
      <c r="N2087">
        <v>3.2247013436079301</v>
      </c>
      <c r="Q2087">
        <f t="shared" si="160"/>
        <v>3.2</v>
      </c>
      <c r="R2087">
        <f t="shared" si="162"/>
        <v>3.1996678244445653</v>
      </c>
      <c r="S2087">
        <f t="shared" si="163"/>
        <v>3.3217555543485489E-4</v>
      </c>
      <c r="T2087">
        <f t="shared" si="164"/>
        <v>1.1034059962845434E-7</v>
      </c>
    </row>
    <row r="2088" spans="1:20" hidden="1" x14ac:dyDescent="0.25">
      <c r="A2088" t="str">
        <f t="shared" si="161"/>
        <v>RIP</v>
      </c>
      <c r="B2088" t="s">
        <v>2094</v>
      </c>
      <c r="C2088">
        <v>1.3172552609999999</v>
      </c>
      <c r="D2088">
        <v>9.5957791000000001E-2</v>
      </c>
      <c r="E2088">
        <v>0.68597635599999995</v>
      </c>
      <c r="F2088">
        <v>0.450139766</v>
      </c>
      <c r="G2088">
        <v>0.78313131499999999</v>
      </c>
      <c r="H2088">
        <v>3.7</v>
      </c>
      <c r="I2088">
        <v>3.0378846567608999</v>
      </c>
      <c r="J2088">
        <v>3.02989122509813</v>
      </c>
      <c r="K2088">
        <v>2.8272838352238301</v>
      </c>
      <c r="L2088">
        <v>2.8695336036753898</v>
      </c>
      <c r="M2088">
        <v>3.0338879409295099</v>
      </c>
      <c r="N2088">
        <v>3.03388530837606</v>
      </c>
      <c r="Q2088">
        <f t="shared" si="160"/>
        <v>3.7</v>
      </c>
      <c r="R2088">
        <f t="shared" si="162"/>
        <v>3.0412153662652504</v>
      </c>
      <c r="S2088">
        <f t="shared" si="163"/>
        <v>0.65878463373474982</v>
      </c>
      <c r="T2088">
        <f t="shared" si="164"/>
        <v>0.43399719364502848</v>
      </c>
    </row>
    <row r="2089" spans="1:20" hidden="1" x14ac:dyDescent="0.25">
      <c r="A2089" t="str">
        <f t="shared" si="161"/>
        <v>RIP</v>
      </c>
      <c r="B2089" t="s">
        <v>2095</v>
      </c>
      <c r="C2089">
        <v>1.0836244340000001</v>
      </c>
      <c r="D2089">
        <v>9.2445954999999996E-2</v>
      </c>
      <c r="E2089">
        <v>0.69060330199999997</v>
      </c>
      <c r="F2089">
        <v>0.45974940600000003</v>
      </c>
      <c r="G2089">
        <v>0.78685533200000002</v>
      </c>
      <c r="H2089">
        <v>3.83</v>
      </c>
      <c r="I2089">
        <v>3.2378178505637099</v>
      </c>
      <c r="J2089">
        <v>3.1511545969172099</v>
      </c>
      <c r="K2089">
        <v>3.21053489274684</v>
      </c>
      <c r="L2089">
        <v>3.1570047017672498</v>
      </c>
      <c r="M2089">
        <v>3.1944862237404599</v>
      </c>
      <c r="N2089">
        <v>3.1941923241696699</v>
      </c>
      <c r="Q2089">
        <f t="shared" si="160"/>
        <v>3.83</v>
      </c>
      <c r="R2089">
        <f t="shared" si="162"/>
        <v>3.2306324410466294</v>
      </c>
      <c r="S2089">
        <f t="shared" si="163"/>
        <v>0.59936755895337068</v>
      </c>
      <c r="T2089">
        <f t="shared" si="164"/>
        <v>0.35924147072572227</v>
      </c>
    </row>
    <row r="2090" spans="1:20" hidden="1" x14ac:dyDescent="0.25">
      <c r="A2090" t="str">
        <f t="shared" si="161"/>
        <v>RIP</v>
      </c>
      <c r="B2090" t="s">
        <v>2096</v>
      </c>
      <c r="C2090">
        <v>1.2599739109999999</v>
      </c>
      <c r="D2090">
        <v>9.3798009000000002E-2</v>
      </c>
      <c r="E2090">
        <v>0.69161234800000004</v>
      </c>
      <c r="F2090">
        <v>0.492123219</v>
      </c>
      <c r="G2090">
        <v>0.79403113400000003</v>
      </c>
      <c r="H2090">
        <v>3.12</v>
      </c>
      <c r="I2090">
        <v>3.2389754131001101</v>
      </c>
      <c r="J2090">
        <v>3.1531170545704401</v>
      </c>
      <c r="K2090">
        <v>3.0702066402327102</v>
      </c>
      <c r="L2090">
        <v>3.1276790739328399</v>
      </c>
      <c r="M2090">
        <v>3.1960462338352702</v>
      </c>
      <c r="N2090">
        <v>3.1957579092259598</v>
      </c>
      <c r="Q2090">
        <f t="shared" si="160"/>
        <v>3.12</v>
      </c>
      <c r="R2090">
        <f t="shared" si="162"/>
        <v>3.2106030540266772</v>
      </c>
      <c r="S2090">
        <f t="shared" si="163"/>
        <v>-9.0603054026677121E-2</v>
      </c>
      <c r="T2090">
        <f t="shared" si="164"/>
        <v>8.2089133989609736E-3</v>
      </c>
    </row>
    <row r="2091" spans="1:20" hidden="1" x14ac:dyDescent="0.25">
      <c r="A2091" t="str">
        <f t="shared" si="161"/>
        <v>RIP</v>
      </c>
      <c r="B2091" t="s">
        <v>2097</v>
      </c>
      <c r="C2091">
        <v>1.229467428</v>
      </c>
      <c r="D2091">
        <v>9.9576312E-2</v>
      </c>
      <c r="E2091">
        <v>0.70494241599999996</v>
      </c>
      <c r="F2091">
        <v>0.50635170600000001</v>
      </c>
      <c r="G2091">
        <v>0.80794266100000001</v>
      </c>
      <c r="H2091">
        <v>4.16</v>
      </c>
      <c r="I2091">
        <v>3.6466794326838201</v>
      </c>
      <c r="J2091">
        <v>3.5367163622561701</v>
      </c>
      <c r="K2091">
        <v>3.1502251288409102</v>
      </c>
      <c r="L2091">
        <v>3.1929225214786898</v>
      </c>
      <c r="M2091">
        <v>3.5916978974699898</v>
      </c>
      <c r="N2091">
        <v>3.59127704549174</v>
      </c>
      <c r="Q2091">
        <f t="shared" si="160"/>
        <v>4.16</v>
      </c>
      <c r="R2091">
        <f t="shared" si="162"/>
        <v>3.5853565806982282</v>
      </c>
      <c r="S2091">
        <f t="shared" si="163"/>
        <v>0.57464341930177198</v>
      </c>
      <c r="T2091">
        <f t="shared" si="164"/>
        <v>0.33021505934683215</v>
      </c>
    </row>
    <row r="2092" spans="1:20" hidden="1" x14ac:dyDescent="0.25">
      <c r="A2092" t="str">
        <f t="shared" si="161"/>
        <v>RIP</v>
      </c>
      <c r="B2092" t="s">
        <v>2098</v>
      </c>
      <c r="C2092">
        <v>1.039623199</v>
      </c>
      <c r="D2092">
        <v>9.6076402000000005E-2</v>
      </c>
      <c r="E2092">
        <v>0.68857070300000001</v>
      </c>
      <c r="F2092">
        <v>0.44218718499999998</v>
      </c>
      <c r="G2092">
        <v>0.79041807399999997</v>
      </c>
      <c r="H2092">
        <v>3.15</v>
      </c>
      <c r="I2092">
        <v>3.3974830215333598</v>
      </c>
      <c r="J2092">
        <v>3.2881623546499701</v>
      </c>
      <c r="K2092">
        <v>3.19400769995534</v>
      </c>
      <c r="L2092">
        <v>3.0918608521584598</v>
      </c>
      <c r="M2092">
        <v>3.3428226880916698</v>
      </c>
      <c r="N2092">
        <v>3.3423757676192598</v>
      </c>
      <c r="Q2092">
        <f t="shared" si="160"/>
        <v>3.15</v>
      </c>
      <c r="R2092">
        <f t="shared" si="162"/>
        <v>3.3536321239817291</v>
      </c>
      <c r="S2092">
        <f t="shared" si="163"/>
        <v>-0.20363212398172914</v>
      </c>
      <c r="T2092">
        <f t="shared" si="164"/>
        <v>4.1466041917310306E-2</v>
      </c>
    </row>
    <row r="2093" spans="1:20" hidden="1" x14ac:dyDescent="0.25">
      <c r="A2093" t="str">
        <f t="shared" si="161"/>
        <v>RIP</v>
      </c>
      <c r="B2093" t="s">
        <v>2099</v>
      </c>
      <c r="C2093">
        <v>1.1408381430000001</v>
      </c>
      <c r="D2093">
        <v>8.8527687999999993E-2</v>
      </c>
      <c r="E2093">
        <v>0.67625303999999997</v>
      </c>
      <c r="F2093">
        <v>0.44881237400000001</v>
      </c>
      <c r="G2093">
        <v>0.75593578299999997</v>
      </c>
      <c r="H2093">
        <v>4.4000000000000004</v>
      </c>
      <c r="I2093">
        <v>2.9527201409941899</v>
      </c>
      <c r="J2093">
        <v>2.8766191870381599</v>
      </c>
      <c r="K2093">
        <v>3.1146150333237599</v>
      </c>
      <c r="L2093">
        <v>3.08086489396426</v>
      </c>
      <c r="M2093">
        <v>2.9146696640161802</v>
      </c>
      <c r="N2093">
        <v>2.9144212824397799</v>
      </c>
      <c r="Q2093">
        <f t="shared" si="160"/>
        <v>4.4000000000000004</v>
      </c>
      <c r="R2093">
        <f t="shared" si="162"/>
        <v>2.9461652099087172</v>
      </c>
      <c r="S2093">
        <f t="shared" si="163"/>
        <v>1.4538347900912831</v>
      </c>
      <c r="T2093">
        <f t="shared" si="164"/>
        <v>2.1136355968797651</v>
      </c>
    </row>
    <row r="2094" spans="1:20" hidden="1" x14ac:dyDescent="0.25">
      <c r="A2094" t="str">
        <f t="shared" si="161"/>
        <v>RIP</v>
      </c>
      <c r="B2094" t="s">
        <v>2100</v>
      </c>
      <c r="C2094">
        <v>0.972830309</v>
      </c>
      <c r="D2094">
        <v>8.9353983999999997E-2</v>
      </c>
      <c r="E2094">
        <v>0.67414534100000001</v>
      </c>
      <c r="F2094">
        <v>0.42843688899999999</v>
      </c>
      <c r="G2094">
        <v>0.75386286999999996</v>
      </c>
      <c r="H2094">
        <v>3.38</v>
      </c>
      <c r="I2094">
        <v>3.1027441813331902</v>
      </c>
      <c r="J2094">
        <v>2.9977041425601501</v>
      </c>
      <c r="K2094">
        <v>3.4224103375300499</v>
      </c>
      <c r="L2094">
        <v>3.3478428598114101</v>
      </c>
      <c r="M2094">
        <v>3.0502241619466699</v>
      </c>
      <c r="N2094">
        <v>3.0497719727361399</v>
      </c>
      <c r="Q2094">
        <f t="shared" si="160"/>
        <v>3.38</v>
      </c>
      <c r="R2094">
        <f t="shared" si="162"/>
        <v>3.0887690519269873</v>
      </c>
      <c r="S2094">
        <f t="shared" si="163"/>
        <v>0.29123094807301264</v>
      </c>
      <c r="T2094">
        <f t="shared" si="164"/>
        <v>8.4815465115505792E-2</v>
      </c>
    </row>
    <row r="2095" spans="1:20" hidden="1" x14ac:dyDescent="0.25">
      <c r="A2095" t="str">
        <f t="shared" si="161"/>
        <v>RIP</v>
      </c>
      <c r="B2095" t="s">
        <v>2101</v>
      </c>
      <c r="C2095">
        <v>1.0639429090000001</v>
      </c>
      <c r="D2095">
        <v>0.10027045900000001</v>
      </c>
      <c r="E2095">
        <v>0.70735250699999996</v>
      </c>
      <c r="F2095">
        <v>0.45272772900000002</v>
      </c>
      <c r="G2095">
        <v>0.80558144799999998</v>
      </c>
      <c r="H2095">
        <v>3.04</v>
      </c>
      <c r="I2095">
        <v>3.62536436271394</v>
      </c>
      <c r="J2095">
        <v>3.5470387058980699</v>
      </c>
      <c r="K2095">
        <v>3.2437126786365802</v>
      </c>
      <c r="L2095">
        <v>3.18601853795374</v>
      </c>
      <c r="M2095">
        <v>3.5862015343059999</v>
      </c>
      <c r="N2095">
        <v>3.5859876906550898</v>
      </c>
      <c r="Q2095">
        <f t="shared" si="160"/>
        <v>3.04</v>
      </c>
      <c r="R2095">
        <f t="shared" si="162"/>
        <v>3.5943598365883123</v>
      </c>
      <c r="S2095">
        <f t="shared" si="163"/>
        <v>-0.55435983658831223</v>
      </c>
      <c r="T2095">
        <f t="shared" si="164"/>
        <v>0.30731482842222024</v>
      </c>
    </row>
    <row r="2096" spans="1:20" hidden="1" x14ac:dyDescent="0.25">
      <c r="A2096" t="str">
        <f t="shared" si="161"/>
        <v>RIP</v>
      </c>
      <c r="B2096" t="s">
        <v>2102</v>
      </c>
      <c r="C2096">
        <v>1.1786832089999999</v>
      </c>
      <c r="D2096">
        <v>9.6472395000000002E-2</v>
      </c>
      <c r="E2096">
        <v>0.70955224800000005</v>
      </c>
      <c r="F2096">
        <v>0.494369593</v>
      </c>
      <c r="G2096">
        <v>0.80659224299999999</v>
      </c>
      <c r="H2096">
        <v>4.54</v>
      </c>
      <c r="I2096">
        <v>3.4540079529982699</v>
      </c>
      <c r="J2096">
        <v>3.39435045006518</v>
      </c>
      <c r="K2096">
        <v>3.0942034286415399</v>
      </c>
      <c r="L2096">
        <v>3.07041589238358</v>
      </c>
      <c r="M2096">
        <v>3.4241792015317198</v>
      </c>
      <c r="N2096">
        <v>3.42404927677573</v>
      </c>
      <c r="Q2096">
        <f t="shared" si="160"/>
        <v>4.54</v>
      </c>
      <c r="R2096">
        <f t="shared" si="162"/>
        <v>3.4616357972474967</v>
      </c>
      <c r="S2096">
        <f t="shared" si="163"/>
        <v>1.0783642027525033</v>
      </c>
      <c r="T2096">
        <f t="shared" si="164"/>
        <v>1.1628693537780421</v>
      </c>
    </row>
    <row r="2097" spans="1:20" hidden="1" x14ac:dyDescent="0.25">
      <c r="A2097" t="str">
        <f t="shared" si="161"/>
        <v>RIP</v>
      </c>
      <c r="B2097" t="s">
        <v>2103</v>
      </c>
      <c r="C2097">
        <v>0.98691575499999995</v>
      </c>
      <c r="D2097">
        <v>9.9836203999999998E-2</v>
      </c>
      <c r="E2097">
        <v>0.69693880200000002</v>
      </c>
      <c r="F2097">
        <v>0.45629766900000002</v>
      </c>
      <c r="G2097">
        <v>0.79738926700000001</v>
      </c>
      <c r="H2097">
        <v>4.2300000000000004</v>
      </c>
      <c r="I2097">
        <v>3.7097127346119301</v>
      </c>
      <c r="J2097">
        <v>3.5956124955089601</v>
      </c>
      <c r="K2097">
        <v>3.45979202199619</v>
      </c>
      <c r="L2097">
        <v>3.4094529320319298</v>
      </c>
      <c r="M2097">
        <v>3.65266261506045</v>
      </c>
      <c r="N2097">
        <v>3.65221706136415</v>
      </c>
      <c r="Q2097">
        <f t="shared" si="160"/>
        <v>4.2300000000000004</v>
      </c>
      <c r="R2097">
        <f t="shared" si="162"/>
        <v>3.6634961660983754</v>
      </c>
      <c r="S2097">
        <f t="shared" si="163"/>
        <v>0.56650383390162506</v>
      </c>
      <c r="T2097">
        <f t="shared" si="164"/>
        <v>0.32092659382524003</v>
      </c>
    </row>
    <row r="2098" spans="1:20" hidden="1" x14ac:dyDescent="0.25">
      <c r="A2098" t="str">
        <f t="shared" si="161"/>
        <v>RIP</v>
      </c>
      <c r="B2098" t="s">
        <v>2104</v>
      </c>
      <c r="C2098">
        <v>1.07889145</v>
      </c>
      <c r="D2098">
        <v>9.5597899E-2</v>
      </c>
      <c r="E2098">
        <v>0.69640109900000002</v>
      </c>
      <c r="F2098">
        <v>0.47407821</v>
      </c>
      <c r="G2098">
        <v>0.79151494600000005</v>
      </c>
      <c r="H2098">
        <v>4.24</v>
      </c>
      <c r="I2098">
        <v>3.4273875186498399</v>
      </c>
      <c r="J2098">
        <v>3.3566536686648401</v>
      </c>
      <c r="K2098">
        <v>3.4125465760725899</v>
      </c>
      <c r="L2098">
        <v>3.4450342845579902</v>
      </c>
      <c r="M2098">
        <v>3.3920205936573402</v>
      </c>
      <c r="N2098">
        <v>3.3918362119082501</v>
      </c>
      <c r="Q2098">
        <f t="shared" si="160"/>
        <v>4.24</v>
      </c>
      <c r="R2098">
        <f t="shared" si="162"/>
        <v>3.4356117119665228</v>
      </c>
      <c r="S2098">
        <f t="shared" si="163"/>
        <v>0.80438828803347739</v>
      </c>
      <c r="T2098">
        <f t="shared" si="164"/>
        <v>0.6470405179254286</v>
      </c>
    </row>
    <row r="2099" spans="1:20" hidden="1" x14ac:dyDescent="0.25">
      <c r="A2099" t="str">
        <f t="shared" si="161"/>
        <v>RIP</v>
      </c>
      <c r="B2099" t="s">
        <v>2105</v>
      </c>
      <c r="C2099">
        <v>0.89344844599999995</v>
      </c>
      <c r="D2099">
        <v>9.9742717999999994E-2</v>
      </c>
      <c r="E2099">
        <v>0.69268526100000005</v>
      </c>
      <c r="F2099">
        <v>0.42208367699999999</v>
      </c>
      <c r="G2099">
        <v>0.78833470699999997</v>
      </c>
      <c r="H2099">
        <v>4.34</v>
      </c>
      <c r="I2099">
        <v>3.6263182591752599</v>
      </c>
      <c r="J2099">
        <v>3.5510885872117699</v>
      </c>
      <c r="K2099">
        <v>3.3654373332896999</v>
      </c>
      <c r="L2099">
        <v>3.1574964421297298</v>
      </c>
      <c r="M2099">
        <v>3.5887034231935102</v>
      </c>
      <c r="N2099">
        <v>3.5885062886603598</v>
      </c>
      <c r="Q2099">
        <f t="shared" si="160"/>
        <v>4.34</v>
      </c>
      <c r="R2099">
        <f t="shared" si="162"/>
        <v>3.6182431413917815</v>
      </c>
      <c r="S2099">
        <f t="shared" si="163"/>
        <v>0.72175685860821837</v>
      </c>
      <c r="T2099">
        <f t="shared" si="164"/>
        <v>0.52093296294800373</v>
      </c>
    </row>
    <row r="2100" spans="1:20" hidden="1" x14ac:dyDescent="0.25">
      <c r="A2100" t="str">
        <f t="shared" si="161"/>
        <v>RIP</v>
      </c>
      <c r="B2100" t="s">
        <v>2106</v>
      </c>
      <c r="C2100">
        <v>0.82921893700000004</v>
      </c>
      <c r="D2100">
        <v>9.7004924000000006E-2</v>
      </c>
      <c r="E2100">
        <v>0.68331463699999995</v>
      </c>
      <c r="F2100">
        <v>0.35319835999999999</v>
      </c>
      <c r="G2100">
        <v>0.77878523700000002</v>
      </c>
      <c r="H2100">
        <v>3.52</v>
      </c>
      <c r="I2100">
        <v>3.2685902021170699</v>
      </c>
      <c r="J2100">
        <v>3.2072062428861301</v>
      </c>
      <c r="K2100">
        <v>3.1236164592395599</v>
      </c>
      <c r="L2100">
        <v>2.7462115593864702</v>
      </c>
      <c r="M2100">
        <v>3.2378982225016002</v>
      </c>
      <c r="N2100">
        <v>3.2377527548697</v>
      </c>
      <c r="Q2100">
        <f t="shared" si="160"/>
        <v>3.52</v>
      </c>
      <c r="R2100">
        <f t="shared" si="162"/>
        <v>3.2588617630719572</v>
      </c>
      <c r="S2100">
        <f t="shared" si="163"/>
        <v>0.26113823692804283</v>
      </c>
      <c r="T2100">
        <f t="shared" si="164"/>
        <v>6.8193178785886627E-2</v>
      </c>
    </row>
    <row r="2101" spans="1:20" hidden="1" x14ac:dyDescent="0.25">
      <c r="A2101" t="str">
        <f t="shared" si="161"/>
        <v>RIP</v>
      </c>
      <c r="B2101" t="s">
        <v>2107</v>
      </c>
      <c r="C2101">
        <v>1.2542448879999999</v>
      </c>
      <c r="D2101">
        <v>9.9349226999999998E-2</v>
      </c>
      <c r="E2101">
        <v>0.71152944500000004</v>
      </c>
      <c r="F2101">
        <v>0.48352268399999998</v>
      </c>
      <c r="G2101">
        <v>0.81067181499999996</v>
      </c>
      <c r="H2101">
        <v>3.74</v>
      </c>
      <c r="I2101">
        <v>3.4853614561093802</v>
      </c>
      <c r="J2101">
        <v>3.42730105218843</v>
      </c>
      <c r="K2101">
        <v>2.9178344384105301</v>
      </c>
      <c r="L2101">
        <v>2.8951524866592502</v>
      </c>
      <c r="M2101">
        <v>3.45633125414891</v>
      </c>
      <c r="N2101">
        <v>3.4562093376676</v>
      </c>
      <c r="Q2101">
        <f t="shared" si="160"/>
        <v>3.74</v>
      </c>
      <c r="R2101">
        <f t="shared" si="162"/>
        <v>3.4582399280349145</v>
      </c>
      <c r="S2101">
        <f t="shared" si="163"/>
        <v>0.28176007196508568</v>
      </c>
      <c r="T2101">
        <f t="shared" si="164"/>
        <v>7.9388738153770261E-2</v>
      </c>
    </row>
    <row r="2102" spans="1:20" hidden="1" x14ac:dyDescent="0.25">
      <c r="A2102" t="str">
        <f t="shared" si="161"/>
        <v>RIP</v>
      </c>
      <c r="B2102" t="s">
        <v>2108</v>
      </c>
      <c r="C2102">
        <v>0.88359108200000003</v>
      </c>
      <c r="D2102">
        <v>9.7854949999999996E-2</v>
      </c>
      <c r="E2102">
        <v>0.70258355100000003</v>
      </c>
      <c r="F2102">
        <v>0.43448958599999998</v>
      </c>
      <c r="G2102">
        <v>0.803025985</v>
      </c>
      <c r="H2102">
        <v>3.54</v>
      </c>
      <c r="I2102">
        <v>3.6624883662422301</v>
      </c>
      <c r="J2102">
        <v>3.5255942268009601</v>
      </c>
      <c r="K2102">
        <v>3.2015758038539701</v>
      </c>
      <c r="L2102">
        <v>3.0508444873318301</v>
      </c>
      <c r="M2102">
        <v>3.5940412965216</v>
      </c>
      <c r="N2102">
        <v>3.5933894639670401</v>
      </c>
      <c r="Q2102">
        <f t="shared" si="160"/>
        <v>3.54</v>
      </c>
      <c r="R2102">
        <f t="shared" si="162"/>
        <v>3.6127172222868835</v>
      </c>
      <c r="S2102">
        <f t="shared" si="163"/>
        <v>-7.2717222286883487E-2</v>
      </c>
      <c r="T2102">
        <f t="shared" si="164"/>
        <v>5.2877944171200245E-3</v>
      </c>
    </row>
    <row r="2103" spans="1:20" hidden="1" x14ac:dyDescent="0.25">
      <c r="A2103" t="str">
        <f t="shared" si="161"/>
        <v>RIP</v>
      </c>
      <c r="B2103" t="s">
        <v>2109</v>
      </c>
      <c r="C2103">
        <v>1.0627795390000001</v>
      </c>
      <c r="D2103">
        <v>8.6387361999999995E-2</v>
      </c>
      <c r="E2103">
        <v>0.68224517200000001</v>
      </c>
      <c r="F2103">
        <v>0.42724164599999997</v>
      </c>
      <c r="G2103">
        <v>0.76386827999999996</v>
      </c>
      <c r="H2103">
        <v>3.87</v>
      </c>
      <c r="I2103">
        <v>2.8932192325575401</v>
      </c>
      <c r="J2103">
        <v>2.80672604820362</v>
      </c>
      <c r="K2103">
        <v>3.12081360893812</v>
      </c>
      <c r="L2103">
        <v>3.0228398915108698</v>
      </c>
      <c r="M2103">
        <v>2.8499726403805798</v>
      </c>
      <c r="N2103">
        <v>2.8496445011936</v>
      </c>
      <c r="Q2103">
        <f t="shared" si="160"/>
        <v>3.87</v>
      </c>
      <c r="R2103">
        <f t="shared" si="162"/>
        <v>2.8840968230566197</v>
      </c>
      <c r="S2103">
        <f t="shared" si="163"/>
        <v>0.98590317694338037</v>
      </c>
      <c r="T2103">
        <f t="shared" si="164"/>
        <v>0.97200507430705041</v>
      </c>
    </row>
    <row r="2104" spans="1:20" hidden="1" x14ac:dyDescent="0.25">
      <c r="A2104" t="str">
        <f t="shared" si="161"/>
        <v>RIP</v>
      </c>
      <c r="B2104" t="s">
        <v>2110</v>
      </c>
      <c r="C2104">
        <v>0.96440865799999997</v>
      </c>
      <c r="D2104">
        <v>9.6667988999999996E-2</v>
      </c>
      <c r="E2104">
        <v>0.70563477500000005</v>
      </c>
      <c r="F2104">
        <v>0.40090812799999997</v>
      </c>
      <c r="G2104">
        <v>0.78842925799999997</v>
      </c>
      <c r="H2104">
        <v>4.07</v>
      </c>
      <c r="I2104">
        <v>3.24579443455477</v>
      </c>
      <c r="J2104">
        <v>3.2682484747918199</v>
      </c>
      <c r="K2104">
        <v>3.01800935975692</v>
      </c>
      <c r="L2104">
        <v>2.8275317969482598</v>
      </c>
      <c r="M2104">
        <v>3.2570214546732998</v>
      </c>
      <c r="N2104">
        <v>3.2570021047308799</v>
      </c>
      <c r="Q2104">
        <f t="shared" si="160"/>
        <v>4.07</v>
      </c>
      <c r="R2104">
        <f t="shared" si="162"/>
        <v>3.3229549993589322</v>
      </c>
      <c r="S2104">
        <f t="shared" si="163"/>
        <v>0.74704500064106805</v>
      </c>
      <c r="T2104">
        <f t="shared" si="164"/>
        <v>0.55807623298281339</v>
      </c>
    </row>
    <row r="2105" spans="1:20" hidden="1" x14ac:dyDescent="0.25">
      <c r="A2105" t="str">
        <f t="shared" si="161"/>
        <v>RIP</v>
      </c>
      <c r="B2105" t="s">
        <v>2111</v>
      </c>
      <c r="C2105">
        <v>0.87729573800000005</v>
      </c>
      <c r="D2105">
        <v>9.5552002999999996E-2</v>
      </c>
      <c r="E2105">
        <v>0.70358351600000002</v>
      </c>
      <c r="F2105">
        <v>0.40550941899999998</v>
      </c>
      <c r="G2105">
        <v>0.79814283200000002</v>
      </c>
      <c r="H2105">
        <v>3.89</v>
      </c>
      <c r="I2105">
        <v>3.39994821141212</v>
      </c>
      <c r="J2105">
        <v>3.3161315045778799</v>
      </c>
      <c r="K2105">
        <v>3.2045183573552301</v>
      </c>
      <c r="L2105">
        <v>3.0429246900178599</v>
      </c>
      <c r="M2105">
        <v>3.3580398579950002</v>
      </c>
      <c r="N2105">
        <v>3.3577783395865999</v>
      </c>
      <c r="Q2105">
        <f t="shared" si="160"/>
        <v>3.89</v>
      </c>
      <c r="R2105">
        <f t="shared" si="162"/>
        <v>3.396678025520834</v>
      </c>
      <c r="S2105">
        <f t="shared" si="163"/>
        <v>0.49332197447916615</v>
      </c>
      <c r="T2105">
        <f t="shared" si="164"/>
        <v>0.24336657050402305</v>
      </c>
    </row>
    <row r="2106" spans="1:20" hidden="1" x14ac:dyDescent="0.25">
      <c r="A2106" t="str">
        <f t="shared" si="161"/>
        <v>RIP</v>
      </c>
      <c r="B2106" t="s">
        <v>2112</v>
      </c>
      <c r="C2106">
        <v>1.0300075580000001</v>
      </c>
      <c r="D2106">
        <v>9.7090082999999994E-2</v>
      </c>
      <c r="E2106">
        <v>0.69180447</v>
      </c>
      <c r="F2106">
        <v>0.419261102</v>
      </c>
      <c r="G2106">
        <v>0.78038038399999998</v>
      </c>
      <c r="H2106">
        <v>4.0199999999999996</v>
      </c>
      <c r="I2106">
        <v>3.2735615611705202</v>
      </c>
      <c r="J2106">
        <v>3.26737476276063</v>
      </c>
      <c r="K2106">
        <v>3.0680298304353602</v>
      </c>
      <c r="L2106">
        <v>2.97063151679155</v>
      </c>
      <c r="M2106">
        <v>3.27046816196557</v>
      </c>
      <c r="N2106">
        <v>3.2704666990067102</v>
      </c>
      <c r="Q2106">
        <f t="shared" si="160"/>
        <v>4.0199999999999996</v>
      </c>
      <c r="R2106">
        <f t="shared" si="162"/>
        <v>3.3167355109419732</v>
      </c>
      <c r="S2106">
        <f t="shared" si="163"/>
        <v>0.70326448905802641</v>
      </c>
      <c r="T2106">
        <f t="shared" si="164"/>
        <v>0.49458094157004695</v>
      </c>
    </row>
    <row r="2107" spans="1:20" hidden="1" x14ac:dyDescent="0.25">
      <c r="A2107" t="str">
        <f t="shared" si="161"/>
        <v>RIP</v>
      </c>
      <c r="B2107" t="s">
        <v>2113</v>
      </c>
      <c r="C2107">
        <v>1.1447114119999999</v>
      </c>
      <c r="D2107">
        <v>9.8586190000000004E-2</v>
      </c>
      <c r="E2107">
        <v>0.69466225000000004</v>
      </c>
      <c r="F2107">
        <v>0.41149048599999999</v>
      </c>
      <c r="G2107">
        <v>0.78650394000000001</v>
      </c>
      <c r="H2107">
        <v>3.39</v>
      </c>
      <c r="I2107">
        <v>3.17776043535331</v>
      </c>
      <c r="J2107">
        <v>3.2036797880974901</v>
      </c>
      <c r="K2107">
        <v>2.8988682099454501</v>
      </c>
      <c r="L2107">
        <v>2.80505524786353</v>
      </c>
      <c r="M2107">
        <v>3.1907201117253998</v>
      </c>
      <c r="N2107">
        <v>3.1906937926033101</v>
      </c>
      <c r="Q2107">
        <f t="shared" si="160"/>
        <v>3.39</v>
      </c>
      <c r="R2107">
        <f t="shared" si="162"/>
        <v>3.2168565822529005</v>
      </c>
      <c r="S2107">
        <f t="shared" si="163"/>
        <v>0.17314341774709963</v>
      </c>
      <c r="T2107">
        <f t="shared" si="164"/>
        <v>2.9978643109146653E-2</v>
      </c>
    </row>
    <row r="2108" spans="1:20" hidden="1" x14ac:dyDescent="0.25">
      <c r="A2108" t="str">
        <f t="shared" si="161"/>
        <v>RIP</v>
      </c>
      <c r="B2108" t="s">
        <v>2114</v>
      </c>
      <c r="C2108">
        <v>0.97702409700000004</v>
      </c>
      <c r="D2108">
        <v>9.8440185999999999E-2</v>
      </c>
      <c r="E2108">
        <v>0.70002605699999998</v>
      </c>
      <c r="F2108">
        <v>0.425301125</v>
      </c>
      <c r="G2108">
        <v>0.78765843400000002</v>
      </c>
      <c r="H2108">
        <v>4.04</v>
      </c>
      <c r="I2108">
        <v>3.4276420687172902</v>
      </c>
      <c r="J2108">
        <v>3.42371888076738</v>
      </c>
      <c r="K2108">
        <v>3.3222589453664599</v>
      </c>
      <c r="L2108">
        <v>3.21621236086711</v>
      </c>
      <c r="M2108">
        <v>3.4256804747423399</v>
      </c>
      <c r="N2108">
        <v>3.42567991312381</v>
      </c>
      <c r="Q2108">
        <f t="shared" si="160"/>
        <v>4.04</v>
      </c>
      <c r="R2108">
        <f t="shared" si="162"/>
        <v>3.4822537874428994</v>
      </c>
      <c r="S2108">
        <f t="shared" si="163"/>
        <v>0.55774621255710066</v>
      </c>
      <c r="T2108">
        <f t="shared" si="164"/>
        <v>0.31108083762179051</v>
      </c>
    </row>
    <row r="2109" spans="1:20" hidden="1" x14ac:dyDescent="0.25">
      <c r="A2109" t="str">
        <f t="shared" si="161"/>
        <v>RIP</v>
      </c>
      <c r="B2109" t="s">
        <v>2115</v>
      </c>
      <c r="C2109">
        <v>1.073208188</v>
      </c>
      <c r="D2109">
        <v>9.9445083000000004E-2</v>
      </c>
      <c r="E2109">
        <v>0.69423657299999997</v>
      </c>
      <c r="F2109">
        <v>0.45633595399999999</v>
      </c>
      <c r="G2109">
        <v>0.80027505399999999</v>
      </c>
      <c r="H2109">
        <v>4.2300000000000004</v>
      </c>
      <c r="I2109">
        <v>3.6351044985301999</v>
      </c>
      <c r="J2109">
        <v>3.48393760602305</v>
      </c>
      <c r="K2109">
        <v>3.2671067071272701</v>
      </c>
      <c r="L2109">
        <v>3.2406642734182198</v>
      </c>
      <c r="M2109">
        <v>3.5595210522766201</v>
      </c>
      <c r="N2109">
        <v>3.5587184862324999</v>
      </c>
      <c r="Q2109">
        <f t="shared" si="160"/>
        <v>4.2300000000000004</v>
      </c>
      <c r="R2109">
        <f t="shared" si="162"/>
        <v>3.535406382892456</v>
      </c>
      <c r="S2109">
        <f t="shared" si="163"/>
        <v>0.69459361710754441</v>
      </c>
      <c r="T2109">
        <f t="shared" si="164"/>
        <v>0.48246029292654202</v>
      </c>
    </row>
    <row r="2110" spans="1:20" hidden="1" x14ac:dyDescent="0.25">
      <c r="A2110" t="str">
        <f t="shared" si="161"/>
        <v>RIP</v>
      </c>
      <c r="B2110" t="s">
        <v>2116</v>
      </c>
      <c r="C2110">
        <v>0.97674513299999999</v>
      </c>
      <c r="D2110">
        <v>9.9882237999999998E-2</v>
      </c>
      <c r="E2110">
        <v>0.68351379099999998</v>
      </c>
      <c r="F2110">
        <v>0.41875737200000002</v>
      </c>
      <c r="G2110">
        <v>0.78860176000000004</v>
      </c>
      <c r="H2110">
        <v>3.78</v>
      </c>
      <c r="I2110">
        <v>3.58063762787206</v>
      </c>
      <c r="J2110">
        <v>3.4472710376988598</v>
      </c>
      <c r="K2110">
        <v>3.1970947937604999</v>
      </c>
      <c r="L2110">
        <v>3.0847516167151898</v>
      </c>
      <c r="M2110">
        <v>3.5139543327854601</v>
      </c>
      <c r="N2110">
        <v>3.5133215610100499</v>
      </c>
      <c r="Q2110">
        <f t="shared" si="160"/>
        <v>3.78</v>
      </c>
      <c r="R2110">
        <f t="shared" si="162"/>
        <v>3.4932707644389978</v>
      </c>
      <c r="S2110">
        <f t="shared" si="163"/>
        <v>0.28672923556100205</v>
      </c>
      <c r="T2110">
        <f t="shared" si="164"/>
        <v>8.2213654525396598E-2</v>
      </c>
    </row>
    <row r="2111" spans="1:20" hidden="1" x14ac:dyDescent="0.25">
      <c r="A2111" t="str">
        <f t="shared" si="161"/>
        <v>RIP</v>
      </c>
      <c r="B2111" t="s">
        <v>2117</v>
      </c>
      <c r="C2111">
        <v>0.96709664100000003</v>
      </c>
      <c r="D2111">
        <v>0.100115195</v>
      </c>
      <c r="E2111">
        <v>0.70047254400000003</v>
      </c>
      <c r="F2111">
        <v>0.44384594900000002</v>
      </c>
      <c r="G2111">
        <v>0.81145226199999998</v>
      </c>
      <c r="H2111">
        <v>3.79</v>
      </c>
      <c r="I2111">
        <v>3.85420815053878</v>
      </c>
      <c r="J2111">
        <v>3.5908926886622998</v>
      </c>
      <c r="K2111">
        <v>3.41707516861316</v>
      </c>
      <c r="L2111">
        <v>3.3656051268948102</v>
      </c>
      <c r="M2111">
        <v>3.7225504196005401</v>
      </c>
      <c r="N2111">
        <v>3.7202214810885099</v>
      </c>
      <c r="Q2111">
        <f t="shared" si="160"/>
        <v>3.79</v>
      </c>
      <c r="R2111">
        <f t="shared" si="162"/>
        <v>3.6539815626151073</v>
      </c>
      <c r="S2111">
        <f t="shared" si="163"/>
        <v>0.13601843738489272</v>
      </c>
      <c r="T2111">
        <f t="shared" si="164"/>
        <v>1.8501015308627983E-2</v>
      </c>
    </row>
    <row r="2112" spans="1:20" hidden="1" x14ac:dyDescent="0.25">
      <c r="A2112" t="str">
        <f t="shared" si="161"/>
        <v>RIP</v>
      </c>
      <c r="B2112" t="s">
        <v>2118</v>
      </c>
      <c r="C2112">
        <v>1.087490184</v>
      </c>
      <c r="D2112">
        <v>0.101866767</v>
      </c>
      <c r="E2112">
        <v>0.69121578699999997</v>
      </c>
      <c r="F2112">
        <v>0.42032267899999998</v>
      </c>
      <c r="G2112">
        <v>0.80221640100000002</v>
      </c>
      <c r="H2112">
        <v>3.95</v>
      </c>
      <c r="I2112">
        <v>3.6789232149159399</v>
      </c>
      <c r="J2112">
        <v>3.46656002156845</v>
      </c>
      <c r="K2112">
        <v>3.1065069153297</v>
      </c>
      <c r="L2112">
        <v>3.0484524521589198</v>
      </c>
      <c r="M2112">
        <v>3.5727416182421901</v>
      </c>
      <c r="N2112">
        <v>3.5711634153658798</v>
      </c>
      <c r="Q2112">
        <f t="shared" si="160"/>
        <v>3.95</v>
      </c>
      <c r="R2112">
        <f t="shared" si="162"/>
        <v>3.4779653992799853</v>
      </c>
      <c r="S2112">
        <f t="shared" si="163"/>
        <v>0.47203460072001491</v>
      </c>
      <c r="T2112">
        <f t="shared" si="164"/>
        <v>0.22281666427690389</v>
      </c>
    </row>
    <row r="2113" spans="1:20" hidden="1" x14ac:dyDescent="0.25">
      <c r="A2113" t="str">
        <f t="shared" si="161"/>
        <v>RIP</v>
      </c>
      <c r="B2113" t="s">
        <v>2119</v>
      </c>
      <c r="C2113">
        <v>0.91397898899999996</v>
      </c>
      <c r="D2113">
        <v>0.102706979</v>
      </c>
      <c r="E2113">
        <v>0.68621175499999998</v>
      </c>
      <c r="F2113">
        <v>0.41831295299999999</v>
      </c>
      <c r="G2113">
        <v>0.79382797900000002</v>
      </c>
      <c r="H2113">
        <v>4.18</v>
      </c>
      <c r="I2113">
        <v>3.8633268868636401</v>
      </c>
      <c r="J2113">
        <v>3.6735844404717</v>
      </c>
      <c r="K2113">
        <v>3.4677119620263501</v>
      </c>
      <c r="L2113">
        <v>3.3747997238184899</v>
      </c>
      <c r="M2113">
        <v>3.76845566366767</v>
      </c>
      <c r="N2113">
        <v>3.7672612784406501</v>
      </c>
      <c r="Q2113">
        <f t="shared" ref="Q2113:Q2176" si="165">H2113</f>
        <v>4.18</v>
      </c>
      <c r="R2113">
        <f t="shared" si="162"/>
        <v>3.7146306816539543</v>
      </c>
      <c r="S2113">
        <f t="shared" si="163"/>
        <v>0.46536931834604545</v>
      </c>
      <c r="T2113">
        <f t="shared" si="164"/>
        <v>0.216568602457863</v>
      </c>
    </row>
    <row r="2114" spans="1:20" hidden="1" x14ac:dyDescent="0.25">
      <c r="A2114" t="str">
        <f t="shared" si="161"/>
        <v>RIP</v>
      </c>
      <c r="B2114" t="s">
        <v>2120</v>
      </c>
      <c r="C2114">
        <v>1.087630391</v>
      </c>
      <c r="D2114">
        <v>9.5278004999999999E-2</v>
      </c>
      <c r="E2114">
        <v>0.68950957599999996</v>
      </c>
      <c r="F2114">
        <v>0.47505372299999998</v>
      </c>
      <c r="G2114">
        <v>0.80164648999999999</v>
      </c>
      <c r="H2114">
        <v>4.07</v>
      </c>
      <c r="I2114">
        <v>3.5247884703883301</v>
      </c>
      <c r="J2114">
        <v>3.3254394037747099</v>
      </c>
      <c r="K2114">
        <v>3.1691000333755102</v>
      </c>
      <c r="L2114">
        <v>3.0987107157781</v>
      </c>
      <c r="M2114">
        <v>3.42511393708152</v>
      </c>
      <c r="N2114">
        <v>3.4236633113377399</v>
      </c>
      <c r="Q2114">
        <f t="shared" si="165"/>
        <v>4.07</v>
      </c>
      <c r="R2114">
        <f t="shared" si="162"/>
        <v>3.40397271069883</v>
      </c>
      <c r="S2114">
        <f t="shared" si="163"/>
        <v>0.66602728930117028</v>
      </c>
      <c r="T2114">
        <f t="shared" si="164"/>
        <v>0.44359235009386477</v>
      </c>
    </row>
    <row r="2115" spans="1:20" hidden="1" x14ac:dyDescent="0.25">
      <c r="A2115" t="str">
        <f t="shared" ref="A2115:A2178" si="166">LEFT(B2115,3)</f>
        <v>RIP</v>
      </c>
      <c r="B2115" t="s">
        <v>2121</v>
      </c>
      <c r="C2115">
        <v>1.16431131</v>
      </c>
      <c r="D2115">
        <v>9.0175854999999999E-2</v>
      </c>
      <c r="E2115">
        <v>0.68147057600000005</v>
      </c>
      <c r="F2115">
        <v>0.46108644799999998</v>
      </c>
      <c r="G2115">
        <v>0.79354145600000003</v>
      </c>
      <c r="H2115">
        <v>4.46</v>
      </c>
      <c r="I2115">
        <v>3.1292220392557999</v>
      </c>
      <c r="J2115">
        <v>2.96917933380927</v>
      </c>
      <c r="K2115">
        <v>3.0171031788140401</v>
      </c>
      <c r="L2115">
        <v>2.96646138436263</v>
      </c>
      <c r="M2115">
        <v>3.0492006865325401</v>
      </c>
      <c r="N2115">
        <v>3.0481504900281502</v>
      </c>
      <c r="Q2115">
        <f t="shared" si="165"/>
        <v>4.46</v>
      </c>
      <c r="R2115">
        <f t="shared" ref="R2115:R2178" si="167">$X$2*F2115+$X$3*D2115*E2115+($X$4/(D2115-$X$5))-$X$6*C2115</f>
        <v>3.0377993467313851</v>
      </c>
      <c r="S2115">
        <f t="shared" ref="S2115:S2178" si="168">Q2115-R2115</f>
        <v>1.4222006532686149</v>
      </c>
      <c r="T2115">
        <f t="shared" ref="T2115:T2178" si="169">S2115^2</f>
        <v>2.022654698157675</v>
      </c>
    </row>
    <row r="2116" spans="1:20" hidden="1" x14ac:dyDescent="0.25">
      <c r="A2116" t="str">
        <f t="shared" si="166"/>
        <v>RIP</v>
      </c>
      <c r="B2116" t="s">
        <v>2122</v>
      </c>
      <c r="C2116">
        <v>1.1007709910000001</v>
      </c>
      <c r="D2116">
        <v>9.1988376999999996E-2</v>
      </c>
      <c r="E2116">
        <v>0.68677954200000002</v>
      </c>
      <c r="F2116">
        <v>0.46228295699999999</v>
      </c>
      <c r="G2116">
        <v>0.79986621999999996</v>
      </c>
      <c r="H2116">
        <v>4.1900000000000004</v>
      </c>
      <c r="I2116">
        <v>3.3039434624635402</v>
      </c>
      <c r="J2116">
        <v>3.11821663856534</v>
      </c>
      <c r="K2116">
        <v>3.2297790281822998</v>
      </c>
      <c r="L2116">
        <v>3.2082802468021798</v>
      </c>
      <c r="M2116">
        <v>3.2110800505144401</v>
      </c>
      <c r="N2116">
        <v>3.2097369794942701</v>
      </c>
      <c r="Q2116">
        <f t="shared" si="165"/>
        <v>4.1900000000000004</v>
      </c>
      <c r="R2116">
        <f t="shared" si="167"/>
        <v>3.196699271533463</v>
      </c>
      <c r="S2116">
        <f t="shared" si="168"/>
        <v>0.99330072846653739</v>
      </c>
      <c r="T2116">
        <f t="shared" si="169"/>
        <v>0.98664633717215389</v>
      </c>
    </row>
    <row r="2117" spans="1:20" hidden="1" x14ac:dyDescent="0.25">
      <c r="A2117" t="str">
        <f t="shared" si="166"/>
        <v>RIP</v>
      </c>
      <c r="B2117" t="s">
        <v>2123</v>
      </c>
      <c r="C2117">
        <v>1.0620459840000001</v>
      </c>
      <c r="D2117">
        <v>9.4694598000000005E-2</v>
      </c>
      <c r="E2117">
        <v>0.68710394799999996</v>
      </c>
      <c r="F2117">
        <v>0.46064596099999999</v>
      </c>
      <c r="G2117">
        <v>0.80017337099999997</v>
      </c>
      <c r="H2117">
        <v>3.97</v>
      </c>
      <c r="I2117">
        <v>3.47229845488468</v>
      </c>
      <c r="J2117">
        <v>3.2677651819239202</v>
      </c>
      <c r="K2117">
        <v>3.2106043741311998</v>
      </c>
      <c r="L2117">
        <v>3.1330827352057402</v>
      </c>
      <c r="M2117">
        <v>3.3700318184042999</v>
      </c>
      <c r="N2117">
        <v>3.3684797746343098</v>
      </c>
      <c r="Q2117">
        <f t="shared" si="165"/>
        <v>3.97</v>
      </c>
      <c r="R2117">
        <f t="shared" si="167"/>
        <v>3.3449338292638133</v>
      </c>
      <c r="S2117">
        <f t="shared" si="168"/>
        <v>0.62506617073618687</v>
      </c>
      <c r="T2117">
        <f t="shared" si="169"/>
        <v>0.39070771779879993</v>
      </c>
    </row>
    <row r="2118" spans="1:20" hidden="1" x14ac:dyDescent="0.25">
      <c r="A2118" t="str">
        <f t="shared" si="166"/>
        <v>RIP</v>
      </c>
      <c r="B2118" t="s">
        <v>2124</v>
      </c>
      <c r="C2118">
        <v>1.201079826</v>
      </c>
      <c r="D2118">
        <v>9.5426837E-2</v>
      </c>
      <c r="E2118">
        <v>0.687410509</v>
      </c>
      <c r="F2118">
        <v>0.465960761</v>
      </c>
      <c r="G2118">
        <v>0.79788228400000005</v>
      </c>
      <c r="H2118">
        <v>4.24</v>
      </c>
      <c r="I2118">
        <v>3.3350626248495501</v>
      </c>
      <c r="J2118">
        <v>3.1819608655751601</v>
      </c>
      <c r="K2118">
        <v>3.0000342339018</v>
      </c>
      <c r="L2118">
        <v>2.9802232441429801</v>
      </c>
      <c r="M2118">
        <v>3.2585117452123602</v>
      </c>
      <c r="N2118">
        <v>3.2576124319067898</v>
      </c>
      <c r="Q2118">
        <f t="shared" si="165"/>
        <v>4.24</v>
      </c>
      <c r="R2118">
        <f t="shared" si="167"/>
        <v>3.2299809170775591</v>
      </c>
      <c r="S2118">
        <f t="shared" si="168"/>
        <v>1.0100190829224411</v>
      </c>
      <c r="T2118">
        <f t="shared" si="169"/>
        <v>1.0201385478674889</v>
      </c>
    </row>
    <row r="2119" spans="1:20" hidden="1" x14ac:dyDescent="0.25">
      <c r="A2119" t="str">
        <f t="shared" si="166"/>
        <v>RIP</v>
      </c>
      <c r="B2119" t="s">
        <v>2125</v>
      </c>
      <c r="C2119">
        <v>1.1664603570000001</v>
      </c>
      <c r="D2119">
        <v>9.9619526999999999E-2</v>
      </c>
      <c r="E2119">
        <v>0.67212803300000001</v>
      </c>
      <c r="F2119">
        <v>0.43941746599999998</v>
      </c>
      <c r="G2119">
        <v>0.78669369899999997</v>
      </c>
      <c r="H2119">
        <v>3.53</v>
      </c>
      <c r="I2119">
        <v>3.4898391989688999</v>
      </c>
      <c r="J2119">
        <v>3.2998469173623999</v>
      </c>
      <c r="K2119">
        <v>2.9933166407029601</v>
      </c>
      <c r="L2119">
        <v>2.9368121763446799</v>
      </c>
      <c r="M2119">
        <v>3.3948430581656499</v>
      </c>
      <c r="N2119">
        <v>3.3935136838987399</v>
      </c>
      <c r="Q2119">
        <f t="shared" si="165"/>
        <v>3.53</v>
      </c>
      <c r="R2119">
        <f t="shared" si="167"/>
        <v>3.318789773645177</v>
      </c>
      <c r="S2119">
        <f t="shared" si="168"/>
        <v>0.21121022635482278</v>
      </c>
      <c r="T2119">
        <f t="shared" si="169"/>
        <v>4.4609759716855477E-2</v>
      </c>
    </row>
    <row r="2120" spans="1:20" hidden="1" x14ac:dyDescent="0.25">
      <c r="A2120" t="str">
        <f t="shared" si="166"/>
        <v>RIP</v>
      </c>
      <c r="B2120" t="s">
        <v>2126</v>
      </c>
      <c r="C2120">
        <v>1.180010462</v>
      </c>
      <c r="D2120">
        <v>9.6969652000000003E-2</v>
      </c>
      <c r="E2120">
        <v>0.68513864899999999</v>
      </c>
      <c r="F2120">
        <v>0.46882494200000002</v>
      </c>
      <c r="G2120">
        <v>0.79362013399999998</v>
      </c>
      <c r="H2120">
        <v>4.1500000000000004</v>
      </c>
      <c r="I2120">
        <v>3.4240227123821301</v>
      </c>
      <c r="J2120">
        <v>3.28241315239161</v>
      </c>
      <c r="K2120">
        <v>3.0156501151633002</v>
      </c>
      <c r="L2120">
        <v>2.9761630872528801</v>
      </c>
      <c r="M2120">
        <v>3.3532179323868698</v>
      </c>
      <c r="N2120">
        <v>3.3524703108619298</v>
      </c>
      <c r="Q2120">
        <f t="shared" si="165"/>
        <v>4.1500000000000004</v>
      </c>
      <c r="R2120">
        <f t="shared" si="167"/>
        <v>3.3302802485330272</v>
      </c>
      <c r="S2120">
        <f t="shared" si="168"/>
        <v>0.81971975146697318</v>
      </c>
      <c r="T2120">
        <f t="shared" si="169"/>
        <v>0.67194047094507625</v>
      </c>
    </row>
    <row r="2121" spans="1:20" hidden="1" x14ac:dyDescent="0.25">
      <c r="A2121" t="str">
        <f t="shared" si="166"/>
        <v>RIP</v>
      </c>
      <c r="B2121" t="s">
        <v>2127</v>
      </c>
      <c r="C2121">
        <v>1.2438820719999999</v>
      </c>
      <c r="D2121">
        <v>9.9470284000000006E-2</v>
      </c>
      <c r="E2121">
        <v>0.67532738400000003</v>
      </c>
      <c r="F2121">
        <v>0.44896235200000001</v>
      </c>
      <c r="G2121">
        <v>0.79029894000000001</v>
      </c>
      <c r="H2121">
        <v>4.08</v>
      </c>
      <c r="I2121">
        <v>3.4415437410679601</v>
      </c>
      <c r="J2121">
        <v>3.25508859226967</v>
      </c>
      <c r="K2121">
        <v>2.91711546102015</v>
      </c>
      <c r="L2121">
        <v>2.9109870291139299</v>
      </c>
      <c r="M2121">
        <v>3.3483161666688099</v>
      </c>
      <c r="N2121">
        <v>3.3470180416823898</v>
      </c>
      <c r="Q2121">
        <f t="shared" si="165"/>
        <v>4.08</v>
      </c>
      <c r="R2121">
        <f t="shared" si="167"/>
        <v>3.2643367816746336</v>
      </c>
      <c r="S2121">
        <f t="shared" si="168"/>
        <v>0.81566321832536648</v>
      </c>
      <c r="T2121">
        <f t="shared" si="169"/>
        <v>0.6653064857288945</v>
      </c>
    </row>
    <row r="2122" spans="1:20" hidden="1" x14ac:dyDescent="0.25">
      <c r="A2122" t="str">
        <f t="shared" si="166"/>
        <v>RIP</v>
      </c>
      <c r="B2122" t="s">
        <v>2128</v>
      </c>
      <c r="C2122">
        <v>1.223967493</v>
      </c>
      <c r="D2122">
        <v>0.10158433</v>
      </c>
      <c r="E2122">
        <v>0.67020513699999995</v>
      </c>
      <c r="F2122">
        <v>0.44762054000000001</v>
      </c>
      <c r="G2122">
        <v>0.78312176600000005</v>
      </c>
      <c r="H2122">
        <v>4.26</v>
      </c>
      <c r="I2122">
        <v>3.53899234809982</v>
      </c>
      <c r="J2122">
        <v>3.3771953643184198</v>
      </c>
      <c r="K2122">
        <v>3.0368106511114701</v>
      </c>
      <c r="L2122">
        <v>3.0562672407212101</v>
      </c>
      <c r="M2122">
        <v>3.4580938562091199</v>
      </c>
      <c r="N2122">
        <v>3.45714745886852</v>
      </c>
      <c r="Q2122">
        <f t="shared" si="165"/>
        <v>4.26</v>
      </c>
      <c r="R2122">
        <f t="shared" si="167"/>
        <v>3.376855481778525</v>
      </c>
      <c r="S2122">
        <f t="shared" si="168"/>
        <v>0.88314451822147477</v>
      </c>
      <c r="T2122">
        <f t="shared" si="169"/>
        <v>0.7799442400646408</v>
      </c>
    </row>
    <row r="2123" spans="1:20" hidden="1" x14ac:dyDescent="0.25">
      <c r="A2123" t="str">
        <f t="shared" si="166"/>
        <v>RIP</v>
      </c>
      <c r="B2123" t="s">
        <v>2129</v>
      </c>
      <c r="C2123">
        <v>1.279183835</v>
      </c>
      <c r="D2123">
        <v>0.100332662</v>
      </c>
      <c r="E2123">
        <v>0.65407368300000002</v>
      </c>
      <c r="F2123">
        <v>0.40075046800000003</v>
      </c>
      <c r="G2123">
        <v>0.76057356600000003</v>
      </c>
      <c r="H2123">
        <v>3.34</v>
      </c>
      <c r="I2123">
        <v>3.0757694296497502</v>
      </c>
      <c r="J2123">
        <v>3.0521552502384401</v>
      </c>
      <c r="K2123">
        <v>2.62869673286575</v>
      </c>
      <c r="L2123">
        <v>2.53525771048972</v>
      </c>
      <c r="M2123">
        <v>3.0639623399440898</v>
      </c>
      <c r="N2123">
        <v>3.0639395903360001</v>
      </c>
      <c r="Q2123">
        <f t="shared" si="165"/>
        <v>3.34</v>
      </c>
      <c r="R2123">
        <f t="shared" si="167"/>
        <v>3.0181613197101553</v>
      </c>
      <c r="S2123">
        <f t="shared" si="168"/>
        <v>0.32183868028984453</v>
      </c>
      <c r="T2123">
        <f t="shared" si="169"/>
        <v>0.10358013613070875</v>
      </c>
    </row>
    <row r="2124" spans="1:20" hidden="1" x14ac:dyDescent="0.25">
      <c r="A2124" t="str">
        <f t="shared" si="166"/>
        <v>RIP</v>
      </c>
      <c r="B2124" t="s">
        <v>2130</v>
      </c>
      <c r="C2124">
        <v>1.7198173240000001</v>
      </c>
      <c r="D2124">
        <v>6.6359630000000003E-2</v>
      </c>
      <c r="E2124">
        <v>0.61525498099999998</v>
      </c>
      <c r="F2124">
        <v>0.42605268400000001</v>
      </c>
      <c r="G2124">
        <v>0.76246080400000005</v>
      </c>
      <c r="H2124">
        <v>1.1000000000000001</v>
      </c>
      <c r="I2124">
        <v>1.7015919628285701</v>
      </c>
      <c r="J2124">
        <v>1.48703487636118</v>
      </c>
      <c r="K2124">
        <v>1.63751997524676</v>
      </c>
      <c r="L2124">
        <v>1.5497447174769901</v>
      </c>
      <c r="M2124">
        <v>1.5943134195948701</v>
      </c>
      <c r="N2124">
        <v>1.59070003270949</v>
      </c>
      <c r="Q2124">
        <f t="shared" si="165"/>
        <v>1.1000000000000001</v>
      </c>
      <c r="R2124">
        <f t="shared" si="167"/>
        <v>1.4355247015483901</v>
      </c>
      <c r="S2124">
        <f t="shared" si="168"/>
        <v>-0.33552470154838998</v>
      </c>
      <c r="T2124">
        <f t="shared" si="169"/>
        <v>0.11257682534913617</v>
      </c>
    </row>
    <row r="2125" spans="1:20" hidden="1" x14ac:dyDescent="0.25">
      <c r="A2125" t="str">
        <f t="shared" si="166"/>
        <v>RIP</v>
      </c>
      <c r="B2125" t="s">
        <v>2131</v>
      </c>
      <c r="C2125">
        <v>1.7214601469999999</v>
      </c>
      <c r="D2125">
        <v>7.3204179999999994E-2</v>
      </c>
      <c r="E2125">
        <v>0.62110708999999997</v>
      </c>
      <c r="F2125">
        <v>0.40953437500000001</v>
      </c>
      <c r="G2125">
        <v>0.76052408900000001</v>
      </c>
      <c r="H2125">
        <v>1.0900000000000001</v>
      </c>
      <c r="I2125">
        <v>1.7771695852171701</v>
      </c>
      <c r="J2125">
        <v>1.5998801104592499</v>
      </c>
      <c r="K2125">
        <v>1.53453753918638</v>
      </c>
      <c r="L2125">
        <v>1.4358601599432499</v>
      </c>
      <c r="M2125">
        <v>1.68852484783821</v>
      </c>
      <c r="N2125">
        <v>1.68619639197279</v>
      </c>
      <c r="Q2125">
        <f t="shared" si="165"/>
        <v>1.0900000000000001</v>
      </c>
      <c r="R2125">
        <f t="shared" si="167"/>
        <v>1.535993405716328</v>
      </c>
      <c r="S2125">
        <f t="shared" si="168"/>
        <v>-0.44599340571632795</v>
      </c>
      <c r="T2125">
        <f t="shared" si="169"/>
        <v>0.19891011794244912</v>
      </c>
    </row>
    <row r="2126" spans="1:20" hidden="1" x14ac:dyDescent="0.25">
      <c r="A2126" t="str">
        <f t="shared" si="166"/>
        <v>RIP</v>
      </c>
      <c r="B2126" t="s">
        <v>2132</v>
      </c>
      <c r="C2126">
        <v>1.7520778319999999</v>
      </c>
      <c r="D2126">
        <v>7.1311658E-2</v>
      </c>
      <c r="E2126">
        <v>0.60584717099999996</v>
      </c>
      <c r="F2126">
        <v>0.41789885100000002</v>
      </c>
      <c r="G2126">
        <v>0.75577005399999997</v>
      </c>
      <c r="H2126">
        <v>0.97</v>
      </c>
      <c r="I2126">
        <v>1.7506716337722401</v>
      </c>
      <c r="J2126">
        <v>1.53276233146923</v>
      </c>
      <c r="K2126">
        <v>1.5877983866438501</v>
      </c>
      <c r="L2126">
        <v>1.4990644456134401</v>
      </c>
      <c r="M2126">
        <v>1.6417169826207401</v>
      </c>
      <c r="N2126">
        <v>1.63809753525783</v>
      </c>
      <c r="Q2126">
        <f t="shared" si="165"/>
        <v>0.97</v>
      </c>
      <c r="R2126">
        <f t="shared" si="167"/>
        <v>1.4676545389378797</v>
      </c>
      <c r="S2126">
        <f t="shared" si="168"/>
        <v>-0.4976545389378797</v>
      </c>
      <c r="T2126">
        <f t="shared" si="169"/>
        <v>0.24766004012547363</v>
      </c>
    </row>
    <row r="2127" spans="1:20" hidden="1" x14ac:dyDescent="0.25">
      <c r="A2127" t="str">
        <f t="shared" si="166"/>
        <v>RIP</v>
      </c>
      <c r="B2127" t="s">
        <v>2133</v>
      </c>
      <c r="C2127">
        <v>1.77753809</v>
      </c>
      <c r="D2127">
        <v>6.6869338E-2</v>
      </c>
      <c r="E2127">
        <v>0.61511132700000004</v>
      </c>
      <c r="F2127">
        <v>0.42100093300000002</v>
      </c>
      <c r="G2127">
        <v>0.76464358399999999</v>
      </c>
      <c r="H2127">
        <v>1.05</v>
      </c>
      <c r="I2127">
        <v>1.6340584705793699</v>
      </c>
      <c r="J2127">
        <v>1.4224806257879801</v>
      </c>
      <c r="K2127">
        <v>1.49503857383311</v>
      </c>
      <c r="L2127">
        <v>1.41028107262044</v>
      </c>
      <c r="M2127">
        <v>1.5282695481836699</v>
      </c>
      <c r="N2127">
        <v>1.5246037241866801</v>
      </c>
      <c r="Q2127">
        <f t="shared" si="165"/>
        <v>1.05</v>
      </c>
      <c r="R2127">
        <f t="shared" si="167"/>
        <v>1.3554355539305836</v>
      </c>
      <c r="S2127">
        <f t="shared" si="168"/>
        <v>-0.30543555393058353</v>
      </c>
      <c r="T2127">
        <f t="shared" si="169"/>
        <v>9.3290877604882402E-2</v>
      </c>
    </row>
    <row r="2128" spans="1:20" hidden="1" x14ac:dyDescent="0.25">
      <c r="A2128" t="str">
        <f t="shared" si="166"/>
        <v>RIP</v>
      </c>
      <c r="B2128" t="s">
        <v>2134</v>
      </c>
      <c r="C2128">
        <v>1.887949535</v>
      </c>
      <c r="D2128">
        <v>6.4338687000000006E-2</v>
      </c>
      <c r="E2128">
        <v>0.63695428600000004</v>
      </c>
      <c r="F2128">
        <v>0.43409588199999999</v>
      </c>
      <c r="G2128">
        <v>0.78274517399999999</v>
      </c>
      <c r="H2128">
        <v>1.1100000000000001</v>
      </c>
      <c r="I2128">
        <v>1.5095162131189299</v>
      </c>
      <c r="J2128">
        <v>1.3262409619168301</v>
      </c>
      <c r="K2128">
        <v>1.3661178671599801</v>
      </c>
      <c r="L2128">
        <v>1.26522420645267</v>
      </c>
      <c r="M2128">
        <v>1.4178785875178801</v>
      </c>
      <c r="N2128">
        <v>1.41491421454302</v>
      </c>
      <c r="Q2128">
        <f t="shared" si="165"/>
        <v>1.1100000000000001</v>
      </c>
      <c r="R2128">
        <f t="shared" si="167"/>
        <v>1.2447667877862867</v>
      </c>
      <c r="S2128">
        <f t="shared" si="168"/>
        <v>-0.13476678778628659</v>
      </c>
      <c r="T2128">
        <f t="shared" si="169"/>
        <v>1.8162087090234005E-2</v>
      </c>
    </row>
    <row r="2129" spans="1:20" hidden="1" x14ac:dyDescent="0.25">
      <c r="A2129" t="str">
        <f t="shared" si="166"/>
        <v>RIP</v>
      </c>
      <c r="B2129" t="s">
        <v>2135</v>
      </c>
      <c r="C2129">
        <v>1.7447006759999999</v>
      </c>
      <c r="D2129">
        <v>6.0249852999999999E-2</v>
      </c>
      <c r="E2129">
        <v>0.62467288600000004</v>
      </c>
      <c r="F2129">
        <v>0.422975451</v>
      </c>
      <c r="G2129">
        <v>0.76601223699999998</v>
      </c>
      <c r="H2129">
        <v>1.07</v>
      </c>
      <c r="I2129">
        <v>1.5260513745786299</v>
      </c>
      <c r="J2129">
        <v>1.32455699669907</v>
      </c>
      <c r="K2129">
        <v>1.62937742774581</v>
      </c>
      <c r="L2129">
        <v>1.5570350661463099</v>
      </c>
      <c r="M2129">
        <v>1.42530418563885</v>
      </c>
      <c r="N2129">
        <v>1.4217390848958</v>
      </c>
      <c r="Q2129">
        <f t="shared" si="165"/>
        <v>1.07</v>
      </c>
      <c r="R2129">
        <f t="shared" si="167"/>
        <v>1.2665430348423299</v>
      </c>
      <c r="S2129">
        <f t="shared" si="168"/>
        <v>-0.19654303484232982</v>
      </c>
      <c r="T2129">
        <f t="shared" si="169"/>
        <v>3.8629164545033276E-2</v>
      </c>
    </row>
    <row r="2130" spans="1:20" hidden="1" x14ac:dyDescent="0.25">
      <c r="A2130" t="str">
        <f t="shared" si="166"/>
        <v>RIP</v>
      </c>
      <c r="B2130" t="s">
        <v>2136</v>
      </c>
      <c r="C2130">
        <v>1.785894179</v>
      </c>
      <c r="D2130">
        <v>6.3735728000000005E-2</v>
      </c>
      <c r="E2130">
        <v>0.63310264299999996</v>
      </c>
      <c r="F2130">
        <v>0.43824412299999999</v>
      </c>
      <c r="G2130">
        <v>0.77681805199999998</v>
      </c>
      <c r="H2130">
        <v>1.1299999999999999</v>
      </c>
      <c r="I2130">
        <v>1.6172811542282799</v>
      </c>
      <c r="J2130">
        <v>1.4255199422547</v>
      </c>
      <c r="K2130">
        <v>1.5788152675543901</v>
      </c>
      <c r="L2130">
        <v>1.5040064340235999</v>
      </c>
      <c r="M2130">
        <v>1.5214005482414901</v>
      </c>
      <c r="N2130">
        <v>1.51837628326615</v>
      </c>
      <c r="Q2130">
        <f t="shared" si="165"/>
        <v>1.1299999999999999</v>
      </c>
      <c r="R2130">
        <f t="shared" si="167"/>
        <v>1.3683152421034208</v>
      </c>
      <c r="S2130">
        <f t="shared" si="168"/>
        <v>-0.23831524210342092</v>
      </c>
      <c r="T2130">
        <f t="shared" si="169"/>
        <v>5.6794154618812126E-2</v>
      </c>
    </row>
    <row r="2131" spans="1:20" hidden="1" x14ac:dyDescent="0.25">
      <c r="A2131" t="str">
        <f t="shared" si="166"/>
        <v>RIP</v>
      </c>
      <c r="B2131" t="s">
        <v>2137</v>
      </c>
      <c r="C2131">
        <v>1.782892981</v>
      </c>
      <c r="D2131">
        <v>6.1973878000000003E-2</v>
      </c>
      <c r="E2131">
        <v>0.64075222799999998</v>
      </c>
      <c r="F2131">
        <v>0.42853074200000002</v>
      </c>
      <c r="G2131">
        <v>0.78388044099999998</v>
      </c>
      <c r="H2131">
        <v>1.05</v>
      </c>
      <c r="I2131">
        <v>1.54889341329009</v>
      </c>
      <c r="J2131">
        <v>1.3615055149490001</v>
      </c>
      <c r="K2131">
        <v>1.6116128598396799</v>
      </c>
      <c r="L2131">
        <v>1.5326458558566001</v>
      </c>
      <c r="M2131">
        <v>1.45519946411955</v>
      </c>
      <c r="N2131">
        <v>1.4521800591740199</v>
      </c>
      <c r="Q2131">
        <f t="shared" si="165"/>
        <v>1.05</v>
      </c>
      <c r="R2131">
        <f t="shared" si="167"/>
        <v>1.2993141263811623</v>
      </c>
      <c r="S2131">
        <f t="shared" si="168"/>
        <v>-0.24931412638116224</v>
      </c>
      <c r="T2131">
        <f t="shared" si="169"/>
        <v>6.2157533613202136E-2</v>
      </c>
    </row>
    <row r="2132" spans="1:20" hidden="1" x14ac:dyDescent="0.25">
      <c r="A2132" t="str">
        <f t="shared" si="166"/>
        <v>RIP</v>
      </c>
      <c r="B2132" t="s">
        <v>2138</v>
      </c>
      <c r="C2132">
        <v>1.8742703679999999</v>
      </c>
      <c r="D2132">
        <v>6.1258828000000001E-2</v>
      </c>
      <c r="E2132">
        <v>0.63494194400000004</v>
      </c>
      <c r="F2132">
        <v>0.43526821199999999</v>
      </c>
      <c r="G2132">
        <v>0.78394093200000003</v>
      </c>
      <c r="H2132">
        <v>1.31</v>
      </c>
      <c r="I2132">
        <v>1.4694174164606499</v>
      </c>
      <c r="J2132">
        <v>1.2728601646874</v>
      </c>
      <c r="K2132">
        <v>1.41957358324389</v>
      </c>
      <c r="L2132">
        <v>1.3673209620111599</v>
      </c>
      <c r="M2132">
        <v>1.37113879057402</v>
      </c>
      <c r="N2132">
        <v>1.3676121141283599</v>
      </c>
      <c r="Q2132">
        <f t="shared" si="165"/>
        <v>1.31</v>
      </c>
      <c r="R2132">
        <f t="shared" si="167"/>
        <v>1.195061626071761</v>
      </c>
      <c r="S2132">
        <f t="shared" si="168"/>
        <v>0.11493837392823902</v>
      </c>
      <c r="T2132">
        <f t="shared" si="169"/>
        <v>1.3210829801267697E-2</v>
      </c>
    </row>
    <row r="2133" spans="1:20" hidden="1" x14ac:dyDescent="0.25">
      <c r="A2133" t="str">
        <f t="shared" si="166"/>
        <v>RIP</v>
      </c>
      <c r="B2133" t="s">
        <v>2139</v>
      </c>
      <c r="C2133">
        <v>1.8872263149999999</v>
      </c>
      <c r="D2133">
        <v>5.8952360000000002E-2</v>
      </c>
      <c r="E2133">
        <v>0.63941908700000005</v>
      </c>
      <c r="F2133">
        <v>0.449482516</v>
      </c>
      <c r="G2133">
        <v>0.78645157700000001</v>
      </c>
      <c r="H2133">
        <v>1.22</v>
      </c>
      <c r="I2133">
        <v>1.4574157122175799</v>
      </c>
      <c r="J2133">
        <v>1.2666336784133301</v>
      </c>
      <c r="K2133">
        <v>1.47648645034353</v>
      </c>
      <c r="L2133">
        <v>1.4320416736148001</v>
      </c>
      <c r="M2133">
        <v>1.36202469531546</v>
      </c>
      <c r="N2133">
        <v>1.3586801774308499</v>
      </c>
      <c r="Q2133">
        <f t="shared" si="165"/>
        <v>1.22</v>
      </c>
      <c r="R2133">
        <f t="shared" si="167"/>
        <v>1.1948456652469512</v>
      </c>
      <c r="S2133">
        <f t="shared" si="168"/>
        <v>2.5154334753048735E-2</v>
      </c>
      <c r="T2133">
        <f t="shared" si="169"/>
        <v>6.3274055686843539E-4</v>
      </c>
    </row>
    <row r="2134" spans="1:20" hidden="1" x14ac:dyDescent="0.25">
      <c r="A2134" t="str">
        <f t="shared" si="166"/>
        <v>RIP</v>
      </c>
      <c r="B2134" t="s">
        <v>2140</v>
      </c>
      <c r="C2134">
        <v>1.765900639</v>
      </c>
      <c r="D2134">
        <v>6.999184E-2</v>
      </c>
      <c r="E2134">
        <v>0.59361260299999996</v>
      </c>
      <c r="F2134">
        <v>0.41413191799999999</v>
      </c>
      <c r="G2134">
        <v>0.74418908500000003</v>
      </c>
      <c r="H2134">
        <v>1.1100000000000001</v>
      </c>
      <c r="I2134">
        <v>1.6810946457312499</v>
      </c>
      <c r="J2134">
        <v>1.4577879099429201</v>
      </c>
      <c r="K2134">
        <v>1.4032927578747001</v>
      </c>
      <c r="L2134">
        <v>1.2758555863823799</v>
      </c>
      <c r="M2134">
        <v>1.5694412778370801</v>
      </c>
      <c r="N2134">
        <v>1.56546461155045</v>
      </c>
      <c r="Q2134">
        <f t="shared" si="165"/>
        <v>1.1100000000000001</v>
      </c>
      <c r="R2134">
        <f t="shared" si="167"/>
        <v>1.3873925781762222</v>
      </c>
      <c r="S2134">
        <f t="shared" si="168"/>
        <v>-0.27739257817622209</v>
      </c>
      <c r="T2134">
        <f t="shared" si="169"/>
        <v>7.694664242725148E-2</v>
      </c>
    </row>
    <row r="2135" spans="1:20" hidden="1" x14ac:dyDescent="0.25">
      <c r="A2135" t="str">
        <f t="shared" si="166"/>
        <v>RIP</v>
      </c>
      <c r="B2135" t="s">
        <v>2141</v>
      </c>
      <c r="C2135">
        <v>1.766424623</v>
      </c>
      <c r="D2135">
        <v>7.6875548000000002E-2</v>
      </c>
      <c r="E2135">
        <v>0.60688704199999999</v>
      </c>
      <c r="F2135">
        <v>0.43417032300000002</v>
      </c>
      <c r="G2135">
        <v>0.75729056900000002</v>
      </c>
      <c r="H2135">
        <v>1.23</v>
      </c>
      <c r="I2135">
        <v>1.9533185932477899</v>
      </c>
      <c r="J2135">
        <v>1.72531731426472</v>
      </c>
      <c r="K2135">
        <v>1.5330014306569699</v>
      </c>
      <c r="L2135">
        <v>1.4305749253862099</v>
      </c>
      <c r="M2135">
        <v>1.8393179537562601</v>
      </c>
      <c r="N2135">
        <v>1.8357816834268801</v>
      </c>
      <c r="Q2135">
        <f t="shared" si="165"/>
        <v>1.23</v>
      </c>
      <c r="R2135">
        <f t="shared" si="167"/>
        <v>1.6641234127146847</v>
      </c>
      <c r="S2135">
        <f t="shared" si="168"/>
        <v>-0.43412341271468469</v>
      </c>
      <c r="T2135">
        <f t="shared" si="169"/>
        <v>0.18846313746704446</v>
      </c>
    </row>
    <row r="2136" spans="1:20" hidden="1" x14ac:dyDescent="0.25">
      <c r="A2136" t="str">
        <f t="shared" si="166"/>
        <v>RIP</v>
      </c>
      <c r="B2136" t="s">
        <v>2142</v>
      </c>
      <c r="C2136">
        <v>1.7368066639999999</v>
      </c>
      <c r="D2136">
        <v>7.3684622000000005E-2</v>
      </c>
      <c r="E2136">
        <v>0.57735670100000003</v>
      </c>
      <c r="F2136">
        <v>0.40144723999999998</v>
      </c>
      <c r="G2136">
        <v>0.73284155900000003</v>
      </c>
      <c r="H2136">
        <v>1.1299999999999999</v>
      </c>
      <c r="I2136">
        <v>1.75343476608891</v>
      </c>
      <c r="J2136">
        <v>1.51180438687522</v>
      </c>
      <c r="K2136">
        <v>1.4913590403096699</v>
      </c>
      <c r="L2136">
        <v>1.3918835633689099</v>
      </c>
      <c r="M2136">
        <v>1.6326195764820699</v>
      </c>
      <c r="N2136">
        <v>1.6281432281813399</v>
      </c>
      <c r="Q2136">
        <f t="shared" si="165"/>
        <v>1.1299999999999999</v>
      </c>
      <c r="R2136">
        <f t="shared" si="167"/>
        <v>1.4376079001124387</v>
      </c>
      <c r="S2136">
        <f t="shared" si="168"/>
        <v>-0.30760790011243877</v>
      </c>
      <c r="T2136">
        <f t="shared" si="169"/>
        <v>9.4622620211584102E-2</v>
      </c>
    </row>
    <row r="2137" spans="1:20" hidden="1" x14ac:dyDescent="0.25">
      <c r="A2137" t="str">
        <f t="shared" si="166"/>
        <v>RIP</v>
      </c>
      <c r="B2137" t="s">
        <v>2143</v>
      </c>
      <c r="C2137">
        <v>1.7699928760000001</v>
      </c>
      <c r="D2137">
        <v>7.6291387000000002E-2</v>
      </c>
      <c r="E2137">
        <v>0.59487460299999995</v>
      </c>
      <c r="F2137">
        <v>0.39665788699999999</v>
      </c>
      <c r="G2137">
        <v>0.745399543</v>
      </c>
      <c r="H2137">
        <v>1.1000000000000001</v>
      </c>
      <c r="I2137">
        <v>1.76208210549969</v>
      </c>
      <c r="J2137">
        <v>1.55215279665135</v>
      </c>
      <c r="K2137">
        <v>1.3706018953310699</v>
      </c>
      <c r="L2137">
        <v>1.26168793875184</v>
      </c>
      <c r="M2137">
        <v>1.65711745107552</v>
      </c>
      <c r="N2137">
        <v>1.6537897895381499</v>
      </c>
      <c r="Q2137">
        <f t="shared" si="165"/>
        <v>1.1000000000000001</v>
      </c>
      <c r="R2137">
        <f t="shared" si="167"/>
        <v>1.4670702005599998</v>
      </c>
      <c r="S2137">
        <f t="shared" si="168"/>
        <v>-0.36707020055999973</v>
      </c>
      <c r="T2137">
        <f t="shared" si="169"/>
        <v>0.13474053213915843</v>
      </c>
    </row>
    <row r="2138" spans="1:20" hidden="1" x14ac:dyDescent="0.25">
      <c r="A2138" t="str">
        <f t="shared" si="166"/>
        <v>RIP</v>
      </c>
      <c r="B2138" t="s">
        <v>2144</v>
      </c>
      <c r="C2138">
        <v>1.8168650630000001</v>
      </c>
      <c r="D2138">
        <v>7.3157786000000002E-2</v>
      </c>
      <c r="E2138">
        <v>0.60278503999999999</v>
      </c>
      <c r="F2138">
        <v>0.42738447000000002</v>
      </c>
      <c r="G2138">
        <v>0.75573574200000004</v>
      </c>
      <c r="H2138">
        <v>1.1499999999999999</v>
      </c>
      <c r="I2138">
        <v>1.7704789815301001</v>
      </c>
      <c r="J2138">
        <v>1.54571400548062</v>
      </c>
      <c r="K2138">
        <v>1.4418832542123401</v>
      </c>
      <c r="L2138">
        <v>1.3407482000687601</v>
      </c>
      <c r="M2138">
        <v>1.6580964935053599</v>
      </c>
      <c r="N2138">
        <v>1.65428357851976</v>
      </c>
      <c r="Q2138">
        <f t="shared" si="165"/>
        <v>1.1499999999999999</v>
      </c>
      <c r="R2138">
        <f t="shared" si="167"/>
        <v>1.4716455915903772</v>
      </c>
      <c r="S2138">
        <f t="shared" si="168"/>
        <v>-0.32164559159037731</v>
      </c>
      <c r="T2138">
        <f t="shared" si="169"/>
        <v>0.1034558865895238</v>
      </c>
    </row>
    <row r="2139" spans="1:20" hidden="1" x14ac:dyDescent="0.25">
      <c r="A2139" t="str">
        <f t="shared" si="166"/>
        <v>RIP</v>
      </c>
      <c r="B2139" t="s">
        <v>2145</v>
      </c>
      <c r="C2139">
        <v>1.7733164189999999</v>
      </c>
      <c r="D2139">
        <v>6.3207503999999998E-2</v>
      </c>
      <c r="E2139">
        <v>0.61392337799999996</v>
      </c>
      <c r="F2139">
        <v>0.43951962500000002</v>
      </c>
      <c r="G2139">
        <v>0.76996084200000003</v>
      </c>
      <c r="H2139">
        <v>1.04</v>
      </c>
      <c r="I2139">
        <v>1.6433337074312699</v>
      </c>
      <c r="J2139">
        <v>1.4099360894356501</v>
      </c>
      <c r="K2139">
        <v>1.6412462830701799</v>
      </c>
      <c r="L2139">
        <v>1.5819697836036299</v>
      </c>
      <c r="M2139">
        <v>1.5266348984334599</v>
      </c>
      <c r="N2139">
        <v>1.5221680265638999</v>
      </c>
      <c r="Q2139">
        <f t="shared" si="165"/>
        <v>1.04</v>
      </c>
      <c r="R2139">
        <f t="shared" si="167"/>
        <v>1.3555449859274815</v>
      </c>
      <c r="S2139">
        <f t="shared" si="168"/>
        <v>-0.31554498592748148</v>
      </c>
      <c r="T2139">
        <f t="shared" si="169"/>
        <v>9.9568638143974486E-2</v>
      </c>
    </row>
    <row r="2140" spans="1:20" hidden="1" x14ac:dyDescent="0.25">
      <c r="A2140" t="str">
        <f t="shared" si="166"/>
        <v>RIP</v>
      </c>
      <c r="B2140" t="s">
        <v>2146</v>
      </c>
      <c r="C2140">
        <v>1.7107956310000001</v>
      </c>
      <c r="D2140">
        <v>6.9477057999999994E-2</v>
      </c>
      <c r="E2140">
        <v>0.58980708699999995</v>
      </c>
      <c r="F2140">
        <v>0.39873948199999998</v>
      </c>
      <c r="G2140">
        <v>0.74782631300000002</v>
      </c>
      <c r="H2140">
        <v>1.07</v>
      </c>
      <c r="I2140">
        <v>1.68600850659296</v>
      </c>
      <c r="J2140">
        <v>1.43940404814102</v>
      </c>
      <c r="K2140">
        <v>1.54115748129046</v>
      </c>
      <c r="L2140">
        <v>1.4479485261276801</v>
      </c>
      <c r="M2140">
        <v>1.56270627736699</v>
      </c>
      <c r="N2140">
        <v>1.5578342240399301</v>
      </c>
      <c r="Q2140">
        <f t="shared" si="165"/>
        <v>1.07</v>
      </c>
      <c r="R2140">
        <f t="shared" si="167"/>
        <v>1.371356875882074</v>
      </c>
      <c r="S2140">
        <f t="shared" si="168"/>
        <v>-0.30135687588207394</v>
      </c>
      <c r="T2140">
        <f t="shared" si="169"/>
        <v>9.081596664140372E-2</v>
      </c>
    </row>
    <row r="2141" spans="1:20" hidden="1" x14ac:dyDescent="0.25">
      <c r="A2141" t="str">
        <f t="shared" si="166"/>
        <v>RIP</v>
      </c>
      <c r="B2141" t="s">
        <v>2147</v>
      </c>
      <c r="C2141">
        <v>1.8068989870000001</v>
      </c>
      <c r="D2141">
        <v>7.0553508000000001E-2</v>
      </c>
      <c r="E2141">
        <v>0.59521681699999995</v>
      </c>
      <c r="F2141">
        <v>0.40622073400000003</v>
      </c>
      <c r="G2141">
        <v>0.74987605099999999</v>
      </c>
      <c r="H2141">
        <v>1.05</v>
      </c>
      <c r="I2141">
        <v>1.6279870869536199</v>
      </c>
      <c r="J2141">
        <v>1.4033346727252201</v>
      </c>
      <c r="K2141">
        <v>1.4547919634367901</v>
      </c>
      <c r="L2141">
        <v>1.3745532173288699</v>
      </c>
      <c r="M2141">
        <v>1.51566087983942</v>
      </c>
      <c r="N2141">
        <v>1.51149287986115</v>
      </c>
      <c r="Q2141">
        <f t="shared" si="165"/>
        <v>1.05</v>
      </c>
      <c r="R2141">
        <f t="shared" si="167"/>
        <v>1.3191911713225943</v>
      </c>
      <c r="S2141">
        <f t="shared" si="168"/>
        <v>-0.26919117132259429</v>
      </c>
      <c r="T2141">
        <f t="shared" si="169"/>
        <v>7.2463886718030307E-2</v>
      </c>
    </row>
    <row r="2142" spans="1:20" hidden="1" x14ac:dyDescent="0.25">
      <c r="A2142" t="str">
        <f t="shared" si="166"/>
        <v>RIP</v>
      </c>
      <c r="B2142" t="s">
        <v>2148</v>
      </c>
      <c r="C2142">
        <v>1.792677565</v>
      </c>
      <c r="D2142">
        <v>7.2916651999999998E-2</v>
      </c>
      <c r="E2142">
        <v>0.58919107100000001</v>
      </c>
      <c r="F2142">
        <v>0.39671915200000002</v>
      </c>
      <c r="G2142">
        <v>0.74568185099999995</v>
      </c>
      <c r="H2142">
        <v>1.0900000000000001</v>
      </c>
      <c r="I2142">
        <v>1.6640973791685501</v>
      </c>
      <c r="J2142">
        <v>1.4340084176630199</v>
      </c>
      <c r="K2142">
        <v>1.40711352008059</v>
      </c>
      <c r="L2142">
        <v>1.3239113171533501</v>
      </c>
      <c r="M2142">
        <v>1.5490528984157801</v>
      </c>
      <c r="N2142">
        <v>1.5447749510976201</v>
      </c>
      <c r="Q2142">
        <f t="shared" si="165"/>
        <v>1.0900000000000001</v>
      </c>
      <c r="R2142">
        <f t="shared" si="167"/>
        <v>1.3458462710327446</v>
      </c>
      <c r="S2142">
        <f t="shared" si="168"/>
        <v>-0.25584627103274449</v>
      </c>
      <c r="T2142">
        <f t="shared" si="169"/>
        <v>6.5457314401360545E-2</v>
      </c>
    </row>
    <row r="2143" spans="1:20" hidden="1" x14ac:dyDescent="0.25">
      <c r="A2143" t="str">
        <f t="shared" si="166"/>
        <v>RIP</v>
      </c>
      <c r="B2143" t="s">
        <v>2149</v>
      </c>
      <c r="C2143">
        <v>1.8930019469999999</v>
      </c>
      <c r="D2143">
        <v>6.9538375999999999E-2</v>
      </c>
      <c r="E2143">
        <v>0.61368192899999996</v>
      </c>
      <c r="F2143">
        <v>0.43353803299999999</v>
      </c>
      <c r="G2143">
        <v>0.76616913200000003</v>
      </c>
      <c r="H2143">
        <v>1.05</v>
      </c>
      <c r="I2143">
        <v>1.62498005887959</v>
      </c>
      <c r="J2143">
        <v>1.41509234596748</v>
      </c>
      <c r="K2143">
        <v>1.41039420148433</v>
      </c>
      <c r="L2143">
        <v>1.34368927085231</v>
      </c>
      <c r="M2143">
        <v>1.5200362024235301</v>
      </c>
      <c r="N2143">
        <v>1.51640919400744</v>
      </c>
      <c r="Q2143">
        <f t="shared" si="165"/>
        <v>1.05</v>
      </c>
      <c r="R2143">
        <f t="shared" si="167"/>
        <v>1.3303659892187305</v>
      </c>
      <c r="S2143">
        <f t="shared" si="168"/>
        <v>-0.28036598921873046</v>
      </c>
      <c r="T2143">
        <f t="shared" si="169"/>
        <v>7.8605087910597282E-2</v>
      </c>
    </row>
    <row r="2144" spans="1:20" hidden="1" x14ac:dyDescent="0.25">
      <c r="A2144" t="str">
        <f t="shared" si="166"/>
        <v>RIP</v>
      </c>
      <c r="B2144" t="s">
        <v>2150</v>
      </c>
      <c r="C2144">
        <v>1.8203530910000001</v>
      </c>
      <c r="D2144">
        <v>5.9102925000000001E-2</v>
      </c>
      <c r="E2144">
        <v>0.64110522199999997</v>
      </c>
      <c r="F2144">
        <v>0.45945232000000003</v>
      </c>
      <c r="G2144">
        <v>0.78853476700000003</v>
      </c>
      <c r="H2144">
        <v>1.27</v>
      </c>
      <c r="I2144">
        <v>1.5700940025944401</v>
      </c>
      <c r="J2144">
        <v>1.3750749267939799</v>
      </c>
      <c r="K2144">
        <v>1.5778527780139899</v>
      </c>
      <c r="L2144">
        <v>1.4921434449501401</v>
      </c>
      <c r="M2144">
        <v>1.4725844646942099</v>
      </c>
      <c r="N2144">
        <v>1.46935254301928</v>
      </c>
      <c r="Q2144">
        <f t="shared" si="165"/>
        <v>1.27</v>
      </c>
      <c r="R2144">
        <f t="shared" si="167"/>
        <v>1.323770442979725</v>
      </c>
      <c r="S2144">
        <f t="shared" si="168"/>
        <v>-5.3770442979724997E-2</v>
      </c>
      <c r="T2144">
        <f t="shared" si="169"/>
        <v>2.891260538235857E-3</v>
      </c>
    </row>
    <row r="2145" spans="1:20" hidden="1" x14ac:dyDescent="0.25">
      <c r="A2145" t="str">
        <f t="shared" si="166"/>
        <v>RIP</v>
      </c>
      <c r="B2145" t="s">
        <v>2151</v>
      </c>
      <c r="C2145">
        <v>1.8109928799999999</v>
      </c>
      <c r="D2145">
        <v>6.1685739000000003E-2</v>
      </c>
      <c r="E2145">
        <v>0.63527954499999995</v>
      </c>
      <c r="F2145">
        <v>0.44553326399999998</v>
      </c>
      <c r="G2145">
        <v>0.781765288</v>
      </c>
      <c r="H2145">
        <v>1.23</v>
      </c>
      <c r="I2145">
        <v>1.57984805548318</v>
      </c>
      <c r="J2145">
        <v>1.3836143069953399</v>
      </c>
      <c r="K2145">
        <v>1.56872308311453</v>
      </c>
      <c r="L2145">
        <v>1.48620893932719</v>
      </c>
      <c r="M2145">
        <v>1.48173118123926</v>
      </c>
      <c r="N2145">
        <v>1.4784790740640501</v>
      </c>
      <c r="Q2145">
        <f t="shared" si="165"/>
        <v>1.23</v>
      </c>
      <c r="R2145">
        <f t="shared" si="167"/>
        <v>1.3256584750218403</v>
      </c>
      <c r="S2145">
        <f t="shared" si="168"/>
        <v>-9.5658475021840328E-2</v>
      </c>
      <c r="T2145">
        <f t="shared" si="169"/>
        <v>9.1505438435040502E-3</v>
      </c>
    </row>
    <row r="2146" spans="1:20" hidden="1" x14ac:dyDescent="0.25">
      <c r="A2146" t="str">
        <f t="shared" si="166"/>
        <v>RIP</v>
      </c>
      <c r="B2146" t="s">
        <v>2152</v>
      </c>
      <c r="C2146">
        <v>1.810416359</v>
      </c>
      <c r="D2146">
        <v>6.2750531999999998E-2</v>
      </c>
      <c r="E2146">
        <v>0.62704652999999999</v>
      </c>
      <c r="F2146">
        <v>0.42791798199999997</v>
      </c>
      <c r="G2146">
        <v>0.77231254900000001</v>
      </c>
      <c r="H2146">
        <v>1.19</v>
      </c>
      <c r="I2146">
        <v>1.5305775709307901</v>
      </c>
      <c r="J2146">
        <v>1.3343117545938701</v>
      </c>
      <c r="K2146">
        <v>1.56818690560662</v>
      </c>
      <c r="L2146">
        <v>1.4775226744593799</v>
      </c>
      <c r="M2146">
        <v>1.43244466276233</v>
      </c>
      <c r="N2146">
        <v>1.42907929948295</v>
      </c>
      <c r="Q2146">
        <f t="shared" si="165"/>
        <v>1.19</v>
      </c>
      <c r="R2146">
        <f t="shared" si="167"/>
        <v>1.2653584802628259</v>
      </c>
      <c r="S2146">
        <f t="shared" si="168"/>
        <v>-7.5358480262825989E-2</v>
      </c>
      <c r="T2146">
        <f t="shared" si="169"/>
        <v>5.6789005475227344E-3</v>
      </c>
    </row>
    <row r="2147" spans="1:20" hidden="1" x14ac:dyDescent="0.25">
      <c r="A2147" t="str">
        <f t="shared" si="166"/>
        <v>RIP</v>
      </c>
      <c r="B2147" t="s">
        <v>2153</v>
      </c>
      <c r="C2147">
        <v>1.732629435</v>
      </c>
      <c r="D2147">
        <v>6.5214520999999998E-2</v>
      </c>
      <c r="E2147">
        <v>0.60813901699999995</v>
      </c>
      <c r="F2147">
        <v>0.40984243300000001</v>
      </c>
      <c r="G2147">
        <v>0.75847276500000005</v>
      </c>
      <c r="H2147">
        <v>1.06</v>
      </c>
      <c r="I2147">
        <v>1.6010350673071301</v>
      </c>
      <c r="J2147">
        <v>1.3803049372927401</v>
      </c>
      <c r="K2147">
        <v>1.5783228326358201</v>
      </c>
      <c r="L2147">
        <v>1.4985190672285</v>
      </c>
      <c r="M2147">
        <v>1.49067000229994</v>
      </c>
      <c r="N2147">
        <v>1.4865788267639399</v>
      </c>
      <c r="Q2147">
        <f t="shared" si="165"/>
        <v>1.06</v>
      </c>
      <c r="R2147">
        <f t="shared" si="167"/>
        <v>1.3160069242117838</v>
      </c>
      <c r="S2147">
        <f t="shared" si="168"/>
        <v>-0.25600692421178373</v>
      </c>
      <c r="T2147">
        <f t="shared" si="169"/>
        <v>6.5539545244377981E-2</v>
      </c>
    </row>
    <row r="2148" spans="1:20" hidden="1" x14ac:dyDescent="0.25">
      <c r="A2148" t="str">
        <f t="shared" si="166"/>
        <v>RIP</v>
      </c>
      <c r="B2148" t="s">
        <v>2154</v>
      </c>
      <c r="C2148">
        <v>1.8134627489999999</v>
      </c>
      <c r="D2148">
        <v>6.5003478000000003E-2</v>
      </c>
      <c r="E2148">
        <v>0.64034408099999995</v>
      </c>
      <c r="F2148">
        <v>0.44597081799999999</v>
      </c>
      <c r="G2148">
        <v>0.78600688500000004</v>
      </c>
      <c r="H2148">
        <v>1.05</v>
      </c>
      <c r="I2148">
        <v>1.6524748488522401</v>
      </c>
      <c r="J2148">
        <v>1.4634628982775599</v>
      </c>
      <c r="K2148">
        <v>1.59944757254072</v>
      </c>
      <c r="L2148">
        <v>1.5355208740450701</v>
      </c>
      <c r="M2148">
        <v>1.5579688735649</v>
      </c>
      <c r="N2148">
        <v>1.5550998783461001</v>
      </c>
      <c r="Q2148">
        <f t="shared" si="165"/>
        <v>1.05</v>
      </c>
      <c r="R2148">
        <f t="shared" si="167"/>
        <v>1.4052666441671664</v>
      </c>
      <c r="S2148">
        <f t="shared" si="168"/>
        <v>-0.35526664416716636</v>
      </c>
      <c r="T2148">
        <f t="shared" si="169"/>
        <v>0.1262143884578</v>
      </c>
    </row>
    <row r="2149" spans="1:20" hidden="1" x14ac:dyDescent="0.25">
      <c r="A2149" t="str">
        <f t="shared" si="166"/>
        <v>RIP</v>
      </c>
      <c r="B2149" t="s">
        <v>2155</v>
      </c>
      <c r="C2149">
        <v>1.7919926049999999</v>
      </c>
      <c r="D2149">
        <v>5.2443761999999998E-2</v>
      </c>
      <c r="E2149">
        <v>0.65167699300000004</v>
      </c>
      <c r="F2149">
        <v>0.46420125699999998</v>
      </c>
      <c r="G2149">
        <v>0.79778907300000002</v>
      </c>
      <c r="H2149">
        <v>1.02</v>
      </c>
      <c r="I2149">
        <v>1.48527677780754</v>
      </c>
      <c r="J2149">
        <v>1.29232408540526</v>
      </c>
      <c r="K2149">
        <v>1.7081348947209101</v>
      </c>
      <c r="L2149">
        <v>1.6452343900969599</v>
      </c>
      <c r="M2149">
        <v>1.3888004316064</v>
      </c>
      <c r="N2149">
        <v>1.38544539894353</v>
      </c>
      <c r="Q2149">
        <f t="shared" si="165"/>
        <v>1.02</v>
      </c>
      <c r="R2149">
        <f t="shared" si="167"/>
        <v>1.2493958204354412</v>
      </c>
      <c r="S2149">
        <f t="shared" si="168"/>
        <v>-0.22939582043544116</v>
      </c>
      <c r="T2149">
        <f t="shared" si="169"/>
        <v>5.2622442433249164E-2</v>
      </c>
    </row>
    <row r="2150" spans="1:20" hidden="1" x14ac:dyDescent="0.25">
      <c r="A2150" t="str">
        <f t="shared" si="166"/>
        <v>RIP</v>
      </c>
      <c r="B2150" t="s">
        <v>2156</v>
      </c>
      <c r="C2150">
        <v>1.784272825</v>
      </c>
      <c r="D2150">
        <v>5.5534584999999997E-2</v>
      </c>
      <c r="E2150">
        <v>0.64519754100000004</v>
      </c>
      <c r="F2150">
        <v>0.44886932200000002</v>
      </c>
      <c r="G2150">
        <v>0.79280879100000001</v>
      </c>
      <c r="H2150">
        <v>1.2</v>
      </c>
      <c r="I2150">
        <v>1.50040949737329</v>
      </c>
      <c r="J2150">
        <v>1.3009440265136301</v>
      </c>
      <c r="K2150">
        <v>1.60289259304778</v>
      </c>
      <c r="L2150">
        <v>1.4960983038681701</v>
      </c>
      <c r="M2150">
        <v>1.4006767619434599</v>
      </c>
      <c r="N2150">
        <v>1.39712160277197</v>
      </c>
      <c r="Q2150">
        <f t="shared" si="165"/>
        <v>1.2</v>
      </c>
      <c r="R2150">
        <f t="shared" si="167"/>
        <v>1.2506037042304823</v>
      </c>
      <c r="S2150">
        <f t="shared" si="168"/>
        <v>-5.0603704230482327E-2</v>
      </c>
      <c r="T2150">
        <f t="shared" si="169"/>
        <v>2.560734881846135E-3</v>
      </c>
    </row>
    <row r="2151" spans="1:20" hidden="1" x14ac:dyDescent="0.25">
      <c r="A2151" t="str">
        <f t="shared" si="166"/>
        <v>RIP</v>
      </c>
      <c r="B2151" t="s">
        <v>2157</v>
      </c>
      <c r="C2151">
        <v>1.815062773</v>
      </c>
      <c r="D2151">
        <v>5.4555940999999997E-2</v>
      </c>
      <c r="E2151">
        <v>0.66052828399999997</v>
      </c>
      <c r="F2151">
        <v>0.465472989</v>
      </c>
      <c r="G2151">
        <v>0.79901801900000002</v>
      </c>
      <c r="H2151">
        <v>1.29</v>
      </c>
      <c r="I2151">
        <v>1.4963432294446199</v>
      </c>
      <c r="J2151">
        <v>1.3253621345686999</v>
      </c>
      <c r="K2151">
        <v>1.7065796422030499</v>
      </c>
      <c r="L2151">
        <v>1.5650555478103501</v>
      </c>
      <c r="M2151">
        <v>1.41085268200666</v>
      </c>
      <c r="N2151">
        <v>1.40826015232419</v>
      </c>
      <c r="Q2151">
        <f t="shared" si="165"/>
        <v>1.29</v>
      </c>
      <c r="R2151">
        <f t="shared" si="167"/>
        <v>1.2789499911000197</v>
      </c>
      <c r="S2151">
        <f t="shared" si="168"/>
        <v>1.1050008899980313E-2</v>
      </c>
      <c r="T2151">
        <f t="shared" si="169"/>
        <v>1.2210269668964412E-4</v>
      </c>
    </row>
    <row r="2152" spans="1:20" hidden="1" x14ac:dyDescent="0.25">
      <c r="A2152" t="str">
        <f t="shared" si="166"/>
        <v>RIP</v>
      </c>
      <c r="B2152" t="s">
        <v>2158</v>
      </c>
      <c r="C2152">
        <v>1.847247589</v>
      </c>
      <c r="D2152">
        <v>5.7798864999999998E-2</v>
      </c>
      <c r="E2152">
        <v>0.66977914400000005</v>
      </c>
      <c r="F2152">
        <v>0.46732221800000001</v>
      </c>
      <c r="G2152">
        <v>0.80459475000000003</v>
      </c>
      <c r="H2152">
        <v>1.26</v>
      </c>
      <c r="I2152">
        <v>1.52707768561846</v>
      </c>
      <c r="J2152">
        <v>1.37779641970186</v>
      </c>
      <c r="K2152">
        <v>1.64059189203143</v>
      </c>
      <c r="L2152">
        <v>1.5455916902608799</v>
      </c>
      <c r="M2152">
        <v>1.45243705266016</v>
      </c>
      <c r="N2152">
        <v>1.45051789642586</v>
      </c>
      <c r="Q2152">
        <f t="shared" si="165"/>
        <v>1.26</v>
      </c>
      <c r="R2152">
        <f t="shared" si="167"/>
        <v>1.3264023746630409</v>
      </c>
      <c r="S2152">
        <f t="shared" si="168"/>
        <v>-6.6402374663040886E-2</v>
      </c>
      <c r="T2152">
        <f t="shared" si="169"/>
        <v>4.4092753608908544E-3</v>
      </c>
    </row>
    <row r="2153" spans="1:20" hidden="1" x14ac:dyDescent="0.25">
      <c r="A2153" t="str">
        <f t="shared" si="166"/>
        <v>RIP</v>
      </c>
      <c r="B2153" t="s">
        <v>2159</v>
      </c>
      <c r="C2153">
        <v>1.834504691</v>
      </c>
      <c r="D2153">
        <v>6.0118205000000001E-2</v>
      </c>
      <c r="E2153">
        <v>0.65385647599999996</v>
      </c>
      <c r="F2153">
        <v>0.42525053000000002</v>
      </c>
      <c r="G2153">
        <v>0.78746152400000002</v>
      </c>
      <c r="H2153">
        <v>1.08</v>
      </c>
      <c r="I2153">
        <v>1.4282273236771901</v>
      </c>
      <c r="J2153">
        <v>1.2705242490789701</v>
      </c>
      <c r="K2153">
        <v>1.51788166865427</v>
      </c>
      <c r="L2153">
        <v>1.43023599408336</v>
      </c>
      <c r="M2153">
        <v>1.34937578637808</v>
      </c>
      <c r="N2153">
        <v>1.3470699491596601</v>
      </c>
      <c r="Q2153">
        <f t="shared" si="165"/>
        <v>1.08</v>
      </c>
      <c r="R2153">
        <f t="shared" si="167"/>
        <v>1.1956960111851327</v>
      </c>
      <c r="S2153">
        <f t="shared" si="168"/>
        <v>-0.11569601118513262</v>
      </c>
      <c r="T2153">
        <f t="shared" si="169"/>
        <v>1.3385567004150332E-2</v>
      </c>
    </row>
    <row r="2154" spans="1:20" hidden="1" x14ac:dyDescent="0.25">
      <c r="A2154" t="str">
        <f t="shared" si="166"/>
        <v>RIP</v>
      </c>
      <c r="B2154" t="s">
        <v>2160</v>
      </c>
      <c r="C2154">
        <v>1.8689143420000001</v>
      </c>
      <c r="D2154">
        <v>6.5026460999999994E-2</v>
      </c>
      <c r="E2154">
        <v>0.65105225099999997</v>
      </c>
      <c r="F2154">
        <v>0.43885844600000001</v>
      </c>
      <c r="G2154">
        <v>0.79068996899999999</v>
      </c>
      <c r="H2154">
        <v>1.06</v>
      </c>
      <c r="I2154">
        <v>1.55622958164725</v>
      </c>
      <c r="J2154">
        <v>1.3944296375693499</v>
      </c>
      <c r="K2154">
        <v>1.4809779586988501</v>
      </c>
      <c r="L2154">
        <v>1.40407285744063</v>
      </c>
      <c r="M2154">
        <v>1.4753296096083</v>
      </c>
      <c r="N2154">
        <v>1.47310985724456</v>
      </c>
      <c r="Q2154">
        <f t="shared" si="165"/>
        <v>1.06</v>
      </c>
      <c r="R2154">
        <f t="shared" si="167"/>
        <v>1.3204049540294069</v>
      </c>
      <c r="S2154">
        <f t="shared" si="168"/>
        <v>-0.26040495402940689</v>
      </c>
      <c r="T2154">
        <f t="shared" si="169"/>
        <v>6.7810740083057514E-2</v>
      </c>
    </row>
    <row r="2155" spans="1:20" hidden="1" x14ac:dyDescent="0.25">
      <c r="A2155" t="str">
        <f t="shared" si="166"/>
        <v>RIP</v>
      </c>
      <c r="B2155" t="s">
        <v>2161</v>
      </c>
      <c r="C2155">
        <v>1.912902849</v>
      </c>
      <c r="D2155">
        <v>6.6823105999999993E-2</v>
      </c>
      <c r="E2155">
        <v>0.66728462799999999</v>
      </c>
      <c r="F2155">
        <v>0.44441117099999999</v>
      </c>
      <c r="G2155">
        <v>0.798088829</v>
      </c>
      <c r="H2155">
        <v>1.08</v>
      </c>
      <c r="I2155">
        <v>1.5542529988860101</v>
      </c>
      <c r="J2155">
        <v>1.4321228781611699</v>
      </c>
      <c r="K2155">
        <v>1.4264935784305099</v>
      </c>
      <c r="L2155">
        <v>1.3470086489487401</v>
      </c>
      <c r="M2155">
        <v>1.49318793852359</v>
      </c>
      <c r="N2155">
        <v>1.4919387648812099</v>
      </c>
      <c r="Q2155">
        <f t="shared" si="165"/>
        <v>1.08</v>
      </c>
      <c r="R2155">
        <f t="shared" si="167"/>
        <v>1.352487467773392</v>
      </c>
      <c r="S2155">
        <f t="shared" si="168"/>
        <v>-0.27248746777339194</v>
      </c>
      <c r="T2155">
        <f t="shared" si="169"/>
        <v>7.4249420093555313E-2</v>
      </c>
    </row>
    <row r="2156" spans="1:20" hidden="1" x14ac:dyDescent="0.25">
      <c r="A2156" t="str">
        <f t="shared" si="166"/>
        <v>RIP</v>
      </c>
      <c r="B2156" t="s">
        <v>2162</v>
      </c>
      <c r="C2156">
        <v>1.8982299490000001</v>
      </c>
      <c r="D2156">
        <v>6.7120857000000006E-2</v>
      </c>
      <c r="E2156">
        <v>0.65924450400000001</v>
      </c>
      <c r="F2156">
        <v>0.44449071299999998</v>
      </c>
      <c r="G2156">
        <v>0.79836317599999995</v>
      </c>
      <c r="H2156">
        <v>1.39</v>
      </c>
      <c r="I2156">
        <v>1.5985543366916699</v>
      </c>
      <c r="J2156">
        <v>1.44502994382176</v>
      </c>
      <c r="K2156">
        <v>1.5070935839120501</v>
      </c>
      <c r="L2156">
        <v>1.43364904403452</v>
      </c>
      <c r="M2156">
        <v>1.5217921402567101</v>
      </c>
      <c r="N2156">
        <v>1.51985488891064</v>
      </c>
      <c r="Q2156">
        <f t="shared" si="165"/>
        <v>1.39</v>
      </c>
      <c r="R2156">
        <f t="shared" si="167"/>
        <v>1.3682279361225382</v>
      </c>
      <c r="S2156">
        <f t="shared" si="168"/>
        <v>2.1772063877461667E-2</v>
      </c>
      <c r="T2156">
        <f t="shared" si="169"/>
        <v>4.7402276548427118E-4</v>
      </c>
    </row>
    <row r="2157" spans="1:20" hidden="1" x14ac:dyDescent="0.25">
      <c r="A2157" t="str">
        <f t="shared" si="166"/>
        <v>RIP</v>
      </c>
      <c r="B2157" t="s">
        <v>2163</v>
      </c>
      <c r="C2157">
        <v>1.8566130830000001</v>
      </c>
      <c r="D2157">
        <v>6.4415642999999995E-2</v>
      </c>
      <c r="E2157">
        <v>0.64705202500000003</v>
      </c>
      <c r="F2157">
        <v>0.43599214800000002</v>
      </c>
      <c r="G2157">
        <v>0.78056120900000003</v>
      </c>
      <c r="H2157">
        <v>1.05</v>
      </c>
      <c r="I2157">
        <v>1.52767609425512</v>
      </c>
      <c r="J2157">
        <v>1.3775234193586201</v>
      </c>
      <c r="K2157">
        <v>1.52071288084513</v>
      </c>
      <c r="L2157">
        <v>1.4468902536428001</v>
      </c>
      <c r="M2157">
        <v>1.45259975680687</v>
      </c>
      <c r="N2157">
        <v>1.4506583322859801</v>
      </c>
      <c r="Q2157">
        <f t="shared" si="165"/>
        <v>1.05</v>
      </c>
      <c r="R2157">
        <f t="shared" si="167"/>
        <v>1.3042755471414909</v>
      </c>
      <c r="S2157">
        <f t="shared" si="168"/>
        <v>-0.25427554714149081</v>
      </c>
      <c r="T2157">
        <f t="shared" si="169"/>
        <v>6.4656053874104516E-2</v>
      </c>
    </row>
    <row r="2158" spans="1:20" hidden="1" x14ac:dyDescent="0.25">
      <c r="A2158" t="str">
        <f t="shared" si="166"/>
        <v>RIP</v>
      </c>
      <c r="B2158" t="s">
        <v>2164</v>
      </c>
      <c r="C2158">
        <v>1.806542042</v>
      </c>
      <c r="D2158">
        <v>6.2122561999999999E-2</v>
      </c>
      <c r="E2158">
        <v>0.65851891900000004</v>
      </c>
      <c r="F2158">
        <v>0.44342336900000001</v>
      </c>
      <c r="G2158">
        <v>0.791737264</v>
      </c>
      <c r="H2158">
        <v>1.1599999999999999</v>
      </c>
      <c r="I2158">
        <v>1.56753901801025</v>
      </c>
      <c r="J2158">
        <v>1.41490070309756</v>
      </c>
      <c r="K2158">
        <v>1.6102327524482001</v>
      </c>
      <c r="L2158">
        <v>1.53864877535413</v>
      </c>
      <c r="M2158">
        <v>1.49121986055391</v>
      </c>
      <c r="N2158">
        <v>1.4892656105327799</v>
      </c>
      <c r="Q2158">
        <f t="shared" si="165"/>
        <v>1.1599999999999999</v>
      </c>
      <c r="R2158">
        <f t="shared" si="167"/>
        <v>1.3574170747818362</v>
      </c>
      <c r="S2158">
        <f t="shared" si="168"/>
        <v>-0.19741707478183623</v>
      </c>
      <c r="T2158">
        <f t="shared" si="169"/>
        <v>3.8973501415417118E-2</v>
      </c>
    </row>
    <row r="2159" spans="1:20" hidden="1" x14ac:dyDescent="0.25">
      <c r="A2159" t="str">
        <f t="shared" si="166"/>
        <v>RIP</v>
      </c>
      <c r="B2159" t="s">
        <v>2165</v>
      </c>
      <c r="C2159">
        <v>1.8558373399999999</v>
      </c>
      <c r="D2159">
        <v>5.7012339000000002E-2</v>
      </c>
      <c r="E2159">
        <v>0.64743970399999995</v>
      </c>
      <c r="F2159">
        <v>0.46071442000000001</v>
      </c>
      <c r="G2159">
        <v>0.79503479200000005</v>
      </c>
      <c r="H2159">
        <v>1.28</v>
      </c>
      <c r="I2159">
        <v>1.49570825400805</v>
      </c>
      <c r="J2159">
        <v>1.3059880660760701</v>
      </c>
      <c r="K2159">
        <v>1.6000023260863201</v>
      </c>
      <c r="L2159">
        <v>1.5352809580073301</v>
      </c>
      <c r="M2159">
        <v>1.4008481600420599</v>
      </c>
      <c r="N2159">
        <v>1.3976326878210801</v>
      </c>
      <c r="Q2159">
        <f t="shared" si="165"/>
        <v>1.28</v>
      </c>
      <c r="R2159">
        <f t="shared" si="167"/>
        <v>1.2478835672405899</v>
      </c>
      <c r="S2159">
        <f t="shared" si="168"/>
        <v>3.2116432759410118E-2</v>
      </c>
      <c r="T2159">
        <f t="shared" si="169"/>
        <v>1.0314652531897115E-3</v>
      </c>
    </row>
    <row r="2160" spans="1:20" hidden="1" x14ac:dyDescent="0.25">
      <c r="A2160" t="str">
        <f t="shared" si="166"/>
        <v>RIP</v>
      </c>
      <c r="B2160" t="s">
        <v>2166</v>
      </c>
      <c r="C2160">
        <v>1.845097682</v>
      </c>
      <c r="D2160">
        <v>5.8525163999999998E-2</v>
      </c>
      <c r="E2160">
        <v>0.65245034199999996</v>
      </c>
      <c r="F2160">
        <v>0.45653038099999999</v>
      </c>
      <c r="G2160">
        <v>0.79539285299999996</v>
      </c>
      <c r="H2160">
        <v>1.1499999999999999</v>
      </c>
      <c r="I2160">
        <v>1.51601883712338</v>
      </c>
      <c r="J2160">
        <v>1.3386502763177099</v>
      </c>
      <c r="K2160">
        <v>1.59433843504506</v>
      </c>
      <c r="L2160">
        <v>1.50264512971595</v>
      </c>
      <c r="M2160">
        <v>1.42733455672055</v>
      </c>
      <c r="N2160">
        <v>1.4245767916184999</v>
      </c>
      <c r="Q2160">
        <f t="shared" si="165"/>
        <v>1.1499999999999999</v>
      </c>
      <c r="R2160">
        <f t="shared" si="167"/>
        <v>1.2805950596218465</v>
      </c>
      <c r="S2160">
        <f t="shared" si="168"/>
        <v>-0.13059505962184659</v>
      </c>
      <c r="T2160">
        <f t="shared" si="169"/>
        <v>1.7055069597633664E-2</v>
      </c>
    </row>
    <row r="2161" spans="1:20" hidden="1" x14ac:dyDescent="0.25">
      <c r="A2161" t="str">
        <f t="shared" si="166"/>
        <v>RIP</v>
      </c>
      <c r="B2161" t="s">
        <v>2167</v>
      </c>
      <c r="C2161">
        <v>1.9652629029999999</v>
      </c>
      <c r="D2161">
        <v>5.8572628000000002E-2</v>
      </c>
      <c r="E2161">
        <v>0.67351671800000001</v>
      </c>
      <c r="F2161">
        <v>0.47575702800000003</v>
      </c>
      <c r="G2161">
        <v>0.81129317300000003</v>
      </c>
      <c r="H2161">
        <v>1.46</v>
      </c>
      <c r="I2161">
        <v>1.45259145347859</v>
      </c>
      <c r="J2161">
        <v>1.31139670263748</v>
      </c>
      <c r="K2161">
        <v>1.46195988421039</v>
      </c>
      <c r="L2161">
        <v>1.34695786286811</v>
      </c>
      <c r="M2161">
        <v>1.38199407805803</v>
      </c>
      <c r="N2161">
        <v>1.38018971245666</v>
      </c>
      <c r="Q2161">
        <f t="shared" si="165"/>
        <v>1.46</v>
      </c>
      <c r="R2161">
        <f t="shared" si="167"/>
        <v>1.2401521267467595</v>
      </c>
      <c r="S2161">
        <f t="shared" si="168"/>
        <v>0.21984787325324051</v>
      </c>
      <c r="T2161">
        <f t="shared" si="169"/>
        <v>4.8333087373972905E-2</v>
      </c>
    </row>
    <row r="2162" spans="1:20" hidden="1" x14ac:dyDescent="0.25">
      <c r="A2162" t="str">
        <f t="shared" si="166"/>
        <v>RIP</v>
      </c>
      <c r="B2162" t="s">
        <v>2168</v>
      </c>
      <c r="C2162">
        <v>1.884622936</v>
      </c>
      <c r="D2162">
        <v>6.0260636999999999E-2</v>
      </c>
      <c r="E2162">
        <v>0.64513869000000001</v>
      </c>
      <c r="F2162">
        <v>0.442521473</v>
      </c>
      <c r="G2162">
        <v>0.78575365900000005</v>
      </c>
      <c r="H2162">
        <v>1.1100000000000001</v>
      </c>
      <c r="I2162">
        <v>1.45040776474502</v>
      </c>
      <c r="J2162">
        <v>1.27791631092108</v>
      </c>
      <c r="K2162">
        <v>1.46788451664904</v>
      </c>
      <c r="L2162">
        <v>1.42349433428239</v>
      </c>
      <c r="M2162">
        <v>1.3641620378330499</v>
      </c>
      <c r="N2162">
        <v>1.36143297303035</v>
      </c>
      <c r="Q2162">
        <f t="shared" si="165"/>
        <v>1.1100000000000001</v>
      </c>
      <c r="R2162">
        <f t="shared" si="167"/>
        <v>1.2026805562058351</v>
      </c>
      <c r="S2162">
        <f t="shared" si="168"/>
        <v>-9.2680556205835041E-2</v>
      </c>
      <c r="T2162">
        <f t="shared" si="169"/>
        <v>8.5896854986229482E-3</v>
      </c>
    </row>
    <row r="2163" spans="1:20" hidden="1" x14ac:dyDescent="0.25">
      <c r="A2163" t="str">
        <f t="shared" si="166"/>
        <v>RIP</v>
      </c>
      <c r="B2163" t="s">
        <v>2169</v>
      </c>
      <c r="C2163">
        <v>1.8534680079999999</v>
      </c>
      <c r="D2163">
        <v>6.2480921000000002E-2</v>
      </c>
      <c r="E2163">
        <v>0.65259400099999998</v>
      </c>
      <c r="F2163">
        <v>0.43565460499999997</v>
      </c>
      <c r="G2163">
        <v>0.79142800099999999</v>
      </c>
      <c r="H2163">
        <v>1.0900000000000001</v>
      </c>
      <c r="I2163">
        <v>1.5049280508937599</v>
      </c>
      <c r="J2163">
        <v>1.3411962309352601</v>
      </c>
      <c r="K2163">
        <v>1.49505978770194</v>
      </c>
      <c r="L2163">
        <v>1.4478053927055601</v>
      </c>
      <c r="M2163">
        <v>1.4230621409145101</v>
      </c>
      <c r="N2163">
        <v>1.4207053986268501</v>
      </c>
      <c r="Q2163">
        <f t="shared" si="165"/>
        <v>1.0900000000000001</v>
      </c>
      <c r="R2163">
        <f t="shared" si="167"/>
        <v>1.2686998511422933</v>
      </c>
      <c r="S2163">
        <f t="shared" si="168"/>
        <v>-0.17869985114229325</v>
      </c>
      <c r="T2163">
        <f t="shared" si="169"/>
        <v>3.1933636798277765E-2</v>
      </c>
    </row>
    <row r="2164" spans="1:20" hidden="1" x14ac:dyDescent="0.25">
      <c r="A2164" t="str">
        <f t="shared" si="166"/>
        <v>RIP</v>
      </c>
      <c r="B2164" t="s">
        <v>2170</v>
      </c>
      <c r="C2164">
        <v>1.8568918999999999</v>
      </c>
      <c r="D2164">
        <v>6.0152149000000002E-2</v>
      </c>
      <c r="E2164">
        <v>0.65399731999999999</v>
      </c>
      <c r="F2164">
        <v>0.44993645500000001</v>
      </c>
      <c r="G2164">
        <v>0.79070112400000003</v>
      </c>
      <c r="H2164">
        <v>0.87</v>
      </c>
      <c r="I2164">
        <v>1.5010814066024201</v>
      </c>
      <c r="J2164">
        <v>1.3396925889695901</v>
      </c>
      <c r="K2164">
        <v>1.5494813728452701</v>
      </c>
      <c r="L2164">
        <v>1.4838751850193099</v>
      </c>
      <c r="M2164">
        <v>1.420386997786</v>
      </c>
      <c r="N2164">
        <v>1.4180929574133401</v>
      </c>
      <c r="Q2164">
        <f t="shared" si="165"/>
        <v>0.87</v>
      </c>
      <c r="R2164">
        <f t="shared" si="167"/>
        <v>1.2752339728688011</v>
      </c>
      <c r="S2164">
        <f t="shared" si="168"/>
        <v>-0.40523397286880114</v>
      </c>
      <c r="T2164">
        <f t="shared" si="169"/>
        <v>0.16421457276703225</v>
      </c>
    </row>
    <row r="2165" spans="1:20" hidden="1" x14ac:dyDescent="0.25">
      <c r="A2165" t="str">
        <f t="shared" si="166"/>
        <v>RIP</v>
      </c>
      <c r="B2165" t="s">
        <v>2171</v>
      </c>
      <c r="C2165">
        <v>1.8261382079999999</v>
      </c>
      <c r="D2165">
        <v>6.0608754000000001E-2</v>
      </c>
      <c r="E2165">
        <v>0.63408087999999996</v>
      </c>
      <c r="F2165">
        <v>0.38131628499999998</v>
      </c>
      <c r="G2165">
        <v>0.77311293000000003</v>
      </c>
      <c r="H2165">
        <v>1</v>
      </c>
      <c r="I2165">
        <v>1.28163537226556</v>
      </c>
      <c r="J2165">
        <v>1.1077036747537701</v>
      </c>
      <c r="K2165">
        <v>1.28020683120073</v>
      </c>
      <c r="L2165">
        <v>1.2026823935759801</v>
      </c>
      <c r="M2165">
        <v>1.19466952350967</v>
      </c>
      <c r="N2165">
        <v>1.19149998386613</v>
      </c>
      <c r="Q2165">
        <f t="shared" si="165"/>
        <v>1</v>
      </c>
      <c r="R2165">
        <f t="shared" si="167"/>
        <v>1.0070441716534773</v>
      </c>
      <c r="S2165">
        <f t="shared" si="168"/>
        <v>-7.0441716534772603E-3</v>
      </c>
      <c r="T2165">
        <f t="shared" si="169"/>
        <v>4.9620354283652561E-5</v>
      </c>
    </row>
    <row r="2166" spans="1:20" hidden="1" x14ac:dyDescent="0.25">
      <c r="A2166" t="str">
        <f t="shared" si="166"/>
        <v>RIP</v>
      </c>
      <c r="B2166" t="s">
        <v>2172</v>
      </c>
      <c r="C2166">
        <v>1.8651253130000001</v>
      </c>
      <c r="D2166">
        <v>5.6750093000000001E-2</v>
      </c>
      <c r="E2166">
        <v>0.65961219900000001</v>
      </c>
      <c r="F2166">
        <v>0.44813845600000002</v>
      </c>
      <c r="G2166">
        <v>0.79322399200000004</v>
      </c>
      <c r="H2166">
        <v>1.25</v>
      </c>
      <c r="I2166">
        <v>1.4154199456327601</v>
      </c>
      <c r="J2166">
        <v>1.2568926170647801</v>
      </c>
      <c r="K2166">
        <v>1.5096258570191901</v>
      </c>
      <c r="L2166">
        <v>1.4297075684725999</v>
      </c>
      <c r="M2166">
        <v>1.33615628134877</v>
      </c>
      <c r="N2166">
        <v>1.33380316378094</v>
      </c>
      <c r="Q2166">
        <f t="shared" si="165"/>
        <v>1.25</v>
      </c>
      <c r="R2166">
        <f t="shared" si="167"/>
        <v>1.1894443305015767</v>
      </c>
      <c r="S2166">
        <f t="shared" si="168"/>
        <v>6.0555669498423281E-2</v>
      </c>
      <c r="T2166">
        <f t="shared" si="169"/>
        <v>3.6669891084022718E-3</v>
      </c>
    </row>
    <row r="2167" spans="1:20" hidden="1" x14ac:dyDescent="0.25">
      <c r="A2167" t="str">
        <f t="shared" si="166"/>
        <v>RIP</v>
      </c>
      <c r="B2167" t="s">
        <v>2173</v>
      </c>
      <c r="C2167">
        <v>1.856294012</v>
      </c>
      <c r="D2167">
        <v>6.3032039999999998E-2</v>
      </c>
      <c r="E2167">
        <v>0.66813326299999998</v>
      </c>
      <c r="F2167">
        <v>0.44392849499999998</v>
      </c>
      <c r="G2167">
        <v>0.80244129099999995</v>
      </c>
      <c r="H2167">
        <v>1.2</v>
      </c>
      <c r="I2167">
        <v>1.5419229684195399</v>
      </c>
      <c r="J2167">
        <v>1.3981743533728299</v>
      </c>
      <c r="K2167">
        <v>1.5207617300141201</v>
      </c>
      <c r="L2167">
        <v>1.4698315502506201</v>
      </c>
      <c r="M2167">
        <v>1.47004866089619</v>
      </c>
      <c r="N2167">
        <v>1.46829055343985</v>
      </c>
      <c r="Q2167">
        <f t="shared" si="165"/>
        <v>1.2</v>
      </c>
      <c r="R2167">
        <f t="shared" si="167"/>
        <v>1.3306945995229129</v>
      </c>
      <c r="S2167">
        <f t="shared" si="168"/>
        <v>-0.13069459952291296</v>
      </c>
      <c r="T2167">
        <f t="shared" si="169"/>
        <v>1.70810783444546E-2</v>
      </c>
    </row>
    <row r="2168" spans="1:20" hidden="1" x14ac:dyDescent="0.25">
      <c r="A2168" t="str">
        <f t="shared" si="166"/>
        <v>RIP</v>
      </c>
      <c r="B2168" t="s">
        <v>2174</v>
      </c>
      <c r="C2168">
        <v>1.7771893169999999</v>
      </c>
      <c r="D2168">
        <v>6.1786216999999997E-2</v>
      </c>
      <c r="E2168">
        <v>0.63845736600000003</v>
      </c>
      <c r="F2168">
        <v>0.44418829599999998</v>
      </c>
      <c r="G2168">
        <v>0.77458547700000002</v>
      </c>
      <c r="H2168">
        <v>1.19</v>
      </c>
      <c r="I2168">
        <v>1.59645043080673</v>
      </c>
      <c r="J2168">
        <v>1.41808832606851</v>
      </c>
      <c r="K2168">
        <v>1.66845843846845</v>
      </c>
      <c r="L2168">
        <v>1.5969040858272401</v>
      </c>
      <c r="M2168">
        <v>1.5072693784376201</v>
      </c>
      <c r="N2168">
        <v>1.5046287645376399</v>
      </c>
      <c r="Q2168">
        <f t="shared" si="165"/>
        <v>1.19</v>
      </c>
      <c r="R2168">
        <f t="shared" si="167"/>
        <v>1.3666457060182688</v>
      </c>
      <c r="S2168">
        <f t="shared" si="168"/>
        <v>-0.1766457060182689</v>
      </c>
      <c r="T2168">
        <f t="shared" si="169"/>
        <v>3.1203705454692681E-2</v>
      </c>
    </row>
    <row r="2169" spans="1:20" hidden="1" x14ac:dyDescent="0.25">
      <c r="A2169" t="str">
        <f t="shared" si="166"/>
        <v>RIP</v>
      </c>
      <c r="B2169" t="s">
        <v>2175</v>
      </c>
      <c r="C2169">
        <v>1.7815640690000001</v>
      </c>
      <c r="D2169">
        <v>6.1940492999999999E-2</v>
      </c>
      <c r="E2169">
        <v>0.64796017699999997</v>
      </c>
      <c r="F2169">
        <v>0.44455662400000001</v>
      </c>
      <c r="G2169">
        <v>0.78692757700000004</v>
      </c>
      <c r="H2169">
        <v>1.04</v>
      </c>
      <c r="I2169">
        <v>1.60322364405597</v>
      </c>
      <c r="J2169">
        <v>1.4286448541588399</v>
      </c>
      <c r="K2169">
        <v>1.6166962065664601</v>
      </c>
      <c r="L2169">
        <v>1.5164209463624301</v>
      </c>
      <c r="M2169">
        <v>1.5159342491073999</v>
      </c>
      <c r="N2169">
        <v>1.5134190461158901</v>
      </c>
      <c r="Q2169">
        <f t="shared" si="165"/>
        <v>1.04</v>
      </c>
      <c r="R2169">
        <f t="shared" si="167"/>
        <v>1.3768259731801327</v>
      </c>
      <c r="S2169">
        <f t="shared" si="168"/>
        <v>-0.33682597318013263</v>
      </c>
      <c r="T2169">
        <f t="shared" si="169"/>
        <v>0.11345173620874342</v>
      </c>
    </row>
    <row r="2170" spans="1:20" hidden="1" x14ac:dyDescent="0.25">
      <c r="A2170" t="str">
        <f t="shared" si="166"/>
        <v>RIP</v>
      </c>
      <c r="B2170" t="s">
        <v>2176</v>
      </c>
      <c r="C2170">
        <v>1.7578873049999999</v>
      </c>
      <c r="D2170">
        <v>6.1832768000000003E-2</v>
      </c>
      <c r="E2170">
        <v>0.63900145699999999</v>
      </c>
      <c r="F2170">
        <v>0.42859364999999999</v>
      </c>
      <c r="G2170">
        <v>0.78097365200000002</v>
      </c>
      <c r="H2170">
        <v>1</v>
      </c>
      <c r="I2170">
        <v>1.5702977305015799</v>
      </c>
      <c r="J2170">
        <v>1.3817314089615</v>
      </c>
      <c r="K2170">
        <v>1.58514884695518</v>
      </c>
      <c r="L2170">
        <v>1.4970886546475399</v>
      </c>
      <c r="M2170">
        <v>1.4760145697315401</v>
      </c>
      <c r="N2170">
        <v>1.47300023613542</v>
      </c>
      <c r="Q2170">
        <f t="shared" si="165"/>
        <v>1</v>
      </c>
      <c r="R2170">
        <f t="shared" si="167"/>
        <v>1.3248642764099028</v>
      </c>
      <c r="S2170">
        <f t="shared" si="168"/>
        <v>-0.32486427640990279</v>
      </c>
      <c r="T2170">
        <f t="shared" si="169"/>
        <v>0.10553679808732971</v>
      </c>
    </row>
    <row r="2171" spans="1:20" hidden="1" x14ac:dyDescent="0.25">
      <c r="A2171" t="str">
        <f t="shared" si="166"/>
        <v>RIP</v>
      </c>
      <c r="B2171" t="s">
        <v>2177</v>
      </c>
      <c r="C2171">
        <v>1.8975915969999999</v>
      </c>
      <c r="D2171">
        <v>5.9747307999999999E-2</v>
      </c>
      <c r="E2171">
        <v>0.65156071199999999</v>
      </c>
      <c r="F2171">
        <v>0.45756817300000002</v>
      </c>
      <c r="G2171">
        <v>0.78795305199999999</v>
      </c>
      <c r="H2171">
        <v>1.37</v>
      </c>
      <c r="I2171">
        <v>1.4751485584576201</v>
      </c>
      <c r="J2171">
        <v>1.3156152274730799</v>
      </c>
      <c r="K2171">
        <v>1.4461792445602599</v>
      </c>
      <c r="L2171">
        <v>1.33927604600797</v>
      </c>
      <c r="M2171">
        <v>1.3953818929653501</v>
      </c>
      <c r="N2171">
        <v>1.3931001063426101</v>
      </c>
      <c r="Q2171">
        <f t="shared" si="165"/>
        <v>1.37</v>
      </c>
      <c r="R2171">
        <f t="shared" si="167"/>
        <v>1.24703334477686</v>
      </c>
      <c r="S2171">
        <f t="shared" si="168"/>
        <v>0.1229666552231401</v>
      </c>
      <c r="T2171">
        <f t="shared" si="169"/>
        <v>1.5120798296766607E-2</v>
      </c>
    </row>
    <row r="2172" spans="1:20" hidden="1" x14ac:dyDescent="0.25">
      <c r="A2172" t="str">
        <f t="shared" si="166"/>
        <v>RIP</v>
      </c>
      <c r="B2172" t="s">
        <v>2178</v>
      </c>
      <c r="C2172">
        <v>1.8555449749999999</v>
      </c>
      <c r="D2172">
        <v>6.4303162999999997E-2</v>
      </c>
      <c r="E2172">
        <v>0.63933444100000003</v>
      </c>
      <c r="F2172">
        <v>0.42608887000000001</v>
      </c>
      <c r="G2172">
        <v>0.77781045400000004</v>
      </c>
      <c r="H2172">
        <v>0.92</v>
      </c>
      <c r="I2172">
        <v>1.49661084171467</v>
      </c>
      <c r="J2172">
        <v>1.3310628082737599</v>
      </c>
      <c r="K2172">
        <v>1.4333326624695999</v>
      </c>
      <c r="L2172">
        <v>1.3550014569914499</v>
      </c>
      <c r="M2172">
        <v>1.4138368249942199</v>
      </c>
      <c r="N2172">
        <v>1.4114117152219201</v>
      </c>
      <c r="Q2172">
        <f t="shared" si="165"/>
        <v>0.92</v>
      </c>
      <c r="R2172">
        <f t="shared" si="167"/>
        <v>1.2516927490372582</v>
      </c>
      <c r="S2172">
        <f t="shared" si="168"/>
        <v>-0.33169274903725821</v>
      </c>
      <c r="T2172">
        <f t="shared" si="169"/>
        <v>0.11002007976389355</v>
      </c>
    </row>
    <row r="2173" spans="1:20" hidden="1" x14ac:dyDescent="0.25">
      <c r="A2173" t="str">
        <f t="shared" si="166"/>
        <v>RIP</v>
      </c>
      <c r="B2173" t="s">
        <v>2179</v>
      </c>
      <c r="C2173">
        <v>1.806266707</v>
      </c>
      <c r="D2173">
        <v>6.1337237000000003E-2</v>
      </c>
      <c r="E2173">
        <v>0.64570193799999998</v>
      </c>
      <c r="F2173">
        <v>0.47528061900000002</v>
      </c>
      <c r="G2173">
        <v>0.78076969799999996</v>
      </c>
      <c r="H2173">
        <v>1.1399999999999999</v>
      </c>
      <c r="I2173">
        <v>1.6716972945209101</v>
      </c>
      <c r="J2173">
        <v>1.50091951878776</v>
      </c>
      <c r="K2173">
        <v>1.75770259896985</v>
      </c>
      <c r="L2173">
        <v>1.6718425777597401</v>
      </c>
      <c r="M2173">
        <v>1.58630840665434</v>
      </c>
      <c r="N2173">
        <v>1.58400855390719</v>
      </c>
      <c r="Q2173">
        <f t="shared" si="165"/>
        <v>1.1399999999999999</v>
      </c>
      <c r="R2173">
        <f t="shared" si="167"/>
        <v>1.4625913154367511</v>
      </c>
      <c r="S2173">
        <f t="shared" si="168"/>
        <v>-0.32259131543675124</v>
      </c>
      <c r="T2173">
        <f t="shared" si="169"/>
        <v>0.10406515679521354</v>
      </c>
    </row>
    <row r="2174" spans="1:20" hidden="1" x14ac:dyDescent="0.25">
      <c r="A2174" t="str">
        <f t="shared" si="166"/>
        <v>RIP</v>
      </c>
      <c r="B2174" t="s">
        <v>2180</v>
      </c>
      <c r="C2174">
        <v>2.0569659589999998</v>
      </c>
      <c r="D2174">
        <v>6.1346418999999999E-2</v>
      </c>
      <c r="E2174">
        <v>0.64039786399999998</v>
      </c>
      <c r="F2174">
        <v>0.47355444400000002</v>
      </c>
      <c r="G2174">
        <v>0.78527844700000005</v>
      </c>
      <c r="H2174">
        <v>1.29</v>
      </c>
      <c r="I2174">
        <v>1.40576564731945</v>
      </c>
      <c r="J2174">
        <v>1.2384743625109</v>
      </c>
      <c r="K2174">
        <v>1.24611941238205</v>
      </c>
      <c r="L2174">
        <v>1.1885681761287601</v>
      </c>
      <c r="M2174">
        <v>1.32212000491518</v>
      </c>
      <c r="N2174">
        <v>1.3194713766898001</v>
      </c>
      <c r="Q2174">
        <f t="shared" si="165"/>
        <v>1.29</v>
      </c>
      <c r="R2174">
        <f t="shared" si="167"/>
        <v>1.1453004694093245</v>
      </c>
      <c r="S2174">
        <f t="shared" si="168"/>
        <v>0.14469953059067553</v>
      </c>
      <c r="T2174">
        <f t="shared" si="169"/>
        <v>2.0937954153161843E-2</v>
      </c>
    </row>
    <row r="2175" spans="1:20" hidden="1" x14ac:dyDescent="0.25">
      <c r="A2175" t="str">
        <f t="shared" si="166"/>
        <v>RIP</v>
      </c>
      <c r="B2175" t="s">
        <v>2181</v>
      </c>
      <c r="C2175">
        <v>1.9719373039999999</v>
      </c>
      <c r="D2175">
        <v>6.2287492E-2</v>
      </c>
      <c r="E2175">
        <v>0.63442823000000004</v>
      </c>
      <c r="F2175">
        <v>0.47166539099999999</v>
      </c>
      <c r="G2175">
        <v>0.78233787899999996</v>
      </c>
      <c r="H2175">
        <v>1.29</v>
      </c>
      <c r="I2175">
        <v>1.51628089526358</v>
      </c>
      <c r="J2175">
        <v>1.3310953074217999</v>
      </c>
      <c r="K2175">
        <v>1.39305034193552</v>
      </c>
      <c r="L2175">
        <v>1.301617818794</v>
      </c>
      <c r="M2175">
        <v>1.4236881013426901</v>
      </c>
      <c r="N2175">
        <v>1.42067391910272</v>
      </c>
      <c r="Q2175">
        <f t="shared" si="165"/>
        <v>1.29</v>
      </c>
      <c r="R2175">
        <f t="shared" si="167"/>
        <v>1.2547293476883241</v>
      </c>
      <c r="S2175">
        <f t="shared" si="168"/>
        <v>3.5270652311675921E-2</v>
      </c>
      <c r="T2175">
        <f t="shared" si="169"/>
        <v>1.2440189144911299E-3</v>
      </c>
    </row>
    <row r="2176" spans="1:20" hidden="1" x14ac:dyDescent="0.25">
      <c r="A2176" t="str">
        <f t="shared" si="166"/>
        <v>RIP</v>
      </c>
      <c r="B2176" t="s">
        <v>2182</v>
      </c>
      <c r="C2176">
        <v>2.0218125680000001</v>
      </c>
      <c r="D2176">
        <v>6.9243146000000005E-2</v>
      </c>
      <c r="E2176">
        <v>0.62734804200000005</v>
      </c>
      <c r="F2176">
        <v>0.46680818899999998</v>
      </c>
      <c r="G2176">
        <v>0.77098782799999999</v>
      </c>
      <c r="H2176">
        <v>1.34</v>
      </c>
      <c r="I2176">
        <v>1.5849905725301201</v>
      </c>
      <c r="J2176">
        <v>1.41761204095434</v>
      </c>
      <c r="K2176">
        <v>1.29663978435212</v>
      </c>
      <c r="L2176">
        <v>1.2378914537694901</v>
      </c>
      <c r="M2176">
        <v>1.5013013067422301</v>
      </c>
      <c r="N2176">
        <v>1.4989668843632999</v>
      </c>
      <c r="Q2176">
        <f t="shared" si="165"/>
        <v>1.34</v>
      </c>
      <c r="R2176">
        <f t="shared" si="167"/>
        <v>1.3263841816101554</v>
      </c>
      <c r="S2176">
        <f t="shared" si="168"/>
        <v>1.3615818389844714E-2</v>
      </c>
      <c r="T2176">
        <f t="shared" si="169"/>
        <v>1.853905104252335E-4</v>
      </c>
    </row>
    <row r="2177" spans="1:20" hidden="1" x14ac:dyDescent="0.25">
      <c r="A2177" t="str">
        <f t="shared" si="166"/>
        <v>RIP</v>
      </c>
      <c r="B2177" t="s">
        <v>2183</v>
      </c>
      <c r="C2177">
        <v>2.0073989110000001</v>
      </c>
      <c r="D2177">
        <v>6.3590072999999997E-2</v>
      </c>
      <c r="E2177">
        <v>0.64100422099999999</v>
      </c>
      <c r="F2177">
        <v>0.47541190300000002</v>
      </c>
      <c r="G2177">
        <v>0.78343184899999996</v>
      </c>
      <c r="H2177">
        <v>1.31</v>
      </c>
      <c r="I2177">
        <v>1.5090925337999599</v>
      </c>
      <c r="J2177">
        <v>1.3458796983435599</v>
      </c>
      <c r="K2177">
        <v>1.4227308982735101</v>
      </c>
      <c r="L2177">
        <v>1.3761411070365599</v>
      </c>
      <c r="M2177">
        <v>1.42748611607176</v>
      </c>
      <c r="N2177">
        <v>1.42515157234703</v>
      </c>
      <c r="Q2177">
        <f t="shared" ref="Q2177:Q2240" si="170">H2177</f>
        <v>1.31</v>
      </c>
      <c r="R2177">
        <f t="shared" si="167"/>
        <v>1.2644186431192055</v>
      </c>
      <c r="S2177">
        <f t="shared" si="168"/>
        <v>4.5581356880794566E-2</v>
      </c>
      <c r="T2177">
        <f t="shared" si="169"/>
        <v>2.077660095094358E-3</v>
      </c>
    </row>
    <row r="2178" spans="1:20" hidden="1" x14ac:dyDescent="0.25">
      <c r="A2178" t="str">
        <f t="shared" si="166"/>
        <v>RIP</v>
      </c>
      <c r="B2178" t="s">
        <v>2184</v>
      </c>
      <c r="C2178">
        <v>1.819228053</v>
      </c>
      <c r="D2178">
        <v>6.3227020999999994E-2</v>
      </c>
      <c r="E2178">
        <v>0.64419223000000003</v>
      </c>
      <c r="F2178">
        <v>0.480891823</v>
      </c>
      <c r="G2178">
        <v>0.78917225499999999</v>
      </c>
      <c r="H2178">
        <v>1.42</v>
      </c>
      <c r="I2178">
        <v>1.73413817727133</v>
      </c>
      <c r="J2178">
        <v>1.5493997887344</v>
      </c>
      <c r="K2178">
        <v>1.7148399997954999</v>
      </c>
      <c r="L2178">
        <v>1.6652894984275399</v>
      </c>
      <c r="M2178">
        <v>1.6417689830028599</v>
      </c>
      <c r="N2178">
        <v>1.6391684860014999</v>
      </c>
      <c r="Q2178">
        <f t="shared" si="170"/>
        <v>1.42</v>
      </c>
      <c r="R2178">
        <f t="shared" si="167"/>
        <v>1.5116663733604727</v>
      </c>
      <c r="S2178">
        <f t="shared" si="168"/>
        <v>-9.1666373360472786E-2</v>
      </c>
      <c r="T2178">
        <f t="shared" si="169"/>
        <v>8.4027240050615955E-3</v>
      </c>
    </row>
    <row r="2179" spans="1:20" hidden="1" x14ac:dyDescent="0.25">
      <c r="A2179" t="str">
        <f t="shared" ref="A2179:A2242" si="171">LEFT(B2179,3)</f>
        <v>RIP</v>
      </c>
      <c r="B2179" t="s">
        <v>2185</v>
      </c>
      <c r="C2179">
        <v>1.916885524</v>
      </c>
      <c r="D2179">
        <v>6.7299655999999999E-2</v>
      </c>
      <c r="E2179">
        <v>0.62507117300000004</v>
      </c>
      <c r="F2179">
        <v>0.44546505600000003</v>
      </c>
      <c r="G2179">
        <v>0.77071838400000003</v>
      </c>
      <c r="H2179">
        <v>1.28</v>
      </c>
      <c r="I2179">
        <v>1.57903070278855</v>
      </c>
      <c r="J2179">
        <v>1.3946408486189199</v>
      </c>
      <c r="K2179">
        <v>1.4198804367834701</v>
      </c>
      <c r="L2179">
        <v>1.40385223130068</v>
      </c>
      <c r="M2179">
        <v>1.48683577570373</v>
      </c>
      <c r="N2179">
        <v>1.4839746356768899</v>
      </c>
      <c r="Q2179">
        <f t="shared" si="170"/>
        <v>1.28</v>
      </c>
      <c r="R2179">
        <f t="shared" ref="R2179:R2242" si="172">$X$2*F2179+$X$3*D2179*E2179+($X$4/(D2179-$X$5))-$X$6*C2179</f>
        <v>1.3131135059646963</v>
      </c>
      <c r="S2179">
        <f t="shared" ref="S2179:S2242" si="173">Q2179-R2179</f>
        <v>-3.311350596469631E-2</v>
      </c>
      <c r="T2179">
        <f t="shared" ref="T2179:T2242" si="174">S2179^2</f>
        <v>1.0965042772739782E-3</v>
      </c>
    </row>
    <row r="2180" spans="1:20" hidden="1" x14ac:dyDescent="0.25">
      <c r="A2180" t="str">
        <f t="shared" si="171"/>
        <v>RIP</v>
      </c>
      <c r="B2180" t="s">
        <v>2186</v>
      </c>
      <c r="C2180">
        <v>1.931018219</v>
      </c>
      <c r="D2180">
        <v>6.4231806000000002E-2</v>
      </c>
      <c r="E2180">
        <v>0.65503466600000004</v>
      </c>
      <c r="F2180">
        <v>0.47451740599999997</v>
      </c>
      <c r="G2180">
        <v>0.79518239400000001</v>
      </c>
      <c r="H2180">
        <v>1.33</v>
      </c>
      <c r="I2180">
        <v>1.6039916384850701</v>
      </c>
      <c r="J2180">
        <v>1.44919809602191</v>
      </c>
      <c r="K2180">
        <v>1.5209165332604599</v>
      </c>
      <c r="L2180">
        <v>1.5076633652359299</v>
      </c>
      <c r="M2180">
        <v>1.5265948672534899</v>
      </c>
      <c r="N2180">
        <v>1.52463163699552</v>
      </c>
      <c r="Q2180">
        <f t="shared" si="170"/>
        <v>1.33</v>
      </c>
      <c r="R2180">
        <f t="shared" si="172"/>
        <v>1.3839888836272323</v>
      </c>
      <c r="S2180">
        <f t="shared" si="173"/>
        <v>-5.3988883627232198E-2</v>
      </c>
      <c r="T2180">
        <f t="shared" si="174"/>
        <v>2.9147995553148211E-3</v>
      </c>
    </row>
    <row r="2181" spans="1:20" hidden="1" x14ac:dyDescent="0.25">
      <c r="A2181" t="str">
        <f t="shared" si="171"/>
        <v>RIP</v>
      </c>
      <c r="B2181" t="s">
        <v>2187</v>
      </c>
      <c r="C2181">
        <v>2.0010509409999999</v>
      </c>
      <c r="D2181">
        <v>6.4625094999999994E-2</v>
      </c>
      <c r="E2181">
        <v>0.64791873899999997</v>
      </c>
      <c r="F2181">
        <v>0.47227819700000001</v>
      </c>
      <c r="G2181">
        <v>0.79124872000000002</v>
      </c>
      <c r="H2181">
        <v>1.38</v>
      </c>
      <c r="I2181">
        <v>1.53267870163839</v>
      </c>
      <c r="J2181">
        <v>1.3721705669272299</v>
      </c>
      <c r="K2181">
        <v>1.3830541543211501</v>
      </c>
      <c r="L2181">
        <v>1.3634513150779599</v>
      </c>
      <c r="M2181">
        <v>1.45242463428281</v>
      </c>
      <c r="N2181">
        <v>1.45020571056124</v>
      </c>
      <c r="Q2181">
        <f t="shared" si="170"/>
        <v>1.38</v>
      </c>
      <c r="R2181">
        <f t="shared" si="172"/>
        <v>1.2903240485026628</v>
      </c>
      <c r="S2181">
        <f t="shared" si="173"/>
        <v>8.9675951497337092E-2</v>
      </c>
      <c r="T2181">
        <f t="shared" si="174"/>
        <v>8.0417762769527546E-3</v>
      </c>
    </row>
    <row r="2182" spans="1:20" hidden="1" x14ac:dyDescent="0.25">
      <c r="A2182" t="str">
        <f t="shared" si="171"/>
        <v>RIP</v>
      </c>
      <c r="B2182" t="s">
        <v>2188</v>
      </c>
      <c r="C2182">
        <v>1.9726851750000001</v>
      </c>
      <c r="D2182">
        <v>6.4297646999999999E-2</v>
      </c>
      <c r="E2182">
        <v>0.652787055</v>
      </c>
      <c r="F2182">
        <v>0.47486167600000001</v>
      </c>
      <c r="G2182">
        <v>0.79131865899999998</v>
      </c>
      <c r="H2182">
        <v>1.44</v>
      </c>
      <c r="I2182">
        <v>1.55578547262972</v>
      </c>
      <c r="J2182">
        <v>1.4078335485470499</v>
      </c>
      <c r="K2182">
        <v>1.4591931733691701</v>
      </c>
      <c r="L2182">
        <v>1.41471075163377</v>
      </c>
      <c r="M2182">
        <v>1.4818095105883899</v>
      </c>
      <c r="N2182">
        <v>1.4799618179906699</v>
      </c>
      <c r="Q2182">
        <f t="shared" si="170"/>
        <v>1.44</v>
      </c>
      <c r="R2182">
        <f t="shared" si="172"/>
        <v>1.3338404139173243</v>
      </c>
      <c r="S2182">
        <f t="shared" si="173"/>
        <v>0.10615958608267562</v>
      </c>
      <c r="T2182">
        <f t="shared" si="174"/>
        <v>1.1269857717245015E-2</v>
      </c>
    </row>
    <row r="2183" spans="1:20" hidden="1" x14ac:dyDescent="0.25">
      <c r="A2183" t="str">
        <f t="shared" si="171"/>
        <v>RIP</v>
      </c>
      <c r="B2183" t="s">
        <v>2189</v>
      </c>
      <c r="C2183">
        <v>1.854108665</v>
      </c>
      <c r="D2183">
        <v>6.2650124000000001E-2</v>
      </c>
      <c r="E2183">
        <v>0.63877017999999997</v>
      </c>
      <c r="F2183">
        <v>0.45360008499999999</v>
      </c>
      <c r="G2183">
        <v>0.78346256299999995</v>
      </c>
      <c r="H2183">
        <v>1.29</v>
      </c>
      <c r="I2183">
        <v>1.58065506241938</v>
      </c>
      <c r="J2183">
        <v>1.3953671831708701</v>
      </c>
      <c r="K2183">
        <v>1.5946004853844</v>
      </c>
      <c r="L2183">
        <v>1.5758359934202999</v>
      </c>
      <c r="M2183">
        <v>1.48801112279512</v>
      </c>
      <c r="N2183">
        <v>1.4851243052394301</v>
      </c>
      <c r="Q2183">
        <f t="shared" si="170"/>
        <v>1.29</v>
      </c>
      <c r="R2183">
        <f t="shared" si="172"/>
        <v>1.3332530647833081</v>
      </c>
      <c r="S2183">
        <f t="shared" si="173"/>
        <v>-4.3253064783308037E-2</v>
      </c>
      <c r="T2183">
        <f t="shared" si="174"/>
        <v>1.870827613149042E-3</v>
      </c>
    </row>
    <row r="2184" spans="1:20" hidden="1" x14ac:dyDescent="0.25">
      <c r="A2184" t="str">
        <f t="shared" si="171"/>
        <v>RIP</v>
      </c>
      <c r="B2184" t="s">
        <v>2190</v>
      </c>
      <c r="C2184">
        <v>1.9224577089999999</v>
      </c>
      <c r="D2184">
        <v>5.8928135999999999E-2</v>
      </c>
      <c r="E2184">
        <v>0.633080062</v>
      </c>
      <c r="F2184">
        <v>0.45878057999999999</v>
      </c>
      <c r="G2184">
        <v>0.78390272100000002</v>
      </c>
      <c r="H2184">
        <v>1.1499999999999999</v>
      </c>
      <c r="I2184">
        <v>1.45802950414132</v>
      </c>
      <c r="J2184">
        <v>1.25859003419202</v>
      </c>
      <c r="K2184">
        <v>1.48164555768652</v>
      </c>
      <c r="L2184">
        <v>1.45680225325974</v>
      </c>
      <c r="M2184">
        <v>1.3583097691666699</v>
      </c>
      <c r="N2184">
        <v>1.35464438265923</v>
      </c>
      <c r="Q2184">
        <f t="shared" si="170"/>
        <v>1.1499999999999999</v>
      </c>
      <c r="R2184">
        <f t="shared" si="172"/>
        <v>1.1847618904204529</v>
      </c>
      <c r="S2184">
        <f t="shared" si="173"/>
        <v>-3.4761890420452968E-2</v>
      </c>
      <c r="T2184">
        <f t="shared" si="174"/>
        <v>1.2083890256035798E-3</v>
      </c>
    </row>
    <row r="2185" spans="1:20" hidden="1" x14ac:dyDescent="0.25">
      <c r="A2185" t="str">
        <f t="shared" si="171"/>
        <v>RIP</v>
      </c>
      <c r="B2185" t="s">
        <v>2191</v>
      </c>
      <c r="C2185">
        <v>1.9590635300000001</v>
      </c>
      <c r="D2185">
        <v>6.0130287999999997E-2</v>
      </c>
      <c r="E2185">
        <v>0.64124986399999995</v>
      </c>
      <c r="F2185">
        <v>0.47411314700000001</v>
      </c>
      <c r="G2185">
        <v>0.78448875600000001</v>
      </c>
      <c r="H2185">
        <v>1.4</v>
      </c>
      <c r="I2185">
        <v>1.4866964401951901</v>
      </c>
      <c r="J2185">
        <v>1.3126152467616601</v>
      </c>
      <c r="K2185">
        <v>1.48045338851249</v>
      </c>
      <c r="L2185">
        <v>1.4197926483715699</v>
      </c>
      <c r="M2185">
        <v>1.3996558434784201</v>
      </c>
      <c r="N2185">
        <v>1.3969468188540599</v>
      </c>
      <c r="Q2185">
        <f t="shared" si="170"/>
        <v>1.4</v>
      </c>
      <c r="R2185">
        <f t="shared" si="172"/>
        <v>1.240712800311889</v>
      </c>
      <c r="S2185">
        <f t="shared" si="173"/>
        <v>0.15928719968811089</v>
      </c>
      <c r="T2185">
        <f t="shared" si="174"/>
        <v>2.5372411984480113E-2</v>
      </c>
    </row>
    <row r="2186" spans="1:20" hidden="1" x14ac:dyDescent="0.25">
      <c r="A2186" t="str">
        <f t="shared" si="171"/>
        <v>RIP</v>
      </c>
      <c r="B2186" t="s">
        <v>2192</v>
      </c>
      <c r="C2186">
        <v>2.028922508</v>
      </c>
      <c r="D2186">
        <v>6.1577448999999999E-2</v>
      </c>
      <c r="E2186">
        <v>0.62266706100000002</v>
      </c>
      <c r="F2186">
        <v>0.45958070000000001</v>
      </c>
      <c r="G2186">
        <v>0.77380661399999995</v>
      </c>
      <c r="H2186">
        <v>1.27</v>
      </c>
      <c r="I2186">
        <v>1.39705035779695</v>
      </c>
      <c r="J2186">
        <v>1.20149034163222</v>
      </c>
      <c r="K2186">
        <v>1.26513977878424</v>
      </c>
      <c r="L2186">
        <v>1.1986073107595401</v>
      </c>
      <c r="M2186">
        <v>1.2992703497145801</v>
      </c>
      <c r="N2186">
        <v>1.2955857793549901</v>
      </c>
      <c r="Q2186">
        <f t="shared" si="170"/>
        <v>1.27</v>
      </c>
      <c r="R2186">
        <f t="shared" si="172"/>
        <v>1.1051195023990124</v>
      </c>
      <c r="S2186">
        <f t="shared" si="173"/>
        <v>0.16488049760098766</v>
      </c>
      <c r="T2186">
        <f t="shared" si="174"/>
        <v>2.7185578489149299E-2</v>
      </c>
    </row>
    <row r="2187" spans="1:20" hidden="1" x14ac:dyDescent="0.25">
      <c r="A2187" t="str">
        <f t="shared" si="171"/>
        <v>RIP</v>
      </c>
      <c r="B2187" t="s">
        <v>2193</v>
      </c>
      <c r="C2187">
        <v>1.964978181</v>
      </c>
      <c r="D2187">
        <v>5.9420460000000001E-2</v>
      </c>
      <c r="E2187">
        <v>0.63877741099999996</v>
      </c>
      <c r="F2187">
        <v>0.47946707100000002</v>
      </c>
      <c r="G2187">
        <v>0.79225253900000003</v>
      </c>
      <c r="H2187">
        <v>1.29</v>
      </c>
      <c r="I2187">
        <v>1.5041766739439799</v>
      </c>
      <c r="J2187">
        <v>1.30842129290848</v>
      </c>
      <c r="K2187">
        <v>1.4409057397251099</v>
      </c>
      <c r="L2187">
        <v>1.3767015790846</v>
      </c>
      <c r="M2187">
        <v>1.4062989834262301</v>
      </c>
      <c r="N2187">
        <v>1.4028887299014701</v>
      </c>
      <c r="Q2187">
        <f t="shared" si="170"/>
        <v>1.29</v>
      </c>
      <c r="R2187">
        <f t="shared" si="172"/>
        <v>1.2384196084507524</v>
      </c>
      <c r="S2187">
        <f t="shared" si="173"/>
        <v>5.1580391549247651E-2</v>
      </c>
      <c r="T2187">
        <f t="shared" si="174"/>
        <v>2.6605367923736986E-3</v>
      </c>
    </row>
    <row r="2188" spans="1:20" hidden="1" x14ac:dyDescent="0.25">
      <c r="A2188" t="str">
        <f t="shared" si="171"/>
        <v>RIP</v>
      </c>
      <c r="B2188" t="s">
        <v>2194</v>
      </c>
      <c r="C2188">
        <v>1.953663044</v>
      </c>
      <c r="D2188">
        <v>5.5854914999999998E-2</v>
      </c>
      <c r="E2188">
        <v>0.65441900200000003</v>
      </c>
      <c r="F2188">
        <v>0.48124168099999998</v>
      </c>
      <c r="G2188">
        <v>0.80432467900000004</v>
      </c>
      <c r="H2188">
        <v>1.38</v>
      </c>
      <c r="I2188">
        <v>1.4460034591345901</v>
      </c>
      <c r="J2188">
        <v>1.2659816057150399</v>
      </c>
      <c r="K2188">
        <v>1.54165073153234</v>
      </c>
      <c r="L2188">
        <v>1.4930354150974099</v>
      </c>
      <c r="M2188">
        <v>1.3559925324248101</v>
      </c>
      <c r="N2188">
        <v>1.35300176683725</v>
      </c>
      <c r="Q2188">
        <f t="shared" si="170"/>
        <v>1.38</v>
      </c>
      <c r="R2188">
        <f t="shared" si="172"/>
        <v>1.1996288821170502</v>
      </c>
      <c r="S2188">
        <f t="shared" si="173"/>
        <v>0.18037111788294968</v>
      </c>
      <c r="T2188">
        <f t="shared" si="174"/>
        <v>3.2533740166344929E-2</v>
      </c>
    </row>
    <row r="2189" spans="1:20" hidden="1" x14ac:dyDescent="0.25">
      <c r="A2189" t="str">
        <f t="shared" si="171"/>
        <v>RIP</v>
      </c>
      <c r="B2189" t="s">
        <v>2195</v>
      </c>
      <c r="C2189">
        <v>1.9365060350000001</v>
      </c>
      <c r="D2189">
        <v>6.3932460999999996E-2</v>
      </c>
      <c r="E2189">
        <v>0.61538197299999997</v>
      </c>
      <c r="F2189">
        <v>0.46083906600000002</v>
      </c>
      <c r="G2189">
        <v>0.76554423000000005</v>
      </c>
      <c r="H2189">
        <v>1.66</v>
      </c>
      <c r="I2189">
        <v>1.5494337531445701</v>
      </c>
      <c r="J2189">
        <v>1.34282722261469</v>
      </c>
      <c r="K2189">
        <v>1.4180281916093</v>
      </c>
      <c r="L2189">
        <v>1.3614636881215001</v>
      </c>
      <c r="M2189">
        <v>1.4461304878796299</v>
      </c>
      <c r="N2189">
        <v>1.4424360725386001</v>
      </c>
      <c r="Q2189">
        <f t="shared" si="170"/>
        <v>1.66</v>
      </c>
      <c r="R2189">
        <f t="shared" si="172"/>
        <v>1.2666313214959262</v>
      </c>
      <c r="S2189">
        <f t="shared" si="173"/>
        <v>0.39336867850407375</v>
      </c>
      <c r="T2189">
        <f t="shared" si="174"/>
        <v>0.15473891722804134</v>
      </c>
    </row>
    <row r="2190" spans="1:20" hidden="1" x14ac:dyDescent="0.25">
      <c r="A2190" t="str">
        <f t="shared" si="171"/>
        <v>RIP</v>
      </c>
      <c r="B2190" t="s">
        <v>2196</v>
      </c>
      <c r="C2190">
        <v>2.0322549200000002</v>
      </c>
      <c r="D2190">
        <v>6.2685217000000001E-2</v>
      </c>
      <c r="E2190">
        <v>0.61249179399999998</v>
      </c>
      <c r="F2190">
        <v>0.45692703299999998</v>
      </c>
      <c r="G2190">
        <v>0.763538312</v>
      </c>
      <c r="H2190">
        <v>1.56</v>
      </c>
      <c r="I2190">
        <v>1.4029343668937899</v>
      </c>
      <c r="J2190">
        <v>1.20182612835084</v>
      </c>
      <c r="K2190">
        <v>1.27986122129443</v>
      </c>
      <c r="L2190">
        <v>1.214695620623</v>
      </c>
      <c r="M2190">
        <v>1.3023802476223201</v>
      </c>
      <c r="N2190">
        <v>1.29849265631127</v>
      </c>
      <c r="Q2190">
        <f t="shared" si="170"/>
        <v>1.56</v>
      </c>
      <c r="R2190">
        <f t="shared" si="172"/>
        <v>1.1027293820737056</v>
      </c>
      <c r="S2190">
        <f t="shared" si="173"/>
        <v>0.45727061792629442</v>
      </c>
      <c r="T2190">
        <f t="shared" si="174"/>
        <v>0.20909641801869513</v>
      </c>
    </row>
    <row r="2191" spans="1:20" hidden="1" x14ac:dyDescent="0.25">
      <c r="A2191" t="str">
        <f t="shared" si="171"/>
        <v>RIP</v>
      </c>
      <c r="B2191" t="s">
        <v>2197</v>
      </c>
      <c r="C2191">
        <v>2.0115951299999999</v>
      </c>
      <c r="D2191">
        <v>6.0299589000000001E-2</v>
      </c>
      <c r="E2191">
        <v>0.64492545599999995</v>
      </c>
      <c r="F2191">
        <v>0.486146299</v>
      </c>
      <c r="G2191">
        <v>0.78959026600000004</v>
      </c>
      <c r="H2191">
        <v>1.62</v>
      </c>
      <c r="I2191">
        <v>1.4800998864238599</v>
      </c>
      <c r="J2191">
        <v>1.3117932378823201</v>
      </c>
      <c r="K2191">
        <v>1.31046927361979</v>
      </c>
      <c r="L2191">
        <v>1.2069200127465101</v>
      </c>
      <c r="M2191">
        <v>1.39594656215309</v>
      </c>
      <c r="N2191">
        <v>1.39340770142884</v>
      </c>
      <c r="Q2191">
        <f t="shared" si="170"/>
        <v>1.62</v>
      </c>
      <c r="R2191">
        <f t="shared" si="172"/>
        <v>1.2361763685045077</v>
      </c>
      <c r="S2191">
        <f t="shared" si="173"/>
        <v>0.38382363149549237</v>
      </c>
      <c r="T2191">
        <f t="shared" si="174"/>
        <v>0.14732058009438753</v>
      </c>
    </row>
    <row r="2192" spans="1:20" hidden="1" x14ac:dyDescent="0.25">
      <c r="A2192" t="str">
        <f t="shared" si="171"/>
        <v>RIP</v>
      </c>
      <c r="B2192" t="s">
        <v>2198</v>
      </c>
      <c r="C2192">
        <v>2.0688354489999998</v>
      </c>
      <c r="D2192">
        <v>6.5715999999999997E-2</v>
      </c>
      <c r="E2192">
        <v>0.64294148500000003</v>
      </c>
      <c r="F2192">
        <v>0.48602136400000001</v>
      </c>
      <c r="G2192">
        <v>0.78483396299999997</v>
      </c>
      <c r="H2192">
        <v>1.45</v>
      </c>
      <c r="I2192">
        <v>1.5268946909402401</v>
      </c>
      <c r="J2192">
        <v>1.3747472805990999</v>
      </c>
      <c r="K2192">
        <v>1.25073339686232</v>
      </c>
      <c r="L2192">
        <v>1.1397290123914501</v>
      </c>
      <c r="M2192">
        <v>1.4508209857696699</v>
      </c>
      <c r="N2192">
        <v>1.44882515305722</v>
      </c>
      <c r="Q2192">
        <f t="shared" si="170"/>
        <v>1.45</v>
      </c>
      <c r="R2192">
        <f t="shared" si="172"/>
        <v>1.286545194291036</v>
      </c>
      <c r="S2192">
        <f t="shared" si="173"/>
        <v>0.16345480570896398</v>
      </c>
      <c r="T2192">
        <f t="shared" si="174"/>
        <v>2.6717473509355164E-2</v>
      </c>
    </row>
    <row r="2193" spans="1:20" hidden="1" x14ac:dyDescent="0.25">
      <c r="A2193" t="str">
        <f t="shared" si="171"/>
        <v>RIP</v>
      </c>
      <c r="B2193" t="s">
        <v>2199</v>
      </c>
      <c r="C2193">
        <v>1.9780437850000001</v>
      </c>
      <c r="D2193">
        <v>6.6461095999999997E-2</v>
      </c>
      <c r="E2193">
        <v>0.62920762799999996</v>
      </c>
      <c r="F2193">
        <v>0.46257665599999997</v>
      </c>
      <c r="G2193">
        <v>0.77535103400000005</v>
      </c>
      <c r="H2193">
        <v>1.32</v>
      </c>
      <c r="I2193">
        <v>1.5611540036370199</v>
      </c>
      <c r="J2193">
        <v>1.3812944456081999</v>
      </c>
      <c r="K2193">
        <v>1.33277591868852</v>
      </c>
      <c r="L2193">
        <v>1.2902873189271</v>
      </c>
      <c r="M2193">
        <v>1.4712242246226099</v>
      </c>
      <c r="N2193">
        <v>1.4684731369564901</v>
      </c>
      <c r="Q2193">
        <f t="shared" si="170"/>
        <v>1.32</v>
      </c>
      <c r="R2193">
        <f t="shared" si="172"/>
        <v>1.2974966821652347</v>
      </c>
      <c r="S2193">
        <f t="shared" si="173"/>
        <v>2.2503317834765335E-2</v>
      </c>
      <c r="T2193">
        <f t="shared" si="174"/>
        <v>5.0639931357246762E-4</v>
      </c>
    </row>
    <row r="2194" spans="1:20" hidden="1" x14ac:dyDescent="0.25">
      <c r="A2194" t="str">
        <f t="shared" si="171"/>
        <v>RIP</v>
      </c>
      <c r="B2194" t="s">
        <v>2200</v>
      </c>
      <c r="C2194">
        <v>1.9070767500000001</v>
      </c>
      <c r="D2194">
        <v>6.1572177999999998E-2</v>
      </c>
      <c r="E2194">
        <v>0.63144487500000002</v>
      </c>
      <c r="F2194">
        <v>0.46171860199999998</v>
      </c>
      <c r="G2194">
        <v>0.77769187100000003</v>
      </c>
      <c r="H2194">
        <v>1.32</v>
      </c>
      <c r="I2194">
        <v>1.5310091985478</v>
      </c>
      <c r="J2194">
        <v>1.3403911768604799</v>
      </c>
      <c r="K2194">
        <v>1.4910677095562399</v>
      </c>
      <c r="L2194">
        <v>1.45685981718393</v>
      </c>
      <c r="M2194">
        <v>1.43570018770414</v>
      </c>
      <c r="N2194">
        <v>1.4325331484561501</v>
      </c>
      <c r="Q2194">
        <f t="shared" si="170"/>
        <v>1.32</v>
      </c>
      <c r="R2194">
        <f t="shared" si="172"/>
        <v>1.2716906580697369</v>
      </c>
      <c r="S2194">
        <f t="shared" si="173"/>
        <v>4.830934193026315E-2</v>
      </c>
      <c r="T2194">
        <f t="shared" si="174"/>
        <v>2.3337925177350813E-3</v>
      </c>
    </row>
    <row r="2195" spans="1:20" hidden="1" x14ac:dyDescent="0.25">
      <c r="A2195" t="str">
        <f t="shared" si="171"/>
        <v>RIP</v>
      </c>
      <c r="B2195" t="s">
        <v>2201</v>
      </c>
      <c r="C2195">
        <v>2.0706093980000002</v>
      </c>
      <c r="D2195">
        <v>5.8751472999999999E-2</v>
      </c>
      <c r="E2195">
        <v>0.64453687400000004</v>
      </c>
      <c r="F2195">
        <v>0.46743617900000001</v>
      </c>
      <c r="G2195">
        <v>0.78463939100000002</v>
      </c>
      <c r="H2195">
        <v>1.52</v>
      </c>
      <c r="I2195">
        <v>1.3079642266525999</v>
      </c>
      <c r="J2195">
        <v>1.15006528845197</v>
      </c>
      <c r="K2195">
        <v>1.2504978820214101</v>
      </c>
      <c r="L2195">
        <v>1.22997610676705</v>
      </c>
      <c r="M2195">
        <v>1.2290147575522901</v>
      </c>
      <c r="N2195">
        <v>1.2264763575422399</v>
      </c>
      <c r="Q2195">
        <f t="shared" si="170"/>
        <v>1.52</v>
      </c>
      <c r="R2195">
        <f t="shared" si="172"/>
        <v>1.0502420663969025</v>
      </c>
      <c r="S2195">
        <f t="shared" si="173"/>
        <v>0.46975793360309748</v>
      </c>
      <c r="T2195">
        <f t="shared" si="174"/>
        <v>0.22067251618305214</v>
      </c>
    </row>
    <row r="2196" spans="1:20" hidden="1" x14ac:dyDescent="0.25">
      <c r="A2196" t="str">
        <f t="shared" si="171"/>
        <v>RIP</v>
      </c>
      <c r="B2196" t="s">
        <v>2202</v>
      </c>
      <c r="C2196">
        <v>2.0198863579999999</v>
      </c>
      <c r="D2196">
        <v>6.2135317000000002E-2</v>
      </c>
      <c r="E2196">
        <v>0.65100465299999999</v>
      </c>
      <c r="F2196">
        <v>0.46255722199999999</v>
      </c>
      <c r="G2196">
        <v>0.78767166499999997</v>
      </c>
      <c r="H2196">
        <v>1.44</v>
      </c>
      <c r="I2196">
        <v>1.4074582895018699</v>
      </c>
      <c r="J2196">
        <v>1.2640664525972101</v>
      </c>
      <c r="K2196">
        <v>1.2530064018977201</v>
      </c>
      <c r="L2196">
        <v>1.20405407768907</v>
      </c>
      <c r="M2196">
        <v>1.3357623710495401</v>
      </c>
      <c r="N2196">
        <v>1.3338368742800499</v>
      </c>
      <c r="Q2196">
        <f t="shared" si="170"/>
        <v>1.44</v>
      </c>
      <c r="R2196">
        <f t="shared" si="172"/>
        <v>1.172445377747533</v>
      </c>
      <c r="S2196">
        <f t="shared" si="173"/>
        <v>0.26755462225246696</v>
      </c>
      <c r="T2196">
        <f t="shared" si="174"/>
        <v>7.158547588866028E-2</v>
      </c>
    </row>
    <row r="2197" spans="1:20" hidden="1" x14ac:dyDescent="0.25">
      <c r="A2197" t="str">
        <f t="shared" si="171"/>
        <v>RIP</v>
      </c>
      <c r="B2197" t="s">
        <v>2203</v>
      </c>
      <c r="C2197">
        <v>2.0475382660000001</v>
      </c>
      <c r="D2197">
        <v>6.0883842000000001E-2</v>
      </c>
      <c r="E2197">
        <v>0.64915837600000004</v>
      </c>
      <c r="F2197">
        <v>0.485587936</v>
      </c>
      <c r="G2197">
        <v>0.78812169399999998</v>
      </c>
      <c r="H2197">
        <v>1.34</v>
      </c>
      <c r="I2197">
        <v>1.4406540551424001</v>
      </c>
      <c r="J2197">
        <v>1.29109059277169</v>
      </c>
      <c r="K2197">
        <v>1.3073301473630601</v>
      </c>
      <c r="L2197">
        <v>1.208296472907</v>
      </c>
      <c r="M2197">
        <v>1.3658723239570401</v>
      </c>
      <c r="N2197">
        <v>1.36382363157145</v>
      </c>
      <c r="Q2197">
        <f t="shared" si="170"/>
        <v>1.34</v>
      </c>
      <c r="R2197">
        <f t="shared" si="172"/>
        <v>1.2076118216899268</v>
      </c>
      <c r="S2197">
        <f t="shared" si="173"/>
        <v>0.13238817831007332</v>
      </c>
      <c r="T2197">
        <f t="shared" si="174"/>
        <v>1.7526629756259769E-2</v>
      </c>
    </row>
    <row r="2198" spans="1:20" hidden="1" x14ac:dyDescent="0.25">
      <c r="A2198" t="str">
        <f t="shared" si="171"/>
        <v>RIP</v>
      </c>
      <c r="B2198" t="s">
        <v>2204</v>
      </c>
      <c r="C2198">
        <v>1.9442730100000001</v>
      </c>
      <c r="D2198">
        <v>6.6234688E-2</v>
      </c>
      <c r="E2198">
        <v>0.626386997</v>
      </c>
      <c r="F2198">
        <v>0.43843435400000003</v>
      </c>
      <c r="G2198">
        <v>0.76904816600000003</v>
      </c>
      <c r="H2198">
        <v>1.32</v>
      </c>
      <c r="I2198">
        <v>1.4898138565477901</v>
      </c>
      <c r="J2198">
        <v>1.31786535036613</v>
      </c>
      <c r="K2198">
        <v>1.3552380325719</v>
      </c>
      <c r="L2198">
        <v>1.3441528963245499</v>
      </c>
      <c r="M2198">
        <v>1.40383960345696</v>
      </c>
      <c r="N2198">
        <v>1.4012045032898099</v>
      </c>
      <c r="Q2198">
        <f t="shared" si="170"/>
        <v>1.32</v>
      </c>
      <c r="R2198">
        <f t="shared" si="172"/>
        <v>1.2264011067108687</v>
      </c>
      <c r="S2198">
        <f t="shared" si="173"/>
        <v>9.3598893289131402E-2</v>
      </c>
      <c r="T2198">
        <f t="shared" si="174"/>
        <v>8.7607528249502072E-3</v>
      </c>
    </row>
    <row r="2199" spans="1:20" hidden="1" x14ac:dyDescent="0.25">
      <c r="A2199" t="str">
        <f t="shared" si="171"/>
        <v>RIP</v>
      </c>
      <c r="B2199" t="s">
        <v>2205</v>
      </c>
      <c r="C2199">
        <v>1.9983509800000001</v>
      </c>
      <c r="D2199">
        <v>5.6385035E-2</v>
      </c>
      <c r="E2199">
        <v>0.64735530500000005</v>
      </c>
      <c r="F2199">
        <v>0.48568386800000002</v>
      </c>
      <c r="G2199">
        <v>0.79978461700000003</v>
      </c>
      <c r="H2199">
        <v>1.4</v>
      </c>
      <c r="I2199">
        <v>1.4277136125609899</v>
      </c>
      <c r="J2199">
        <v>1.2418916269053</v>
      </c>
      <c r="K2199">
        <v>1.40658738241991</v>
      </c>
      <c r="L2199">
        <v>1.32537141267472</v>
      </c>
      <c r="M2199">
        <v>1.33480261973315</v>
      </c>
      <c r="N2199">
        <v>1.3315650870529101</v>
      </c>
      <c r="Q2199">
        <f t="shared" si="170"/>
        <v>1.4</v>
      </c>
      <c r="R2199">
        <f t="shared" si="172"/>
        <v>1.1685589895200326</v>
      </c>
      <c r="S2199">
        <f t="shared" si="173"/>
        <v>0.23144101047996735</v>
      </c>
      <c r="T2199">
        <f t="shared" si="174"/>
        <v>5.3564941331988358E-2</v>
      </c>
    </row>
    <row r="2200" spans="1:20" hidden="1" x14ac:dyDescent="0.25">
      <c r="A2200" t="str">
        <f t="shared" si="171"/>
        <v>RIP</v>
      </c>
      <c r="B2200" t="s">
        <v>2206</v>
      </c>
      <c r="C2200">
        <v>1.9334393540000001</v>
      </c>
      <c r="D2200">
        <v>5.9160480000000001E-2</v>
      </c>
      <c r="E2200">
        <v>0.64306290600000005</v>
      </c>
      <c r="F2200">
        <v>0.47975415599999999</v>
      </c>
      <c r="G2200">
        <v>0.79303997199999998</v>
      </c>
      <c r="H2200">
        <v>1.35</v>
      </c>
      <c r="I2200">
        <v>1.5275666639983201</v>
      </c>
      <c r="J2200">
        <v>1.3397861173650101</v>
      </c>
      <c r="K2200">
        <v>1.55392789874203</v>
      </c>
      <c r="L2200">
        <v>1.51555028280203</v>
      </c>
      <c r="M2200">
        <v>1.4336763906816701</v>
      </c>
      <c r="N2200">
        <v>1.4305986892817</v>
      </c>
      <c r="Q2200">
        <f t="shared" si="170"/>
        <v>1.35</v>
      </c>
      <c r="R2200">
        <f t="shared" si="172"/>
        <v>1.2768314400550875</v>
      </c>
      <c r="S2200">
        <f t="shared" si="173"/>
        <v>7.3168559944912559E-2</v>
      </c>
      <c r="T2200">
        <f t="shared" si="174"/>
        <v>5.3536381644122624E-3</v>
      </c>
    </row>
    <row r="2201" spans="1:20" hidden="1" x14ac:dyDescent="0.25">
      <c r="A2201" t="str">
        <f t="shared" si="171"/>
        <v>RIP</v>
      </c>
      <c r="B2201" t="s">
        <v>2207</v>
      </c>
      <c r="C2201">
        <v>2.0682052230000001</v>
      </c>
      <c r="D2201">
        <v>6.1706170999999997E-2</v>
      </c>
      <c r="E2201">
        <v>0.64526807399999997</v>
      </c>
      <c r="F2201">
        <v>0.49068451299999999</v>
      </c>
      <c r="G2201">
        <v>0.79033160599999996</v>
      </c>
      <c r="H2201">
        <v>1.39</v>
      </c>
      <c r="I2201">
        <v>1.4654971202746101</v>
      </c>
      <c r="J2201">
        <v>1.30330455556979</v>
      </c>
      <c r="K2201">
        <v>1.27266205441562</v>
      </c>
      <c r="L2201">
        <v>1.1570091161135101</v>
      </c>
      <c r="M2201">
        <v>1.3844008379221999</v>
      </c>
      <c r="N2201">
        <v>1.3820235428632599</v>
      </c>
      <c r="Q2201">
        <f t="shared" si="170"/>
        <v>1.39</v>
      </c>
      <c r="R2201">
        <f t="shared" si="172"/>
        <v>1.218412875010932</v>
      </c>
      <c r="S2201">
        <f t="shared" si="173"/>
        <v>0.17158712498906792</v>
      </c>
      <c r="T2201">
        <f t="shared" si="174"/>
        <v>2.9442141462014015E-2</v>
      </c>
    </row>
    <row r="2202" spans="1:20" hidden="1" x14ac:dyDescent="0.25">
      <c r="A2202" t="str">
        <f t="shared" si="171"/>
        <v>RIP</v>
      </c>
      <c r="B2202" t="s">
        <v>2208</v>
      </c>
      <c r="C2202">
        <v>2.071705723</v>
      </c>
      <c r="D2202">
        <v>5.7793413000000002E-2</v>
      </c>
      <c r="E2202">
        <v>0.66545343099999998</v>
      </c>
      <c r="F2202">
        <v>0.496465306</v>
      </c>
      <c r="G2202">
        <v>0.812054371</v>
      </c>
      <c r="H2202">
        <v>1.69</v>
      </c>
      <c r="I2202">
        <v>1.4107020122020899</v>
      </c>
      <c r="J2202">
        <v>1.2559410542959599</v>
      </c>
      <c r="K2202">
        <v>1.26807526660458</v>
      </c>
      <c r="L2202">
        <v>1.1208019284327799</v>
      </c>
      <c r="M2202">
        <v>1.33332153324902</v>
      </c>
      <c r="N2202">
        <v>1.33107421750349</v>
      </c>
      <c r="Q2202">
        <f t="shared" si="170"/>
        <v>1.69</v>
      </c>
      <c r="R2202">
        <f t="shared" si="172"/>
        <v>1.174298322296718</v>
      </c>
      <c r="S2202">
        <f t="shared" si="173"/>
        <v>0.5157016777032819</v>
      </c>
      <c r="T2202">
        <f t="shared" si="174"/>
        <v>0.26594822038597965</v>
      </c>
    </row>
    <row r="2203" spans="1:20" hidden="1" x14ac:dyDescent="0.25">
      <c r="A2203" t="str">
        <f t="shared" si="171"/>
        <v>RIP</v>
      </c>
      <c r="B2203" t="s">
        <v>2209</v>
      </c>
      <c r="C2203">
        <v>1.9713361819999999</v>
      </c>
      <c r="D2203">
        <v>5.9021096000000002E-2</v>
      </c>
      <c r="E2203">
        <v>0.65127056299999997</v>
      </c>
      <c r="F2203">
        <v>0.46822355700000001</v>
      </c>
      <c r="G2203">
        <v>0.804670671</v>
      </c>
      <c r="H2203">
        <v>1.32</v>
      </c>
      <c r="I2203">
        <v>1.45613626544876</v>
      </c>
      <c r="J2203">
        <v>1.2648888683138599</v>
      </c>
      <c r="K2203">
        <v>1.42897334828303</v>
      </c>
      <c r="L2203">
        <v>1.42876092304591</v>
      </c>
      <c r="M2203">
        <v>1.3605125668813101</v>
      </c>
      <c r="N2203">
        <v>1.3571479480566</v>
      </c>
      <c r="Q2203">
        <f t="shared" si="170"/>
        <v>1.32</v>
      </c>
      <c r="R2203">
        <f t="shared" si="172"/>
        <v>1.1870201142454913</v>
      </c>
      <c r="S2203">
        <f t="shared" si="173"/>
        <v>0.13297988575450881</v>
      </c>
      <c r="T2203">
        <f t="shared" si="174"/>
        <v>1.7683650015282215E-2</v>
      </c>
    </row>
    <row r="2204" spans="1:20" hidden="1" x14ac:dyDescent="0.25">
      <c r="A2204" t="str">
        <f t="shared" si="171"/>
        <v>RIP</v>
      </c>
      <c r="B2204" t="s">
        <v>2210</v>
      </c>
      <c r="C2204">
        <v>1.8634512329999999</v>
      </c>
      <c r="D2204">
        <v>6.2163585E-2</v>
      </c>
      <c r="E2204">
        <v>0.64753111500000005</v>
      </c>
      <c r="F2204">
        <v>0.460387781</v>
      </c>
      <c r="G2204">
        <v>0.78880085600000005</v>
      </c>
      <c r="H2204">
        <v>1.49</v>
      </c>
      <c r="I2204">
        <v>1.58083318762733</v>
      </c>
      <c r="J2204">
        <v>1.4094479415393699</v>
      </c>
      <c r="K2204">
        <v>1.57624376938643</v>
      </c>
      <c r="L2204">
        <v>1.4945608295638599</v>
      </c>
      <c r="M2204">
        <v>1.49514056458335</v>
      </c>
      <c r="N2204">
        <v>1.4926828471642799</v>
      </c>
      <c r="Q2204">
        <f t="shared" si="170"/>
        <v>1.49</v>
      </c>
      <c r="R2204">
        <f t="shared" si="172"/>
        <v>1.3498202623882456</v>
      </c>
      <c r="S2204">
        <f t="shared" si="173"/>
        <v>0.1401797376117544</v>
      </c>
      <c r="T2204">
        <f t="shared" si="174"/>
        <v>1.9650358836900309E-2</v>
      </c>
    </row>
    <row r="2205" spans="1:20" hidden="1" x14ac:dyDescent="0.25">
      <c r="A2205" t="str">
        <f t="shared" si="171"/>
        <v>RIP</v>
      </c>
      <c r="B2205" t="s">
        <v>2211</v>
      </c>
      <c r="C2205">
        <v>1.8819225500000001</v>
      </c>
      <c r="D2205">
        <v>6.4146129999999996E-2</v>
      </c>
      <c r="E2205">
        <v>0.64107370500000005</v>
      </c>
      <c r="F2205">
        <v>0.45633174599999998</v>
      </c>
      <c r="G2205">
        <v>0.78674100499999999</v>
      </c>
      <c r="H2205">
        <v>1.64</v>
      </c>
      <c r="I2205">
        <v>1.59651389843535</v>
      </c>
      <c r="J2205">
        <v>1.41407538455943</v>
      </c>
      <c r="K2205">
        <v>1.6150972199459801</v>
      </c>
      <c r="L2205">
        <v>1.59237297964095</v>
      </c>
      <c r="M2205">
        <v>1.50529464149739</v>
      </c>
      <c r="N2205">
        <v>1.50252820435572</v>
      </c>
      <c r="Q2205">
        <f t="shared" si="170"/>
        <v>1.64</v>
      </c>
      <c r="R2205">
        <f t="shared" si="172"/>
        <v>1.3477005976786023</v>
      </c>
      <c r="S2205">
        <f t="shared" si="173"/>
        <v>0.29229940232139762</v>
      </c>
      <c r="T2205">
        <f t="shared" si="174"/>
        <v>8.5438940597446264E-2</v>
      </c>
    </row>
    <row r="2206" spans="1:20" hidden="1" x14ac:dyDescent="0.25">
      <c r="A2206" t="str">
        <f t="shared" si="171"/>
        <v>RIP</v>
      </c>
      <c r="B2206" t="s">
        <v>2212</v>
      </c>
      <c r="C2206">
        <v>2.0665042690000002</v>
      </c>
      <c r="D2206">
        <v>6.5361295E-2</v>
      </c>
      <c r="E2206">
        <v>0.64900959499999999</v>
      </c>
      <c r="F2206">
        <v>0.46701549999999997</v>
      </c>
      <c r="G2206">
        <v>0.78832958399999997</v>
      </c>
      <c r="H2206">
        <v>1.41</v>
      </c>
      <c r="I2206">
        <v>1.44684796220964</v>
      </c>
      <c r="J2206">
        <v>1.3058035002231601</v>
      </c>
      <c r="K2206">
        <v>1.3150397216670999</v>
      </c>
      <c r="L2206">
        <v>1.30784548526932</v>
      </c>
      <c r="M2206">
        <v>1.3763257312163999</v>
      </c>
      <c r="N2206">
        <v>1.3745177821127299</v>
      </c>
      <c r="Q2206">
        <f t="shared" si="170"/>
        <v>1.41</v>
      </c>
      <c r="R2206">
        <f t="shared" si="172"/>
        <v>1.2067025645259912</v>
      </c>
      <c r="S2206">
        <f t="shared" si="173"/>
        <v>0.20329743547400869</v>
      </c>
      <c r="T2206">
        <f t="shared" si="174"/>
        <v>4.132984727030873E-2</v>
      </c>
    </row>
    <row r="2207" spans="1:20" hidden="1" x14ac:dyDescent="0.25">
      <c r="A2207" t="str">
        <f t="shared" si="171"/>
        <v>RIP</v>
      </c>
      <c r="B2207" t="s">
        <v>2213</v>
      </c>
      <c r="C2207">
        <v>1.902081811</v>
      </c>
      <c r="D2207">
        <v>6.3795102000000006E-2</v>
      </c>
      <c r="E2207">
        <v>0.64651463899999995</v>
      </c>
      <c r="F2207">
        <v>0.45572785900000001</v>
      </c>
      <c r="G2207">
        <v>0.787495905</v>
      </c>
      <c r="H2207">
        <v>1.4</v>
      </c>
      <c r="I2207">
        <v>1.5553687874462001</v>
      </c>
      <c r="J2207">
        <v>1.38964375208722</v>
      </c>
      <c r="K2207">
        <v>1.55855438769546</v>
      </c>
      <c r="L2207">
        <v>1.51652520309787</v>
      </c>
      <c r="M2207">
        <v>1.47250626976671</v>
      </c>
      <c r="N2207">
        <v>1.4701729550179099</v>
      </c>
      <c r="Q2207">
        <f t="shared" si="170"/>
        <v>1.4</v>
      </c>
      <c r="R2207">
        <f t="shared" si="172"/>
        <v>1.3188080832304054</v>
      </c>
      <c r="S2207">
        <f t="shared" si="173"/>
        <v>8.1191916769594474E-2</v>
      </c>
      <c r="T2207">
        <f t="shared" si="174"/>
        <v>6.5921273487207568E-3</v>
      </c>
    </row>
    <row r="2208" spans="1:20" hidden="1" x14ac:dyDescent="0.25">
      <c r="A2208" t="str">
        <f t="shared" si="171"/>
        <v>RIP</v>
      </c>
      <c r="B2208" t="s">
        <v>2214</v>
      </c>
      <c r="C2208">
        <v>1.972641163</v>
      </c>
      <c r="D2208">
        <v>5.8988420999999999E-2</v>
      </c>
      <c r="E2208">
        <v>0.66033972100000005</v>
      </c>
      <c r="F2208">
        <v>0.48114596199999998</v>
      </c>
      <c r="G2208">
        <v>0.801634972</v>
      </c>
      <c r="H2208">
        <v>1.41</v>
      </c>
      <c r="I2208">
        <v>1.4743286082188101</v>
      </c>
      <c r="J2208">
        <v>1.3195584995508201</v>
      </c>
      <c r="K2208">
        <v>1.43735376289992</v>
      </c>
      <c r="L2208">
        <v>1.34546222581212</v>
      </c>
      <c r="M2208">
        <v>1.3969435538848201</v>
      </c>
      <c r="N2208">
        <v>1.39479849659586</v>
      </c>
      <c r="Q2208">
        <f t="shared" si="170"/>
        <v>1.41</v>
      </c>
      <c r="R2208">
        <f t="shared" si="172"/>
        <v>1.2496420298968194</v>
      </c>
      <c r="S2208">
        <f t="shared" si="173"/>
        <v>0.16035797010318054</v>
      </c>
      <c r="T2208">
        <f t="shared" si="174"/>
        <v>2.5714678575612542E-2</v>
      </c>
    </row>
    <row r="2209" spans="1:20" hidden="1" x14ac:dyDescent="0.25">
      <c r="A2209" t="str">
        <f t="shared" si="171"/>
        <v>RIP</v>
      </c>
      <c r="B2209" t="s">
        <v>2215</v>
      </c>
      <c r="C2209">
        <v>1.9863340119999999</v>
      </c>
      <c r="D2209">
        <v>6.3693032999999996E-2</v>
      </c>
      <c r="E2209">
        <v>0.65309452899999998</v>
      </c>
      <c r="F2209">
        <v>0.471038917</v>
      </c>
      <c r="G2209">
        <v>0.79506741700000005</v>
      </c>
      <c r="H2209">
        <v>1.36</v>
      </c>
      <c r="I2209">
        <v>1.5226791228437</v>
      </c>
      <c r="J2209">
        <v>1.3665091484079499</v>
      </c>
      <c r="K2209">
        <v>1.4207416671095201</v>
      </c>
      <c r="L2209">
        <v>1.40850683060358</v>
      </c>
      <c r="M2209">
        <v>1.4445941356258301</v>
      </c>
      <c r="N2209">
        <v>1.4424822187658699</v>
      </c>
      <c r="Q2209">
        <f t="shared" si="170"/>
        <v>1.36</v>
      </c>
      <c r="R2209">
        <f t="shared" si="172"/>
        <v>1.2872992001512471</v>
      </c>
      <c r="S2209">
        <f t="shared" si="173"/>
        <v>7.2700799848752995E-2</v>
      </c>
      <c r="T2209">
        <f t="shared" si="174"/>
        <v>5.2854062986484431E-3</v>
      </c>
    </row>
    <row r="2210" spans="1:20" hidden="1" x14ac:dyDescent="0.25">
      <c r="A2210" t="str">
        <f t="shared" si="171"/>
        <v>RIP</v>
      </c>
      <c r="B2210" t="s">
        <v>2216</v>
      </c>
      <c r="C2210">
        <v>2.0197738049999998</v>
      </c>
      <c r="D2210">
        <v>6.3726078000000005E-2</v>
      </c>
      <c r="E2210">
        <v>0.65407567099999997</v>
      </c>
      <c r="F2210">
        <v>0.47834022599999998</v>
      </c>
      <c r="G2210">
        <v>0.78916176299999996</v>
      </c>
      <c r="H2210">
        <v>1.4</v>
      </c>
      <c r="I2210">
        <v>1.4965267920791001</v>
      </c>
      <c r="J2210">
        <v>1.3617233278393901</v>
      </c>
      <c r="K2210">
        <v>1.37319884265432</v>
      </c>
      <c r="L2210">
        <v>1.30509652563606</v>
      </c>
      <c r="M2210">
        <v>1.42912505995924</v>
      </c>
      <c r="N2210">
        <v>1.4275347433637999</v>
      </c>
      <c r="Q2210">
        <f t="shared" si="170"/>
        <v>1.4</v>
      </c>
      <c r="R2210">
        <f t="shared" si="172"/>
        <v>1.2798781789816953</v>
      </c>
      <c r="S2210">
        <f t="shared" si="173"/>
        <v>0.1201218210183046</v>
      </c>
      <c r="T2210">
        <f t="shared" si="174"/>
        <v>1.4429251884753604E-2</v>
      </c>
    </row>
    <row r="2211" spans="1:20" hidden="1" x14ac:dyDescent="0.25">
      <c r="A2211" t="str">
        <f t="shared" si="171"/>
        <v>RIP</v>
      </c>
      <c r="B2211" t="s">
        <v>2217</v>
      </c>
      <c r="C2211">
        <v>2.0175199529999999</v>
      </c>
      <c r="D2211">
        <v>6.3592655999999997E-2</v>
      </c>
      <c r="E2211">
        <v>0.65141352900000005</v>
      </c>
      <c r="F2211">
        <v>0.474123444</v>
      </c>
      <c r="G2211">
        <v>0.79164266500000002</v>
      </c>
      <c r="H2211">
        <v>1.41</v>
      </c>
      <c r="I2211">
        <v>1.4920031197064001</v>
      </c>
      <c r="J2211">
        <v>1.3424988235416999</v>
      </c>
      <c r="K2211">
        <v>1.35199138695136</v>
      </c>
      <c r="L2211">
        <v>1.26393399347311</v>
      </c>
      <c r="M2211">
        <v>1.41725097162405</v>
      </c>
      <c r="N2211">
        <v>1.41527821749873</v>
      </c>
      <c r="Q2211">
        <f t="shared" si="170"/>
        <v>1.41</v>
      </c>
      <c r="R2211">
        <f t="shared" si="172"/>
        <v>1.2584582654166074</v>
      </c>
      <c r="S2211">
        <f t="shared" si="173"/>
        <v>0.15154173458339248</v>
      </c>
      <c r="T2211">
        <f t="shared" si="174"/>
        <v>2.2964897320543375E-2</v>
      </c>
    </row>
    <row r="2212" spans="1:20" hidden="1" x14ac:dyDescent="0.25">
      <c r="A2212" t="str">
        <f t="shared" si="171"/>
        <v>RIP</v>
      </c>
      <c r="B2212" t="s">
        <v>2218</v>
      </c>
      <c r="C2212">
        <v>2.0603203200000002</v>
      </c>
      <c r="D2212">
        <v>6.1448422000000003E-2</v>
      </c>
      <c r="E2212">
        <v>0.64620882599999996</v>
      </c>
      <c r="F2212">
        <v>0.47649436699999997</v>
      </c>
      <c r="G2212">
        <v>0.78641509899999995</v>
      </c>
      <c r="H2212">
        <v>1.41</v>
      </c>
      <c r="I2212">
        <v>1.4065990721461801</v>
      </c>
      <c r="J2212">
        <v>1.2543315418787899</v>
      </c>
      <c r="K2212">
        <v>1.37604050237741</v>
      </c>
      <c r="L2212">
        <v>1.3791310175447</v>
      </c>
      <c r="M2212">
        <v>1.3304653070124799</v>
      </c>
      <c r="N2212">
        <v>1.32828520392662</v>
      </c>
      <c r="Q2212">
        <f t="shared" si="170"/>
        <v>1.41</v>
      </c>
      <c r="R2212">
        <f t="shared" si="172"/>
        <v>1.1624481332661545</v>
      </c>
      <c r="S2212">
        <f t="shared" si="173"/>
        <v>0.24755186673384544</v>
      </c>
      <c r="T2212">
        <f t="shared" si="174"/>
        <v>6.1281926723411574E-2</v>
      </c>
    </row>
    <row r="2213" spans="1:20" hidden="1" x14ac:dyDescent="0.25">
      <c r="A2213" t="str">
        <f t="shared" si="171"/>
        <v>RIP</v>
      </c>
      <c r="B2213" t="s">
        <v>2219</v>
      </c>
      <c r="C2213">
        <v>2.0101702019999999</v>
      </c>
      <c r="D2213">
        <v>6.4907796000000004E-2</v>
      </c>
      <c r="E2213">
        <v>0.65682030700000005</v>
      </c>
      <c r="F2213">
        <v>0.48577274500000001</v>
      </c>
      <c r="G2213">
        <v>0.79311106600000003</v>
      </c>
      <c r="H2213">
        <v>1.89</v>
      </c>
      <c r="I2213">
        <v>1.56390924208557</v>
      </c>
      <c r="J2213">
        <v>1.4291520442376699</v>
      </c>
      <c r="K2213">
        <v>1.3677521228826599</v>
      </c>
      <c r="L2213">
        <v>1.2594576392914001</v>
      </c>
      <c r="M2213">
        <v>1.4965306431616201</v>
      </c>
      <c r="N2213">
        <v>1.49501307363139</v>
      </c>
      <c r="Q2213">
        <f t="shared" si="170"/>
        <v>1.89</v>
      </c>
      <c r="R2213">
        <f t="shared" si="172"/>
        <v>1.3539400005411717</v>
      </c>
      <c r="S2213">
        <f t="shared" si="173"/>
        <v>0.53605999945882821</v>
      </c>
      <c r="T2213">
        <f t="shared" si="174"/>
        <v>0.28736032301979891</v>
      </c>
    </row>
    <row r="2214" spans="1:20" hidden="1" x14ac:dyDescent="0.25">
      <c r="A2214" t="str">
        <f t="shared" si="171"/>
        <v>RIP</v>
      </c>
      <c r="B2214" t="s">
        <v>2220</v>
      </c>
      <c r="C2214">
        <v>1.891444774</v>
      </c>
      <c r="D2214">
        <v>6.0161858999999998E-2</v>
      </c>
      <c r="E2214">
        <v>0.64263157599999998</v>
      </c>
      <c r="F2214">
        <v>0.44426385299999999</v>
      </c>
      <c r="G2214">
        <v>0.78879987900000004</v>
      </c>
      <c r="H2214">
        <v>1.31</v>
      </c>
      <c r="I2214">
        <v>1.4582074491760699</v>
      </c>
      <c r="J2214">
        <v>1.2727306050374501</v>
      </c>
      <c r="K2214">
        <v>1.4645853385799701</v>
      </c>
      <c r="L2214">
        <v>1.42917195794056</v>
      </c>
      <c r="M2214">
        <v>1.36546902710676</v>
      </c>
      <c r="N2214">
        <v>1.3623161340379</v>
      </c>
      <c r="Q2214">
        <f t="shared" si="170"/>
        <v>1.31</v>
      </c>
      <c r="R2214">
        <f t="shared" si="172"/>
        <v>1.1970157484500543</v>
      </c>
      <c r="S2214">
        <f t="shared" si="173"/>
        <v>0.11298425154994574</v>
      </c>
      <c r="T2214">
        <f t="shared" si="174"/>
        <v>1.2765441098301415E-2</v>
      </c>
    </row>
    <row r="2215" spans="1:20" hidden="1" x14ac:dyDescent="0.25">
      <c r="A2215" t="str">
        <f t="shared" si="171"/>
        <v>RIP</v>
      </c>
      <c r="B2215" t="s">
        <v>2221</v>
      </c>
      <c r="C2215">
        <v>1.9980561729999999</v>
      </c>
      <c r="D2215">
        <v>6.1616095000000003E-2</v>
      </c>
      <c r="E2215">
        <v>0.66261134200000005</v>
      </c>
      <c r="F2215">
        <v>0.47675046900000001</v>
      </c>
      <c r="G2215">
        <v>0.80650880800000002</v>
      </c>
      <c r="H2215">
        <v>1.26</v>
      </c>
      <c r="I2215">
        <v>1.49558024540774</v>
      </c>
      <c r="J2215">
        <v>1.33869627860342</v>
      </c>
      <c r="K2215">
        <v>1.40581545646456</v>
      </c>
      <c r="L2215">
        <v>1.3917738676264</v>
      </c>
      <c r="M2215">
        <v>1.4171382620055799</v>
      </c>
      <c r="N2215">
        <v>1.4149656210947801</v>
      </c>
      <c r="Q2215">
        <f t="shared" si="170"/>
        <v>1.26</v>
      </c>
      <c r="R2215">
        <f t="shared" si="172"/>
        <v>1.2608573047040852</v>
      </c>
      <c r="S2215">
        <f t="shared" si="173"/>
        <v>-8.5730470408518222E-4</v>
      </c>
      <c r="T2215">
        <f t="shared" si="174"/>
        <v>7.3497135564658187E-7</v>
      </c>
    </row>
    <row r="2216" spans="1:20" hidden="1" x14ac:dyDescent="0.25">
      <c r="A2216" t="str">
        <f t="shared" si="171"/>
        <v>RIP</v>
      </c>
      <c r="B2216" t="s">
        <v>2222</v>
      </c>
      <c r="C2216">
        <v>1.976597333</v>
      </c>
      <c r="D2216">
        <v>6.2557116999999995E-2</v>
      </c>
      <c r="E2216">
        <v>0.65734951900000005</v>
      </c>
      <c r="F2216">
        <v>0.469693684</v>
      </c>
      <c r="G2216">
        <v>0.79117367900000002</v>
      </c>
      <c r="H2216">
        <v>1.38</v>
      </c>
      <c r="I2216">
        <v>1.48609435843353</v>
      </c>
      <c r="J2216">
        <v>1.3499357572141899</v>
      </c>
      <c r="K2216">
        <v>1.4038998358647801</v>
      </c>
      <c r="L2216">
        <v>1.3431093561682601</v>
      </c>
      <c r="M2216">
        <v>1.4180150578238599</v>
      </c>
      <c r="N2216">
        <v>1.4163798618462899</v>
      </c>
      <c r="Q2216">
        <f t="shared" si="170"/>
        <v>1.38</v>
      </c>
      <c r="R2216">
        <f t="shared" si="172"/>
        <v>1.2721703555892652</v>
      </c>
      <c r="S2216">
        <f t="shared" si="173"/>
        <v>0.10782964441073473</v>
      </c>
      <c r="T2216">
        <f t="shared" si="174"/>
        <v>1.1627232213745495E-2</v>
      </c>
    </row>
    <row r="2217" spans="1:20" hidden="1" x14ac:dyDescent="0.25">
      <c r="A2217" t="str">
        <f t="shared" si="171"/>
        <v>RIP</v>
      </c>
      <c r="B2217" t="s">
        <v>2223</v>
      </c>
      <c r="C2217">
        <v>1.996137702</v>
      </c>
      <c r="D2217">
        <v>5.7806629999999998E-2</v>
      </c>
      <c r="E2217">
        <v>0.66482202199999996</v>
      </c>
      <c r="F2217">
        <v>0.47100009500000001</v>
      </c>
      <c r="G2217">
        <v>0.80253089099999997</v>
      </c>
      <c r="H2217">
        <v>1.35</v>
      </c>
      <c r="I2217">
        <v>1.3838263621502001</v>
      </c>
      <c r="J2217">
        <v>1.23764151385594</v>
      </c>
      <c r="K2217">
        <v>1.37884006458205</v>
      </c>
      <c r="L2217">
        <v>1.34171940952947</v>
      </c>
      <c r="M2217">
        <v>1.31073393800307</v>
      </c>
      <c r="N2217">
        <v>1.3086943698837099</v>
      </c>
      <c r="Q2217">
        <f t="shared" si="170"/>
        <v>1.35</v>
      </c>
      <c r="R2217">
        <f t="shared" si="172"/>
        <v>1.1565088099421921</v>
      </c>
      <c r="S2217">
        <f t="shared" si="173"/>
        <v>0.19349119005780802</v>
      </c>
      <c r="T2217">
        <f t="shared" si="174"/>
        <v>3.7438840629986786E-2</v>
      </c>
    </row>
    <row r="2218" spans="1:20" hidden="1" x14ac:dyDescent="0.25">
      <c r="A2218" t="str">
        <f t="shared" si="171"/>
        <v>RIP</v>
      </c>
      <c r="B2218" t="s">
        <v>2224</v>
      </c>
      <c r="C2218">
        <v>1.96523062</v>
      </c>
      <c r="D2218">
        <v>6.3612167999999997E-2</v>
      </c>
      <c r="E2218">
        <v>0.66011438099999997</v>
      </c>
      <c r="F2218">
        <v>0.47714051800000001</v>
      </c>
      <c r="G2218">
        <v>0.80016146099999996</v>
      </c>
      <c r="H2218">
        <v>1.42</v>
      </c>
      <c r="I2218">
        <v>1.5645605259995401</v>
      </c>
      <c r="J2218">
        <v>1.4158598783898999</v>
      </c>
      <c r="K2218">
        <v>1.4525442368702299</v>
      </c>
      <c r="L2218">
        <v>1.4062395888250501</v>
      </c>
      <c r="M2218">
        <v>1.4902102021947199</v>
      </c>
      <c r="N2218">
        <v>1.48835428446165</v>
      </c>
      <c r="Q2218">
        <f t="shared" si="170"/>
        <v>1.42</v>
      </c>
      <c r="R2218">
        <f t="shared" si="172"/>
        <v>1.3451637514496322</v>
      </c>
      <c r="S2218">
        <f t="shared" si="173"/>
        <v>7.4836248550367745E-2</v>
      </c>
      <c r="T2218">
        <f t="shared" si="174"/>
        <v>5.6004640970924186E-3</v>
      </c>
    </row>
    <row r="2219" spans="1:20" hidden="1" x14ac:dyDescent="0.25">
      <c r="A2219" t="str">
        <f t="shared" si="171"/>
        <v>RIP</v>
      </c>
      <c r="B2219" t="s">
        <v>2225</v>
      </c>
      <c r="C2219">
        <v>1.8780464050000001</v>
      </c>
      <c r="D2219">
        <v>5.5267383000000003E-2</v>
      </c>
      <c r="E2219">
        <v>0.66347821299999998</v>
      </c>
      <c r="F2219">
        <v>0.46475940399999999</v>
      </c>
      <c r="G2219">
        <v>0.79686605700000002</v>
      </c>
      <c r="H2219">
        <v>1.24</v>
      </c>
      <c r="I2219">
        <v>1.4332272980687499</v>
      </c>
      <c r="J2219">
        <v>1.27741439140061</v>
      </c>
      <c r="K2219">
        <v>1.58117670391993</v>
      </c>
      <c r="L2219">
        <v>1.5252820346998299</v>
      </c>
      <c r="M2219">
        <v>1.3553208447346801</v>
      </c>
      <c r="N2219">
        <v>1.3530798855578401</v>
      </c>
      <c r="Q2219">
        <f t="shared" si="170"/>
        <v>1.24</v>
      </c>
      <c r="R2219">
        <f t="shared" si="172"/>
        <v>1.2173090627074195</v>
      </c>
      <c r="S2219">
        <f t="shared" si="173"/>
        <v>2.2690937292580537E-2</v>
      </c>
      <c r="T2219">
        <f t="shared" si="174"/>
        <v>5.1487863521582219E-4</v>
      </c>
    </row>
    <row r="2220" spans="1:20" hidden="1" x14ac:dyDescent="0.25">
      <c r="A2220" t="str">
        <f t="shared" si="171"/>
        <v>RIP</v>
      </c>
      <c r="B2220" t="s">
        <v>2226</v>
      </c>
      <c r="C2220">
        <v>1.992769818</v>
      </c>
      <c r="D2220">
        <v>5.7281471E-2</v>
      </c>
      <c r="E2220">
        <v>0.67501696499999997</v>
      </c>
      <c r="F2220">
        <v>0.44358941600000001</v>
      </c>
      <c r="G2220">
        <v>0.80740799799999996</v>
      </c>
      <c r="H2220">
        <v>1.56</v>
      </c>
      <c r="I2220">
        <v>1.2748056668908201</v>
      </c>
      <c r="J2220">
        <v>1.1390918570280899</v>
      </c>
      <c r="K2220">
        <v>1.3313144138217701</v>
      </c>
      <c r="L2220">
        <v>1.3579388298390001</v>
      </c>
      <c r="M2220">
        <v>1.2069487619594601</v>
      </c>
      <c r="N2220">
        <v>1.2050397314813299</v>
      </c>
      <c r="Q2220">
        <f t="shared" si="170"/>
        <v>1.56</v>
      </c>
      <c r="R2220">
        <f t="shared" si="172"/>
        <v>1.0421270474252999</v>
      </c>
      <c r="S2220">
        <f t="shared" si="173"/>
        <v>0.51787295257470012</v>
      </c>
      <c r="T2220">
        <f t="shared" si="174"/>
        <v>0.26819239500843761</v>
      </c>
    </row>
    <row r="2221" spans="1:20" hidden="1" x14ac:dyDescent="0.25">
      <c r="A2221" t="str">
        <f t="shared" si="171"/>
        <v>RIP</v>
      </c>
      <c r="B2221" t="s">
        <v>2227</v>
      </c>
      <c r="C2221">
        <v>1.965575638</v>
      </c>
      <c r="D2221">
        <v>5.3745500000000002E-2</v>
      </c>
      <c r="E2221">
        <v>0.67578029299999998</v>
      </c>
      <c r="F2221">
        <v>0.47884057099999999</v>
      </c>
      <c r="G2221">
        <v>0.80744910800000003</v>
      </c>
      <c r="H2221">
        <v>1.62</v>
      </c>
      <c r="I2221">
        <v>1.35832355784184</v>
      </c>
      <c r="J2221">
        <v>1.22129998566028</v>
      </c>
      <c r="K2221">
        <v>1.43986212241325</v>
      </c>
      <c r="L2221">
        <v>1.3743227834474101</v>
      </c>
      <c r="M2221">
        <v>1.28981177175106</v>
      </c>
      <c r="N2221">
        <v>1.2879908934904201</v>
      </c>
      <c r="Q2221">
        <f t="shared" si="170"/>
        <v>1.62</v>
      </c>
      <c r="R2221">
        <f t="shared" si="172"/>
        <v>1.1512287159959933</v>
      </c>
      <c r="S2221">
        <f t="shared" si="173"/>
        <v>0.46877128400400681</v>
      </c>
      <c r="T2221">
        <f t="shared" si="174"/>
        <v>0.2197465167067652</v>
      </c>
    </row>
    <row r="2222" spans="1:20" hidden="1" x14ac:dyDescent="0.25">
      <c r="A2222" t="str">
        <f t="shared" si="171"/>
        <v>RIP</v>
      </c>
      <c r="B2222" t="s">
        <v>2228</v>
      </c>
      <c r="C2222">
        <v>2.04559164</v>
      </c>
      <c r="D2222">
        <v>5.4875226999999999E-2</v>
      </c>
      <c r="E2222">
        <v>0.67812443300000003</v>
      </c>
      <c r="F2222">
        <v>0.486215385</v>
      </c>
      <c r="G2222">
        <v>0.81567337399999995</v>
      </c>
      <c r="H2222">
        <v>1.48</v>
      </c>
      <c r="I2222">
        <v>1.3299904779085601</v>
      </c>
      <c r="J2222">
        <v>1.19430948921964</v>
      </c>
      <c r="K2222">
        <v>1.3478473069780099</v>
      </c>
      <c r="L2222">
        <v>1.3129237453691001</v>
      </c>
      <c r="M2222">
        <v>1.2621499835640999</v>
      </c>
      <c r="N2222">
        <v>1.2603254533405099</v>
      </c>
      <c r="Q2222">
        <f t="shared" si="170"/>
        <v>1.48</v>
      </c>
      <c r="R2222">
        <f t="shared" si="172"/>
        <v>1.1119395438485546</v>
      </c>
      <c r="S2222">
        <f t="shared" si="173"/>
        <v>0.36806045615144534</v>
      </c>
      <c r="T2222">
        <f t="shared" si="174"/>
        <v>0.13546849938241001</v>
      </c>
    </row>
    <row r="2223" spans="1:20" hidden="1" x14ac:dyDescent="0.25">
      <c r="A2223" t="str">
        <f t="shared" si="171"/>
        <v>RIP</v>
      </c>
      <c r="B2223" t="s">
        <v>2229</v>
      </c>
      <c r="C2223">
        <v>1.977664042</v>
      </c>
      <c r="D2223">
        <v>5.4327765E-2</v>
      </c>
      <c r="E2223">
        <v>0.67169891100000001</v>
      </c>
      <c r="F2223">
        <v>0.496517298</v>
      </c>
      <c r="G2223">
        <v>0.81218988199999997</v>
      </c>
      <c r="H2223">
        <v>1.77</v>
      </c>
      <c r="I2223">
        <v>1.42925558985706</v>
      </c>
      <c r="J2223">
        <v>1.2825006614316901</v>
      </c>
      <c r="K2223">
        <v>1.46779144368746</v>
      </c>
      <c r="L2223">
        <v>1.36598333525073</v>
      </c>
      <c r="M2223">
        <v>1.3558781256443699</v>
      </c>
      <c r="N2223">
        <v>1.3538911475250199</v>
      </c>
      <c r="Q2223">
        <f t="shared" si="170"/>
        <v>1.77</v>
      </c>
      <c r="R2223">
        <f t="shared" si="172"/>
        <v>1.2206786400206826</v>
      </c>
      <c r="S2223">
        <f t="shared" si="173"/>
        <v>0.54932135997931741</v>
      </c>
      <c r="T2223">
        <f t="shared" si="174"/>
        <v>0.3017539565295268</v>
      </c>
    </row>
    <row r="2224" spans="1:20" x14ac:dyDescent="0.25">
      <c r="A2224" t="str">
        <f t="shared" si="171"/>
        <v>SLM</v>
      </c>
      <c r="B2224" t="s">
        <v>2230</v>
      </c>
      <c r="C2224">
        <v>1.7161951660000001</v>
      </c>
      <c r="D2224">
        <v>0.24318658300000001</v>
      </c>
      <c r="E2224">
        <v>0.60998959399999997</v>
      </c>
      <c r="F2224">
        <v>0.56798693899999997</v>
      </c>
      <c r="G2224">
        <v>0.77349839499999995</v>
      </c>
      <c r="H2224">
        <v>1.77</v>
      </c>
      <c r="I2224">
        <v>2.2871756646147601</v>
      </c>
      <c r="J2224">
        <v>2.2472136642943101</v>
      </c>
      <c r="K2224">
        <v>2.5831421831925399</v>
      </c>
      <c r="L2224">
        <v>2.6812145973960901</v>
      </c>
      <c r="M2224">
        <v>2.26719466445453</v>
      </c>
      <c r="N2224">
        <v>2.2671066155264299</v>
      </c>
      <c r="Q2224">
        <f t="shared" si="170"/>
        <v>1.77</v>
      </c>
      <c r="R2224">
        <f t="shared" si="172"/>
        <v>2.1906450176988246</v>
      </c>
      <c r="S2224">
        <f t="shared" si="173"/>
        <v>-0.42064501769882456</v>
      </c>
      <c r="T2224">
        <f t="shared" si="174"/>
        <v>0.17694223091484443</v>
      </c>
    </row>
    <row r="2225" spans="1:20" x14ac:dyDescent="0.25">
      <c r="A2225" t="str">
        <f t="shared" si="171"/>
        <v>SLM</v>
      </c>
      <c r="B2225" t="s">
        <v>2231</v>
      </c>
      <c r="C2225">
        <v>1.474437569</v>
      </c>
      <c r="D2225">
        <v>0.234446131</v>
      </c>
      <c r="E2225">
        <v>0.64130209400000004</v>
      </c>
      <c r="F2225">
        <v>0.58164972699999995</v>
      </c>
      <c r="G2225">
        <v>0.79460439800000005</v>
      </c>
      <c r="H2225">
        <v>2.35</v>
      </c>
      <c r="I2225">
        <v>2.5978712949117799</v>
      </c>
      <c r="J2225">
        <v>2.5103825302523299</v>
      </c>
      <c r="K2225">
        <v>3.0150862126807301</v>
      </c>
      <c r="L2225">
        <v>3.0989042926733799</v>
      </c>
      <c r="M2225">
        <v>2.5541269125820598</v>
      </c>
      <c r="N2225">
        <v>2.5537522813676601</v>
      </c>
      <c r="Q2225">
        <f t="shared" si="170"/>
        <v>2.35</v>
      </c>
      <c r="R2225">
        <f t="shared" si="172"/>
        <v>2.4987391594189932</v>
      </c>
      <c r="S2225">
        <f t="shared" si="173"/>
        <v>-0.14873915941899307</v>
      </c>
      <c r="T2225">
        <f t="shared" si="174"/>
        <v>2.2123337544668636E-2</v>
      </c>
    </row>
    <row r="2226" spans="1:20" x14ac:dyDescent="0.25">
      <c r="A2226" t="str">
        <f t="shared" si="171"/>
        <v>SLM</v>
      </c>
      <c r="B2226" t="s">
        <v>2232</v>
      </c>
      <c r="C2226">
        <v>1.349975717</v>
      </c>
      <c r="D2226">
        <v>0.24267782399999999</v>
      </c>
      <c r="E2226">
        <v>0.61608623500000004</v>
      </c>
      <c r="F2226">
        <v>0.58930364800000001</v>
      </c>
      <c r="G2226">
        <v>0.76940535600000004</v>
      </c>
      <c r="H2226">
        <v>2.4900000000000002</v>
      </c>
      <c r="I2226">
        <v>3.0942347361932101</v>
      </c>
      <c r="J2226">
        <v>2.7084868622801501</v>
      </c>
      <c r="K2226">
        <v>3.38477336124244</v>
      </c>
      <c r="L2226">
        <v>3.4753680564026901</v>
      </c>
      <c r="M2226">
        <v>2.9013607992366799</v>
      </c>
      <c r="N2226">
        <v>2.8949428546674598</v>
      </c>
      <c r="Q2226">
        <f t="shared" si="170"/>
        <v>2.4900000000000002</v>
      </c>
      <c r="R2226">
        <f t="shared" si="172"/>
        <v>2.7431152202591038</v>
      </c>
      <c r="S2226">
        <f t="shared" si="173"/>
        <v>-0.2531152202591036</v>
      </c>
      <c r="T2226">
        <f t="shared" si="174"/>
        <v>6.4067314726814525E-2</v>
      </c>
    </row>
    <row r="2227" spans="1:20" x14ac:dyDescent="0.25">
      <c r="A2227" t="str">
        <f t="shared" si="171"/>
        <v>SLM</v>
      </c>
      <c r="B2227" t="s">
        <v>2233</v>
      </c>
      <c r="C2227">
        <v>1.3637677850000001</v>
      </c>
      <c r="D2227">
        <v>0.24137931000000001</v>
      </c>
      <c r="E2227">
        <v>0.60576724999999998</v>
      </c>
      <c r="F2227">
        <v>0.51418583500000004</v>
      </c>
      <c r="G2227">
        <v>0.76380090499999997</v>
      </c>
      <c r="H2227">
        <v>2.33</v>
      </c>
      <c r="I2227">
        <v>2.5772149185513902</v>
      </c>
      <c r="J2227">
        <v>2.35326018357078</v>
      </c>
      <c r="K2227">
        <v>2.9794770569265898</v>
      </c>
      <c r="L2227">
        <v>3.02098492270957</v>
      </c>
      <c r="M2227">
        <v>2.4652375510610902</v>
      </c>
      <c r="N2227">
        <v>2.46269308934987</v>
      </c>
      <c r="Q2227">
        <f t="shared" si="170"/>
        <v>2.33</v>
      </c>
      <c r="R2227">
        <f t="shared" si="172"/>
        <v>2.3347558796117616</v>
      </c>
      <c r="S2227">
        <f t="shared" si="173"/>
        <v>-4.7558796117614932E-3</v>
      </c>
      <c r="T2227">
        <f t="shared" si="174"/>
        <v>2.2618390881568652E-5</v>
      </c>
    </row>
    <row r="2228" spans="1:20" x14ac:dyDescent="0.25">
      <c r="A2228" t="str">
        <f t="shared" si="171"/>
        <v>SLM</v>
      </c>
      <c r="B2228" t="s">
        <v>2234</v>
      </c>
      <c r="C2228">
        <v>1.767301698</v>
      </c>
      <c r="D2228">
        <v>0.23982188300000001</v>
      </c>
      <c r="E2228">
        <v>0.59824980100000003</v>
      </c>
      <c r="F2228">
        <v>0.54070915200000003</v>
      </c>
      <c r="G2228">
        <v>0.75458515299999995</v>
      </c>
      <c r="H2228">
        <v>3.09</v>
      </c>
      <c r="I2228">
        <v>2.0043846277978701</v>
      </c>
      <c r="J2228">
        <v>1.9889065412006399</v>
      </c>
      <c r="K2228">
        <v>2.4705639018125098</v>
      </c>
      <c r="L2228">
        <v>2.5582116974459499</v>
      </c>
      <c r="M2228">
        <v>1.9966455844992499</v>
      </c>
      <c r="N2228">
        <v>1.99663058608977</v>
      </c>
      <c r="Q2228">
        <f t="shared" si="170"/>
        <v>3.09</v>
      </c>
      <c r="R2228">
        <f t="shared" si="172"/>
        <v>1.8960822146077736</v>
      </c>
      <c r="S2228">
        <f t="shared" si="173"/>
        <v>1.1939177853922263</v>
      </c>
      <c r="T2228">
        <f t="shared" si="174"/>
        <v>1.425439678275878</v>
      </c>
    </row>
    <row r="2229" spans="1:20" x14ac:dyDescent="0.25">
      <c r="A2229" t="str">
        <f t="shared" si="171"/>
        <v>SLM</v>
      </c>
      <c r="B2229" t="s">
        <v>2235</v>
      </c>
      <c r="C2229">
        <v>1.81171284</v>
      </c>
      <c r="D2229">
        <v>0.23401613900000001</v>
      </c>
      <c r="E2229">
        <v>0.59476086500000003</v>
      </c>
      <c r="F2229">
        <v>0.54816562999999996</v>
      </c>
      <c r="G2229">
        <v>0.74392361100000004</v>
      </c>
      <c r="H2229">
        <v>2.4700000000000002</v>
      </c>
      <c r="I2229">
        <v>1.8916718178365799</v>
      </c>
      <c r="J2229">
        <v>1.8541642061338599</v>
      </c>
      <c r="K2229">
        <v>2.5050291637001001</v>
      </c>
      <c r="L2229">
        <v>2.60931624480224</v>
      </c>
      <c r="M2229">
        <v>1.87291801198522</v>
      </c>
      <c r="N2229">
        <v>1.8728241173118101</v>
      </c>
      <c r="Q2229">
        <f t="shared" si="170"/>
        <v>2.4700000000000002</v>
      </c>
      <c r="R2229">
        <f t="shared" si="172"/>
        <v>1.742621724986432</v>
      </c>
      <c r="S2229">
        <f t="shared" si="173"/>
        <v>0.72737827501356822</v>
      </c>
      <c r="T2229">
        <f t="shared" si="174"/>
        <v>0.52907915496171409</v>
      </c>
    </row>
    <row r="2230" spans="1:20" x14ac:dyDescent="0.25">
      <c r="A2230" t="str">
        <f t="shared" si="171"/>
        <v>SLM</v>
      </c>
      <c r="B2230" t="s">
        <v>2236</v>
      </c>
      <c r="C2230">
        <v>1.4753904440000001</v>
      </c>
      <c r="D2230">
        <v>0.245529574</v>
      </c>
      <c r="E2230">
        <v>0.60697964299999996</v>
      </c>
      <c r="F2230">
        <v>0.52660249100000001</v>
      </c>
      <c r="G2230">
        <v>0.76782449699999999</v>
      </c>
      <c r="H2230">
        <v>2.4700000000000002</v>
      </c>
      <c r="I2230">
        <v>2.5148762795299699</v>
      </c>
      <c r="J2230">
        <v>2.3631309194787402</v>
      </c>
      <c r="K2230">
        <v>2.8243505486098601</v>
      </c>
      <c r="L2230">
        <v>2.87897139333338</v>
      </c>
      <c r="M2230">
        <v>2.4390035995043502</v>
      </c>
      <c r="N2230">
        <v>2.4378231877683301</v>
      </c>
      <c r="Q2230">
        <f t="shared" si="170"/>
        <v>2.4700000000000002</v>
      </c>
      <c r="R2230">
        <f t="shared" si="172"/>
        <v>2.3368163465602563</v>
      </c>
      <c r="S2230">
        <f t="shared" si="173"/>
        <v>0.13318365343974392</v>
      </c>
      <c r="T2230">
        <f t="shared" si="174"/>
        <v>1.7737885543557812E-2</v>
      </c>
    </row>
    <row r="2231" spans="1:20" x14ac:dyDescent="0.25">
      <c r="A2231" t="str">
        <f t="shared" si="171"/>
        <v>SLM</v>
      </c>
      <c r="B2231" t="s">
        <v>2237</v>
      </c>
      <c r="C2231">
        <v>1.568706994</v>
      </c>
      <c r="D2231">
        <v>0.23166774800000001</v>
      </c>
      <c r="E2231">
        <v>0.61050328200000004</v>
      </c>
      <c r="F2231">
        <v>0.54076283400000003</v>
      </c>
      <c r="G2231">
        <v>0.75618221299999999</v>
      </c>
      <c r="H2231">
        <v>1.69</v>
      </c>
      <c r="I2231">
        <v>2.2215058492341</v>
      </c>
      <c r="J2231">
        <v>2.0894975631549602</v>
      </c>
      <c r="K2231">
        <v>2.8328683752919299</v>
      </c>
      <c r="L2231">
        <v>2.9227901606979101</v>
      </c>
      <c r="M2231">
        <v>2.1555017061945301</v>
      </c>
      <c r="N2231">
        <v>2.1544909047171998</v>
      </c>
      <c r="Q2231">
        <f t="shared" si="170"/>
        <v>1.69</v>
      </c>
      <c r="R2231">
        <f t="shared" si="172"/>
        <v>2.0215005067990184</v>
      </c>
      <c r="S2231">
        <f t="shared" si="173"/>
        <v>-0.33150050679901844</v>
      </c>
      <c r="T2231">
        <f t="shared" si="174"/>
        <v>0.10989258600800607</v>
      </c>
    </row>
    <row r="2232" spans="1:20" x14ac:dyDescent="0.25">
      <c r="A2232" t="str">
        <f t="shared" si="171"/>
        <v>SLM</v>
      </c>
      <c r="B2232" t="s">
        <v>2238</v>
      </c>
      <c r="C2232">
        <v>1.599409606</v>
      </c>
      <c r="D2232">
        <v>0.226710098</v>
      </c>
      <c r="E2232">
        <v>0.58186178300000002</v>
      </c>
      <c r="F2232">
        <v>0.47675015199999998</v>
      </c>
      <c r="G2232">
        <v>0.72597526199999995</v>
      </c>
      <c r="H2232">
        <v>1.94</v>
      </c>
      <c r="I2232">
        <v>1.67235628904176</v>
      </c>
      <c r="J2232">
        <v>1.6153913963447599</v>
      </c>
      <c r="K2232">
        <v>2.5388703824172398</v>
      </c>
      <c r="L2232">
        <v>2.6584623119964199</v>
      </c>
      <c r="M2232">
        <v>1.64387384269326</v>
      </c>
      <c r="N2232">
        <v>1.6436270747773301</v>
      </c>
      <c r="Q2232">
        <f t="shared" si="170"/>
        <v>1.94</v>
      </c>
      <c r="R2232">
        <f t="shared" si="172"/>
        <v>1.4840511260955933</v>
      </c>
      <c r="S2232">
        <f t="shared" si="173"/>
        <v>0.45594887390440664</v>
      </c>
      <c r="T2232">
        <f t="shared" si="174"/>
        <v>0.2078893756146965</v>
      </c>
    </row>
    <row r="2233" spans="1:20" x14ac:dyDescent="0.25">
      <c r="A2233" t="str">
        <f t="shared" si="171"/>
        <v>SLM</v>
      </c>
      <c r="B2233" t="s">
        <v>2239</v>
      </c>
      <c r="C2233">
        <v>1.5043229469999999</v>
      </c>
      <c r="D2233">
        <v>0.23081761000000001</v>
      </c>
      <c r="E2233">
        <v>0.57609156399999994</v>
      </c>
      <c r="F2233">
        <v>0.49381222299999999</v>
      </c>
      <c r="G2233">
        <v>0.72609099399999999</v>
      </c>
      <c r="H2233">
        <v>1.34</v>
      </c>
      <c r="I2233">
        <v>2.0536373128398</v>
      </c>
      <c r="J2233">
        <v>1.8283233498245799</v>
      </c>
      <c r="K2233">
        <v>2.75011891551293</v>
      </c>
      <c r="L2233">
        <v>2.8290509719103598</v>
      </c>
      <c r="M2233">
        <v>1.9409803313321901</v>
      </c>
      <c r="N2233">
        <v>1.93770819555887</v>
      </c>
      <c r="Q2233">
        <f t="shared" si="170"/>
        <v>1.34</v>
      </c>
      <c r="R2233">
        <f t="shared" si="172"/>
        <v>1.7385310413502568</v>
      </c>
      <c r="S2233">
        <f t="shared" si="173"/>
        <v>-0.39853104135025674</v>
      </c>
      <c r="T2233">
        <f t="shared" si="174"/>
        <v>0.15882699091972005</v>
      </c>
    </row>
    <row r="2234" spans="1:20" x14ac:dyDescent="0.25">
      <c r="A2234" t="str">
        <f t="shared" si="171"/>
        <v>SLM</v>
      </c>
      <c r="B2234" t="s">
        <v>2240</v>
      </c>
      <c r="C2234">
        <v>1.5001587409999999</v>
      </c>
      <c r="D2234">
        <v>0.25451807199999998</v>
      </c>
      <c r="E2234">
        <v>0.60322580599999998</v>
      </c>
      <c r="F2234">
        <v>0.55256536199999995</v>
      </c>
      <c r="G2234">
        <v>0.76330461199999999</v>
      </c>
      <c r="H2234">
        <v>2.1</v>
      </c>
      <c r="I2234">
        <v>2.8051266313900598</v>
      </c>
      <c r="J2234">
        <v>2.5638247777336298</v>
      </c>
      <c r="K2234">
        <v>2.9472687311210999</v>
      </c>
      <c r="L2234">
        <v>3.0984926118588398</v>
      </c>
      <c r="M2234">
        <v>2.6844757045618501</v>
      </c>
      <c r="N2234">
        <v>2.68176306974317</v>
      </c>
      <c r="Q2234">
        <f t="shared" si="170"/>
        <v>2.1</v>
      </c>
      <c r="R2234">
        <f t="shared" si="172"/>
        <v>2.5633508022894276</v>
      </c>
      <c r="S2234">
        <f t="shared" si="173"/>
        <v>-0.46335080228942749</v>
      </c>
      <c r="T2234">
        <f t="shared" si="174"/>
        <v>0.21469396598225612</v>
      </c>
    </row>
    <row r="2235" spans="1:20" x14ac:dyDescent="0.25">
      <c r="A2235" t="str">
        <f t="shared" si="171"/>
        <v>SLM</v>
      </c>
      <c r="B2235" t="s">
        <v>2241</v>
      </c>
      <c r="C2235">
        <v>1.6199940370000001</v>
      </c>
      <c r="D2235">
        <v>0.25382932200000002</v>
      </c>
      <c r="E2235">
        <v>0.59579700400000002</v>
      </c>
      <c r="F2235">
        <v>0.54324000699999997</v>
      </c>
      <c r="G2235">
        <v>0.76858275499999995</v>
      </c>
      <c r="H2235">
        <v>1.89</v>
      </c>
      <c r="I2235">
        <v>2.4776855702204399</v>
      </c>
      <c r="J2235">
        <v>2.3663366074701302</v>
      </c>
      <c r="K2235">
        <v>2.6199981929429299</v>
      </c>
      <c r="L2235">
        <v>2.7194308589026699</v>
      </c>
      <c r="M2235">
        <v>2.4220110888452901</v>
      </c>
      <c r="N2235">
        <v>2.4213711129467801</v>
      </c>
      <c r="Q2235">
        <f t="shared" si="170"/>
        <v>1.89</v>
      </c>
      <c r="R2235">
        <f t="shared" si="172"/>
        <v>2.3323342936815834</v>
      </c>
      <c r="S2235">
        <f t="shared" si="173"/>
        <v>-0.4423342936815835</v>
      </c>
      <c r="T2235">
        <f t="shared" si="174"/>
        <v>0.19565962736678535</v>
      </c>
    </row>
    <row r="2236" spans="1:20" x14ac:dyDescent="0.25">
      <c r="A2236" t="str">
        <f t="shared" si="171"/>
        <v>SLM</v>
      </c>
      <c r="B2236" t="s">
        <v>2242</v>
      </c>
      <c r="C2236">
        <v>1.954261512</v>
      </c>
      <c r="D2236">
        <v>0.247927656</v>
      </c>
      <c r="E2236">
        <v>0.616834722</v>
      </c>
      <c r="F2236">
        <v>0.61412467500000001</v>
      </c>
      <c r="G2236">
        <v>0.78121226799999999</v>
      </c>
      <c r="H2236">
        <v>1.75</v>
      </c>
      <c r="I2236">
        <v>2.2009479570566199</v>
      </c>
      <c r="J2236">
        <v>2.2877920796662501</v>
      </c>
      <c r="K2236">
        <v>2.2977894678360302</v>
      </c>
      <c r="L2236">
        <v>2.40709902212159</v>
      </c>
      <c r="M2236">
        <v>2.2443700183614301</v>
      </c>
      <c r="N2236">
        <v>2.2439499334681599</v>
      </c>
      <c r="Q2236">
        <f t="shared" si="170"/>
        <v>1.75</v>
      </c>
      <c r="R2236">
        <f t="shared" si="172"/>
        <v>2.2186562644434966</v>
      </c>
      <c r="S2236">
        <f t="shared" si="173"/>
        <v>-0.46865626444349662</v>
      </c>
      <c r="T2236">
        <f t="shared" si="174"/>
        <v>0.21963869420213264</v>
      </c>
    </row>
    <row r="2237" spans="1:20" x14ac:dyDescent="0.25">
      <c r="A2237" t="str">
        <f t="shared" si="171"/>
        <v>SLM</v>
      </c>
      <c r="B2237" t="s">
        <v>2243</v>
      </c>
      <c r="C2237">
        <v>2.047254181</v>
      </c>
      <c r="D2237">
        <v>0.242543171</v>
      </c>
      <c r="E2237">
        <v>0.62850678699999996</v>
      </c>
      <c r="F2237">
        <v>0.63497347000000004</v>
      </c>
      <c r="G2237">
        <v>0.77640671299999997</v>
      </c>
      <c r="H2237">
        <v>1.76</v>
      </c>
      <c r="I2237">
        <v>2.0975029908923899</v>
      </c>
      <c r="J2237">
        <v>2.2285435933503002</v>
      </c>
      <c r="K2237">
        <v>2.2833867421740002</v>
      </c>
      <c r="L2237">
        <v>2.4525923438313</v>
      </c>
      <c r="M2237">
        <v>2.1630232921213399</v>
      </c>
      <c r="N2237">
        <v>2.1620307242003598</v>
      </c>
      <c r="Q2237">
        <f t="shared" si="170"/>
        <v>1.76</v>
      </c>
      <c r="R2237">
        <f t="shared" si="172"/>
        <v>2.143548900103013</v>
      </c>
      <c r="S2237">
        <f t="shared" si="173"/>
        <v>-0.38354890010301301</v>
      </c>
      <c r="T2237">
        <f t="shared" si="174"/>
        <v>0.14710975877023105</v>
      </c>
    </row>
    <row r="2238" spans="1:20" x14ac:dyDescent="0.25">
      <c r="A2238" t="str">
        <f t="shared" si="171"/>
        <v>SLM</v>
      </c>
      <c r="B2238" t="s">
        <v>2244</v>
      </c>
      <c r="C2238">
        <v>1.977306037</v>
      </c>
      <c r="D2238">
        <v>0.247368421</v>
      </c>
      <c r="E2238">
        <v>0.59691732799999997</v>
      </c>
      <c r="F2238">
        <v>0.57850322700000001</v>
      </c>
      <c r="G2238">
        <v>0.75965002599999998</v>
      </c>
      <c r="H2238">
        <v>1.69</v>
      </c>
      <c r="I2238">
        <v>1.9748530276429901</v>
      </c>
      <c r="J2238">
        <v>2.0396180462682199</v>
      </c>
      <c r="K2238">
        <v>2.1044286872379301</v>
      </c>
      <c r="L2238">
        <v>2.3119985335067499</v>
      </c>
      <c r="M2238">
        <v>2.0072355369556099</v>
      </c>
      <c r="N2238">
        <v>2.0069743082331901</v>
      </c>
      <c r="Q2238">
        <f t="shared" si="170"/>
        <v>1.69</v>
      </c>
      <c r="R2238">
        <f t="shared" si="172"/>
        <v>1.9398743718711291</v>
      </c>
      <c r="S2238">
        <f t="shared" si="173"/>
        <v>-0.24987437187112915</v>
      </c>
      <c r="T2238">
        <f t="shared" si="174"/>
        <v>6.2437201717991338E-2</v>
      </c>
    </row>
    <row r="2239" spans="1:20" x14ac:dyDescent="0.25">
      <c r="A2239" t="str">
        <f t="shared" si="171"/>
        <v>SLM</v>
      </c>
      <c r="B2239" t="s">
        <v>2245</v>
      </c>
      <c r="C2239">
        <v>1.8025784</v>
      </c>
      <c r="D2239">
        <v>0.240497076</v>
      </c>
      <c r="E2239">
        <v>0.61301748899999997</v>
      </c>
      <c r="F2239">
        <v>0.53859639000000004</v>
      </c>
      <c r="G2239">
        <v>0.76117959899999998</v>
      </c>
      <c r="H2239">
        <v>1.6</v>
      </c>
      <c r="I2239">
        <v>1.9283337376742999</v>
      </c>
      <c r="J2239">
        <v>2.01882891153382</v>
      </c>
      <c r="K2239">
        <v>2.27884098334621</v>
      </c>
      <c r="L2239">
        <v>2.3946785228398602</v>
      </c>
      <c r="M2239">
        <v>1.9735813246040601</v>
      </c>
      <c r="N2239">
        <v>1.9730625688768599</v>
      </c>
      <c r="Q2239">
        <f t="shared" si="170"/>
        <v>1.6</v>
      </c>
      <c r="R2239">
        <f t="shared" si="172"/>
        <v>1.920618882381508</v>
      </c>
      <c r="S2239">
        <f t="shared" si="173"/>
        <v>-0.32061888238150793</v>
      </c>
      <c r="T2239">
        <f t="shared" si="174"/>
        <v>0.10279646773956722</v>
      </c>
    </row>
    <row r="2240" spans="1:20" x14ac:dyDescent="0.25">
      <c r="A2240" t="str">
        <f t="shared" si="171"/>
        <v>SLM</v>
      </c>
      <c r="B2240" t="s">
        <v>2246</v>
      </c>
      <c r="C2240">
        <v>1.8095063330000001</v>
      </c>
      <c r="D2240">
        <v>0.249431387</v>
      </c>
      <c r="E2240">
        <v>0.60103020399999996</v>
      </c>
      <c r="F2240">
        <v>0.55456312200000002</v>
      </c>
      <c r="G2240">
        <v>0.75965002599999998</v>
      </c>
      <c r="H2240">
        <v>2.23</v>
      </c>
      <c r="I2240">
        <v>2.1630542773578001</v>
      </c>
      <c r="J2240">
        <v>2.1708139948901302</v>
      </c>
      <c r="K2240">
        <v>2.3940607201872899</v>
      </c>
      <c r="L2240">
        <v>2.5310877379015801</v>
      </c>
      <c r="M2240">
        <v>2.1669341361239698</v>
      </c>
      <c r="N2240">
        <v>2.1669306627105702</v>
      </c>
      <c r="Q2240">
        <f t="shared" si="170"/>
        <v>2.23</v>
      </c>
      <c r="R2240">
        <f t="shared" si="172"/>
        <v>2.0965454462351603</v>
      </c>
      <c r="S2240">
        <f t="shared" si="173"/>
        <v>0.13345455376483972</v>
      </c>
      <c r="T2240">
        <f t="shared" si="174"/>
        <v>1.7810117920572497E-2</v>
      </c>
    </row>
    <row r="2241" spans="1:20" x14ac:dyDescent="0.25">
      <c r="A2241" t="str">
        <f t="shared" si="171"/>
        <v>SLM</v>
      </c>
      <c r="B2241" t="s">
        <v>2247</v>
      </c>
      <c r="C2241">
        <v>2.3193976859999998</v>
      </c>
      <c r="D2241">
        <v>0.24779541399999999</v>
      </c>
      <c r="E2241">
        <v>0.63798936699999997</v>
      </c>
      <c r="F2241">
        <v>0.57554024599999998</v>
      </c>
      <c r="G2241">
        <v>0.79597244300000003</v>
      </c>
      <c r="H2241">
        <v>2.17</v>
      </c>
      <c r="I2241">
        <v>1.3071674984666299</v>
      </c>
      <c r="J2241">
        <v>1.86912301613433</v>
      </c>
      <c r="K2241">
        <v>1.41586464626473</v>
      </c>
      <c r="L2241">
        <v>1.55477483254661</v>
      </c>
      <c r="M2241">
        <v>1.58814525730048</v>
      </c>
      <c r="N2241">
        <v>1.5630920821649299</v>
      </c>
      <c r="Q2241">
        <f t="shared" ref="Q2241:Q2304" si="175">H2241</f>
        <v>2.17</v>
      </c>
      <c r="R2241">
        <f t="shared" si="172"/>
        <v>1.7009688742477311</v>
      </c>
      <c r="S2241">
        <f t="shared" si="173"/>
        <v>0.4690311257522688</v>
      </c>
      <c r="T2241">
        <f t="shared" si="174"/>
        <v>0.21999019692444058</v>
      </c>
    </row>
    <row r="2242" spans="1:20" x14ac:dyDescent="0.25">
      <c r="A2242" t="str">
        <f t="shared" si="171"/>
        <v>SLM</v>
      </c>
      <c r="B2242" t="s">
        <v>2248</v>
      </c>
      <c r="C2242">
        <v>2.2247701449999999</v>
      </c>
      <c r="D2242">
        <v>0.24386724400000001</v>
      </c>
      <c r="E2242">
        <v>0.61595586700000005</v>
      </c>
      <c r="F2242">
        <v>0.57088773599999998</v>
      </c>
      <c r="G2242">
        <v>0.77570529300000002</v>
      </c>
      <c r="H2242">
        <v>1.88</v>
      </c>
      <c r="I2242">
        <v>1.40484078378536</v>
      </c>
      <c r="J2242">
        <v>1.7860249933127701</v>
      </c>
      <c r="K2242">
        <v>1.6008701841506701</v>
      </c>
      <c r="L2242">
        <v>1.7071445583706599</v>
      </c>
      <c r="M2242">
        <v>1.5954328885490701</v>
      </c>
      <c r="N2242">
        <v>1.5840078129434101</v>
      </c>
      <c r="Q2242">
        <f t="shared" si="175"/>
        <v>1.88</v>
      </c>
      <c r="R2242">
        <f t="shared" si="172"/>
        <v>1.624677875619335</v>
      </c>
      <c r="S2242">
        <f t="shared" si="173"/>
        <v>0.25532212438066493</v>
      </c>
      <c r="T2242">
        <f t="shared" si="174"/>
        <v>6.5189387198255733E-2</v>
      </c>
    </row>
    <row r="2243" spans="1:20" x14ac:dyDescent="0.25">
      <c r="A2243" t="str">
        <f t="shared" ref="A2243:A2306" si="176">LEFT(B2243,3)</f>
        <v>SLM</v>
      </c>
      <c r="B2243" t="s">
        <v>2249</v>
      </c>
      <c r="C2243">
        <v>2.0148232940000002</v>
      </c>
      <c r="D2243">
        <v>0.2472</v>
      </c>
      <c r="E2243">
        <v>0.627500575</v>
      </c>
      <c r="F2243">
        <v>0.60841880800000003</v>
      </c>
      <c r="G2243">
        <v>0.778838904</v>
      </c>
      <c r="H2243">
        <v>2.1800000000000002</v>
      </c>
      <c r="I2243">
        <v>2.0586049913842199</v>
      </c>
      <c r="J2243">
        <v>2.2395539981438102</v>
      </c>
      <c r="K2243">
        <v>2.1269324901281799</v>
      </c>
      <c r="L2243">
        <v>2.3073782966379901</v>
      </c>
      <c r="M2243">
        <v>2.1490794947640199</v>
      </c>
      <c r="N2243">
        <v>2.14717419858132</v>
      </c>
      <c r="Q2243">
        <f t="shared" si="175"/>
        <v>2.1800000000000002</v>
      </c>
      <c r="R2243">
        <f t="shared" ref="R2243:R2306" si="177">$X$2*F2243+$X$3*D2243*E2243+($X$4/(D2243-$X$5))-$X$6*C2243</f>
        <v>2.1541251637944177</v>
      </c>
      <c r="S2243">
        <f t="shared" ref="S2243:S2306" si="178">Q2243-R2243</f>
        <v>2.5874836205582508E-2</v>
      </c>
      <c r="T2243">
        <f t="shared" ref="T2243:T2306" si="179">S2243^2</f>
        <v>6.6950714866572335E-4</v>
      </c>
    </row>
    <row r="2244" spans="1:20" x14ac:dyDescent="0.25">
      <c r="A2244" t="str">
        <f t="shared" si="176"/>
        <v>SLM</v>
      </c>
      <c r="B2244" t="s">
        <v>2250</v>
      </c>
      <c r="C2244">
        <v>1.973972061</v>
      </c>
      <c r="D2244">
        <v>0.24108416499999999</v>
      </c>
      <c r="E2244">
        <v>0.61729452100000004</v>
      </c>
      <c r="F2244">
        <v>0.54031561100000003</v>
      </c>
      <c r="G2244">
        <v>0.762949137</v>
      </c>
      <c r="H2244">
        <v>1.51</v>
      </c>
      <c r="I2244">
        <v>1.63071934856419</v>
      </c>
      <c r="J2244">
        <v>1.8818181504840401</v>
      </c>
      <c r="K2244">
        <v>1.9999605818797599</v>
      </c>
      <c r="L2244">
        <v>2.12147072185715</v>
      </c>
      <c r="M2244">
        <v>1.75626874952412</v>
      </c>
      <c r="N2244">
        <v>1.75177546177403</v>
      </c>
      <c r="Q2244">
        <f t="shared" si="175"/>
        <v>1.51</v>
      </c>
      <c r="R2244">
        <f t="shared" si="177"/>
        <v>1.7498417011816159</v>
      </c>
      <c r="S2244">
        <f t="shared" si="178"/>
        <v>-0.23984170118161585</v>
      </c>
      <c r="T2244">
        <f t="shared" si="179"/>
        <v>5.752404162569151E-2</v>
      </c>
    </row>
    <row r="2245" spans="1:20" x14ac:dyDescent="0.25">
      <c r="A2245" t="str">
        <f t="shared" si="176"/>
        <v>SLM</v>
      </c>
      <c r="B2245" t="s">
        <v>2251</v>
      </c>
      <c r="C2245">
        <v>1.787419745</v>
      </c>
      <c r="D2245">
        <v>0.24084919499999999</v>
      </c>
      <c r="E2245">
        <v>0.62041604100000003</v>
      </c>
      <c r="F2245">
        <v>0.53706269100000004</v>
      </c>
      <c r="G2245">
        <v>0.77412538200000003</v>
      </c>
      <c r="H2245">
        <v>1.44</v>
      </c>
      <c r="I2245">
        <v>1.9348292050522</v>
      </c>
      <c r="J2245">
        <v>2.0652563403212598</v>
      </c>
      <c r="K2245">
        <v>2.3213366877098398</v>
      </c>
      <c r="L2245">
        <v>2.4324455950790602</v>
      </c>
      <c r="M2245">
        <v>2.0000427726867298</v>
      </c>
      <c r="N2245">
        <v>1.99897931034136</v>
      </c>
      <c r="Q2245">
        <f t="shared" si="175"/>
        <v>1.44</v>
      </c>
      <c r="R2245">
        <f t="shared" si="177"/>
        <v>1.9711018354174241</v>
      </c>
      <c r="S2245">
        <f t="shared" si="178"/>
        <v>-0.53110183541742417</v>
      </c>
      <c r="T2245">
        <f t="shared" si="179"/>
        <v>0.28206915958375672</v>
      </c>
    </row>
    <row r="2246" spans="1:20" x14ac:dyDescent="0.25">
      <c r="A2246" t="str">
        <f t="shared" si="176"/>
        <v>SLM</v>
      </c>
      <c r="B2246" t="s">
        <v>2252</v>
      </c>
      <c r="C2246">
        <v>1.991324329</v>
      </c>
      <c r="D2246">
        <v>0.236180905</v>
      </c>
      <c r="E2246">
        <v>0.61294554999999995</v>
      </c>
      <c r="F2246">
        <v>0.49475144999999998</v>
      </c>
      <c r="G2246">
        <v>0.75786463299999995</v>
      </c>
      <c r="H2246">
        <v>2.17</v>
      </c>
      <c r="I2246">
        <v>1.22720799816877</v>
      </c>
      <c r="J2246">
        <v>1.5915694742556901</v>
      </c>
      <c r="K2246">
        <v>1.79252871963016</v>
      </c>
      <c r="L2246">
        <v>1.9755342264340201</v>
      </c>
      <c r="M2246">
        <v>1.4093887362122299</v>
      </c>
      <c r="N2246">
        <v>1.39756459186967</v>
      </c>
      <c r="Q2246">
        <f t="shared" si="175"/>
        <v>2.17</v>
      </c>
      <c r="R2246">
        <f t="shared" si="177"/>
        <v>1.4164592719599951</v>
      </c>
      <c r="S2246">
        <f t="shared" si="178"/>
        <v>0.75354072804000483</v>
      </c>
      <c r="T2246">
        <f t="shared" si="179"/>
        <v>0.56782362881506054</v>
      </c>
    </row>
    <row r="2247" spans="1:20" x14ac:dyDescent="0.25">
      <c r="A2247" t="str">
        <f t="shared" si="176"/>
        <v>SLM</v>
      </c>
      <c r="B2247" t="s">
        <v>2253</v>
      </c>
      <c r="C2247">
        <v>2.39048492</v>
      </c>
      <c r="D2247">
        <v>0.23814856300000001</v>
      </c>
      <c r="E2247">
        <v>0.63205828799999997</v>
      </c>
      <c r="F2247">
        <v>0.57088773599999998</v>
      </c>
      <c r="G2247">
        <v>0.77570529300000002</v>
      </c>
      <c r="H2247">
        <v>1.77</v>
      </c>
      <c r="I2247">
        <v>1.01463321707896</v>
      </c>
      <c r="J2247">
        <v>1.58604375650672</v>
      </c>
      <c r="K2247">
        <v>1.37345197210395</v>
      </c>
      <c r="L2247">
        <v>1.6129011182697</v>
      </c>
      <c r="M2247">
        <v>1.30033848679284</v>
      </c>
      <c r="N2247">
        <v>1.2685632341718001</v>
      </c>
      <c r="Q2247">
        <f t="shared" si="175"/>
        <v>1.77</v>
      </c>
      <c r="R2247">
        <f t="shared" si="177"/>
        <v>1.3794000042742733</v>
      </c>
      <c r="S2247">
        <f t="shared" si="178"/>
        <v>0.39059999572572668</v>
      </c>
      <c r="T2247">
        <f t="shared" si="179"/>
        <v>0.15256835666093771</v>
      </c>
    </row>
    <row r="2248" spans="1:20" x14ac:dyDescent="0.25">
      <c r="A2248" t="str">
        <f t="shared" si="176"/>
        <v>SLM</v>
      </c>
      <c r="B2248" t="s">
        <v>2254</v>
      </c>
      <c r="C2248">
        <v>2.2044864610000001</v>
      </c>
      <c r="D2248">
        <v>0.240497076</v>
      </c>
      <c r="E2248">
        <v>0.60657213600000004</v>
      </c>
      <c r="F2248">
        <v>0.53951846999999997</v>
      </c>
      <c r="G2248">
        <v>0.75682992900000001</v>
      </c>
      <c r="H2248">
        <v>1.63</v>
      </c>
      <c r="I2248">
        <v>1.1975855670604101</v>
      </c>
      <c r="J2248">
        <v>1.5935808929247699</v>
      </c>
      <c r="K2248">
        <v>1.6221486204789599</v>
      </c>
      <c r="L2248">
        <v>1.8761163982892299</v>
      </c>
      <c r="M2248">
        <v>1.3955832299925901</v>
      </c>
      <c r="N2248">
        <v>1.38146642279498</v>
      </c>
      <c r="Q2248">
        <f t="shared" si="175"/>
        <v>1.63</v>
      </c>
      <c r="R2248">
        <f t="shared" si="177"/>
        <v>1.4091259418035929</v>
      </c>
      <c r="S2248">
        <f t="shared" si="178"/>
        <v>0.22087405819640704</v>
      </c>
      <c r="T2248">
        <f t="shared" si="179"/>
        <v>4.8785349584149804E-2</v>
      </c>
    </row>
    <row r="2249" spans="1:20" x14ac:dyDescent="0.25">
      <c r="A2249" t="str">
        <f t="shared" si="176"/>
        <v>SLM</v>
      </c>
      <c r="B2249" t="s">
        <v>2255</v>
      </c>
      <c r="C2249">
        <v>2.0056864120000002</v>
      </c>
      <c r="D2249">
        <v>0.24108416499999999</v>
      </c>
      <c r="E2249">
        <v>0.60977738999999997</v>
      </c>
      <c r="F2249">
        <v>0.54959981700000005</v>
      </c>
      <c r="G2249">
        <v>0.75786463299999995</v>
      </c>
      <c r="H2249">
        <v>1.79</v>
      </c>
      <c r="I2249">
        <v>1.6389733153155299</v>
      </c>
      <c r="J2249">
        <v>1.85295440943348</v>
      </c>
      <c r="K2249">
        <v>2.0352541953959098</v>
      </c>
      <c r="L2249">
        <v>2.1594252138411498</v>
      </c>
      <c r="M2249">
        <v>1.74596386237451</v>
      </c>
      <c r="N2249">
        <v>1.7426826537145901</v>
      </c>
      <c r="Q2249">
        <f t="shared" si="175"/>
        <v>1.79</v>
      </c>
      <c r="R2249">
        <f t="shared" si="177"/>
        <v>1.7188672565579268</v>
      </c>
      <c r="S2249">
        <f t="shared" si="178"/>
        <v>7.113274344207321E-2</v>
      </c>
      <c r="T2249">
        <f t="shared" si="179"/>
        <v>5.0598671895958095E-3</v>
      </c>
    </row>
    <row r="2250" spans="1:20" x14ac:dyDescent="0.25">
      <c r="A2250" t="str">
        <f t="shared" si="176"/>
        <v>SLM</v>
      </c>
      <c r="B2250" t="s">
        <v>2256</v>
      </c>
      <c r="C2250">
        <v>2.2240351299999999</v>
      </c>
      <c r="D2250">
        <v>0.249431387</v>
      </c>
      <c r="E2250">
        <v>0.61716468199999996</v>
      </c>
      <c r="F2250">
        <v>0.54412634199999999</v>
      </c>
      <c r="G2250">
        <v>0.77029021200000003</v>
      </c>
      <c r="H2250">
        <v>1.95</v>
      </c>
      <c r="I2250">
        <v>1.3108213617886599</v>
      </c>
      <c r="J2250">
        <v>1.7873437875945599</v>
      </c>
      <c r="K2250">
        <v>1.5347708275112699</v>
      </c>
      <c r="L2250">
        <v>1.75889135614517</v>
      </c>
      <c r="M2250">
        <v>1.5490825746916099</v>
      </c>
      <c r="N2250">
        <v>1.5306496717535301</v>
      </c>
      <c r="Q2250">
        <f t="shared" si="175"/>
        <v>1.95</v>
      </c>
      <c r="R2250">
        <f t="shared" si="177"/>
        <v>1.6203217484135179</v>
      </c>
      <c r="S2250">
        <f t="shared" si="178"/>
        <v>0.32967825158648201</v>
      </c>
      <c r="T2250">
        <f t="shared" si="179"/>
        <v>0.10868774956911972</v>
      </c>
    </row>
    <row r="2251" spans="1:20" x14ac:dyDescent="0.25">
      <c r="A2251" t="str">
        <f t="shared" si="176"/>
        <v>SLM</v>
      </c>
      <c r="B2251" t="s">
        <v>2257</v>
      </c>
      <c r="C2251">
        <v>2.4273003580000001</v>
      </c>
      <c r="D2251">
        <v>0.23587786299999999</v>
      </c>
      <c r="E2251">
        <v>0.62541657399999995</v>
      </c>
      <c r="F2251">
        <v>0.57296380499999999</v>
      </c>
      <c r="G2251">
        <v>0.773575758</v>
      </c>
      <c r="H2251">
        <v>2.1800000000000002</v>
      </c>
      <c r="I2251">
        <v>0.93733610088471497</v>
      </c>
      <c r="J2251">
        <v>1.4880298755802599</v>
      </c>
      <c r="K2251">
        <v>1.283977056104</v>
      </c>
      <c r="L2251">
        <v>1.5100639654995101</v>
      </c>
      <c r="M2251">
        <v>1.2126829882324901</v>
      </c>
      <c r="N2251">
        <v>1.1810097889418001</v>
      </c>
      <c r="Q2251">
        <f t="shared" si="175"/>
        <v>2.1800000000000002</v>
      </c>
      <c r="R2251">
        <f t="shared" si="177"/>
        <v>1.2686580877101017</v>
      </c>
      <c r="S2251">
        <f t="shared" si="178"/>
        <v>0.91134191228989847</v>
      </c>
      <c r="T2251">
        <f t="shared" si="179"/>
        <v>0.83054408109620903</v>
      </c>
    </row>
    <row r="2252" spans="1:20" x14ac:dyDescent="0.25">
      <c r="A2252" t="str">
        <f t="shared" si="176"/>
        <v>SLM</v>
      </c>
      <c r="B2252" t="s">
        <v>2258</v>
      </c>
      <c r="C2252">
        <v>2.8367368650000002</v>
      </c>
      <c r="D2252">
        <v>0.242326333</v>
      </c>
      <c r="E2252">
        <v>0.64150110400000004</v>
      </c>
      <c r="F2252">
        <v>0.59784259699999998</v>
      </c>
      <c r="G2252">
        <v>0.79440154399999996</v>
      </c>
      <c r="H2252">
        <v>1.59</v>
      </c>
      <c r="I2252">
        <v>0.46195080162644903</v>
      </c>
      <c r="J2252">
        <v>1.3531753996314</v>
      </c>
      <c r="K2252">
        <v>0.56468646311141801</v>
      </c>
      <c r="L2252">
        <v>0.67708968979682704</v>
      </c>
      <c r="M2252">
        <v>0.90756310062892898</v>
      </c>
      <c r="N2252">
        <v>0.79063294935192296</v>
      </c>
      <c r="Q2252">
        <f t="shared" si="175"/>
        <v>1.59</v>
      </c>
      <c r="R2252">
        <f t="shared" si="177"/>
        <v>1.0779359862148929</v>
      </c>
      <c r="S2252">
        <f t="shared" si="178"/>
        <v>0.51206401378510713</v>
      </c>
      <c r="T2252">
        <f t="shared" si="179"/>
        <v>0.26220955421371439</v>
      </c>
    </row>
    <row r="2253" spans="1:20" x14ac:dyDescent="0.25">
      <c r="A2253" t="str">
        <f t="shared" si="176"/>
        <v>SLM</v>
      </c>
      <c r="B2253" t="s">
        <v>2259</v>
      </c>
      <c r="C2253">
        <v>2.3179279610000001</v>
      </c>
      <c r="D2253">
        <v>0.24455376000000001</v>
      </c>
      <c r="E2253">
        <v>0.60754878800000001</v>
      </c>
      <c r="F2253">
        <v>0.55065985299999998</v>
      </c>
      <c r="G2253">
        <v>0.76127819500000005</v>
      </c>
      <c r="H2253">
        <v>2.15</v>
      </c>
      <c r="I2253">
        <v>1.1182161623778399</v>
      </c>
      <c r="J2253">
        <v>1.59488637614587</v>
      </c>
      <c r="K2253">
        <v>1.41213750653519</v>
      </c>
      <c r="L2253">
        <v>1.6867384911980099</v>
      </c>
      <c r="M2253">
        <v>1.35655126926186</v>
      </c>
      <c r="N2253">
        <v>1.3354503820668699</v>
      </c>
      <c r="Q2253">
        <f t="shared" si="175"/>
        <v>2.15</v>
      </c>
      <c r="R2253">
        <f t="shared" si="177"/>
        <v>1.4013910635902525</v>
      </c>
      <c r="S2253">
        <f t="shared" si="178"/>
        <v>0.74860893640974746</v>
      </c>
      <c r="T2253">
        <f t="shared" si="179"/>
        <v>0.56041533967253332</v>
      </c>
    </row>
    <row r="2254" spans="1:20" x14ac:dyDescent="0.25">
      <c r="A2254" t="str">
        <f t="shared" si="176"/>
        <v>SLM</v>
      </c>
      <c r="B2254" t="s">
        <v>2260</v>
      </c>
      <c r="C2254">
        <v>2.3384882450000002</v>
      </c>
      <c r="D2254">
        <v>0.246458924</v>
      </c>
      <c r="E2254">
        <v>0.58749714799999997</v>
      </c>
      <c r="F2254">
        <v>0.51717583</v>
      </c>
      <c r="G2254">
        <v>0.74517180800000005</v>
      </c>
      <c r="H2254">
        <v>1.74</v>
      </c>
      <c r="I2254">
        <v>0.88103813223916905</v>
      </c>
      <c r="J2254">
        <v>1.3981929325514699</v>
      </c>
      <c r="K2254">
        <v>1.2270569217279801</v>
      </c>
      <c r="L2254">
        <v>1.5269200137632</v>
      </c>
      <c r="M2254">
        <v>1.1396155323953101</v>
      </c>
      <c r="N2254">
        <v>1.10989246767655</v>
      </c>
      <c r="Q2254">
        <f t="shared" si="175"/>
        <v>1.74</v>
      </c>
      <c r="R2254">
        <f t="shared" si="177"/>
        <v>1.1805889534876042</v>
      </c>
      <c r="S2254">
        <f t="shared" si="178"/>
        <v>0.55941104651239582</v>
      </c>
      <c r="T2254">
        <f t="shared" si="179"/>
        <v>0.3129407189600939</v>
      </c>
    </row>
    <row r="2255" spans="1:20" x14ac:dyDescent="0.25">
      <c r="A2255" t="str">
        <f t="shared" si="176"/>
        <v>SLM</v>
      </c>
      <c r="B2255" t="s">
        <v>2261</v>
      </c>
      <c r="C2255">
        <v>2.0029084369999999</v>
      </c>
      <c r="D2255">
        <v>0.24780058699999999</v>
      </c>
      <c r="E2255">
        <v>0.60332434899999998</v>
      </c>
      <c r="F2255">
        <v>0.51035922499999997</v>
      </c>
      <c r="G2255">
        <v>0.76246913599999999</v>
      </c>
      <c r="H2255">
        <v>1.72</v>
      </c>
      <c r="I2255">
        <v>1.4838593930220401</v>
      </c>
      <c r="J2255">
        <v>1.7982077430478101</v>
      </c>
      <c r="K2255">
        <v>1.87288421172363</v>
      </c>
      <c r="L2255">
        <v>2.1737501824040399</v>
      </c>
      <c r="M2255">
        <v>1.64103356803492</v>
      </c>
      <c r="N2255">
        <v>1.6334893480296899</v>
      </c>
      <c r="Q2255">
        <f t="shared" si="175"/>
        <v>1.72</v>
      </c>
      <c r="R2255">
        <f t="shared" si="177"/>
        <v>1.6528596254030341</v>
      </c>
      <c r="S2255">
        <f t="shared" si="178"/>
        <v>6.7140374596965868E-2</v>
      </c>
      <c r="T2255">
        <f t="shared" si="179"/>
        <v>4.5078299010208999E-3</v>
      </c>
    </row>
    <row r="2256" spans="1:20" x14ac:dyDescent="0.25">
      <c r="A2256" t="str">
        <f t="shared" si="176"/>
        <v>SLM</v>
      </c>
      <c r="B2256" t="s">
        <v>2262</v>
      </c>
      <c r="C2256">
        <v>2.0658049680000001</v>
      </c>
      <c r="D2256">
        <v>0.236529041</v>
      </c>
      <c r="E2256">
        <v>0.60459973499999997</v>
      </c>
      <c r="F2256">
        <v>0.54071320300000003</v>
      </c>
      <c r="G2256">
        <v>0.74297381699999998</v>
      </c>
      <c r="H2256">
        <v>1.88</v>
      </c>
      <c r="I2256">
        <v>1.4039254308348701</v>
      </c>
      <c r="J2256">
        <v>1.6581844019602201</v>
      </c>
      <c r="K2256">
        <v>1.95682133640414</v>
      </c>
      <c r="L2256">
        <v>2.2194961541169702</v>
      </c>
      <c r="M2256">
        <v>1.53105491639755</v>
      </c>
      <c r="N2256">
        <v>1.52576775786018</v>
      </c>
      <c r="Q2256">
        <f t="shared" si="175"/>
        <v>1.88</v>
      </c>
      <c r="R2256">
        <f t="shared" si="177"/>
        <v>1.4950489532460867</v>
      </c>
      <c r="S2256">
        <f t="shared" si="178"/>
        <v>0.38495104675391323</v>
      </c>
      <c r="T2256">
        <f t="shared" si="179"/>
        <v>0.14818730839693348</v>
      </c>
    </row>
    <row r="2257" spans="1:20" x14ac:dyDescent="0.25">
      <c r="A2257" t="str">
        <f t="shared" si="176"/>
        <v>SLM</v>
      </c>
      <c r="B2257" t="s">
        <v>2263</v>
      </c>
      <c r="C2257">
        <v>2.2632287120000001</v>
      </c>
      <c r="D2257">
        <v>0.24111867000000001</v>
      </c>
      <c r="E2257">
        <v>0.59914306100000003</v>
      </c>
      <c r="F2257">
        <v>0.52239854600000002</v>
      </c>
      <c r="G2257">
        <v>0.74947916699999995</v>
      </c>
      <c r="H2257">
        <v>2.31</v>
      </c>
      <c r="I2257">
        <v>0.98292511743433397</v>
      </c>
      <c r="J2257">
        <v>1.45190310422847</v>
      </c>
      <c r="K2257">
        <v>1.4324364846250901</v>
      </c>
      <c r="L2257">
        <v>1.7462744095529701</v>
      </c>
      <c r="M2257">
        <v>1.2174141108314001</v>
      </c>
      <c r="N2257">
        <v>1.1946179427863299</v>
      </c>
      <c r="Q2257">
        <f t="shared" si="175"/>
        <v>2.31</v>
      </c>
      <c r="R2257">
        <f t="shared" si="177"/>
        <v>1.2446759432474868</v>
      </c>
      <c r="S2257">
        <f t="shared" si="178"/>
        <v>1.0653240567525133</v>
      </c>
      <c r="T2257">
        <f t="shared" si="179"/>
        <v>1.1349153458956323</v>
      </c>
    </row>
    <row r="2258" spans="1:20" x14ac:dyDescent="0.25">
      <c r="A2258" t="str">
        <f t="shared" si="176"/>
        <v>SLM</v>
      </c>
      <c r="B2258" t="s">
        <v>2264</v>
      </c>
      <c r="C2258">
        <v>2.208279412</v>
      </c>
      <c r="D2258">
        <v>0.23966942099999999</v>
      </c>
      <c r="E2258">
        <v>0.61019625499999997</v>
      </c>
      <c r="F2258">
        <v>0.52941030700000002</v>
      </c>
      <c r="G2258">
        <v>0.76858275499999995</v>
      </c>
      <c r="H2258">
        <v>1.94</v>
      </c>
      <c r="I2258">
        <v>1.1220717657905299</v>
      </c>
      <c r="J2258">
        <v>1.55314337274796</v>
      </c>
      <c r="K2258">
        <v>1.55151575064438</v>
      </c>
      <c r="L2258">
        <v>1.8367859287377399</v>
      </c>
      <c r="M2258">
        <v>1.33760756926924</v>
      </c>
      <c r="N2258">
        <v>1.3201281478648801</v>
      </c>
      <c r="Q2258">
        <f t="shared" si="175"/>
        <v>1.94</v>
      </c>
      <c r="R2258">
        <f t="shared" si="177"/>
        <v>1.3603949737268715</v>
      </c>
      <c r="S2258">
        <f t="shared" si="178"/>
        <v>0.57960502627312849</v>
      </c>
      <c r="T2258">
        <f t="shared" si="179"/>
        <v>0.33594198648107398</v>
      </c>
    </row>
    <row r="2259" spans="1:20" x14ac:dyDescent="0.25">
      <c r="A2259" t="str">
        <f t="shared" si="176"/>
        <v>SLM</v>
      </c>
      <c r="B2259" t="s">
        <v>2265</v>
      </c>
      <c r="C2259">
        <v>1.5051924130000001</v>
      </c>
      <c r="D2259">
        <v>0.23125393799999999</v>
      </c>
      <c r="E2259">
        <v>0.58041087400000002</v>
      </c>
      <c r="F2259">
        <v>0.45864633999999999</v>
      </c>
      <c r="G2259">
        <v>0.73722627699999999</v>
      </c>
      <c r="H2259">
        <v>0.8</v>
      </c>
      <c r="I2259">
        <v>1.80539164307101</v>
      </c>
      <c r="J2259">
        <v>1.7235861385311699</v>
      </c>
      <c r="K2259">
        <v>2.4361374489841801</v>
      </c>
      <c r="L2259">
        <v>2.44615322332753</v>
      </c>
      <c r="M2259">
        <v>1.7644888908010901</v>
      </c>
      <c r="N2259">
        <v>1.76401474217683</v>
      </c>
      <c r="Q2259">
        <f t="shared" si="175"/>
        <v>0.8</v>
      </c>
      <c r="R2259">
        <f t="shared" si="177"/>
        <v>1.613742331986874</v>
      </c>
      <c r="S2259">
        <f t="shared" si="178"/>
        <v>-0.81374233198687396</v>
      </c>
      <c r="T2259">
        <f t="shared" si="179"/>
        <v>0.66217658286743575</v>
      </c>
    </row>
    <row r="2260" spans="1:20" x14ac:dyDescent="0.25">
      <c r="A2260" t="str">
        <f t="shared" si="176"/>
        <v>SLM</v>
      </c>
      <c r="B2260" t="s">
        <v>2266</v>
      </c>
      <c r="C2260">
        <v>1.376325171</v>
      </c>
      <c r="D2260">
        <v>0.23164362499999999</v>
      </c>
      <c r="E2260">
        <v>0.58211660499999995</v>
      </c>
      <c r="F2260">
        <v>0.44322678399999998</v>
      </c>
      <c r="G2260">
        <v>0.73882248800000005</v>
      </c>
      <c r="H2260">
        <v>1.1000000000000001</v>
      </c>
      <c r="I2260">
        <v>1.94225470771571</v>
      </c>
      <c r="J2260">
        <v>1.8098339710136899</v>
      </c>
      <c r="K2260">
        <v>2.7298622007084199</v>
      </c>
      <c r="L2260">
        <v>2.7340679650795598</v>
      </c>
      <c r="M2260">
        <v>1.8760443393646999</v>
      </c>
      <c r="N2260">
        <v>1.8748756093098899</v>
      </c>
      <c r="Q2260">
        <f t="shared" si="175"/>
        <v>1.1000000000000001</v>
      </c>
      <c r="R2260">
        <f t="shared" si="177"/>
        <v>1.7193209617729448</v>
      </c>
      <c r="S2260">
        <f t="shared" si="178"/>
        <v>-0.61932096177294471</v>
      </c>
      <c r="T2260">
        <f t="shared" si="179"/>
        <v>0.38355845369136526</v>
      </c>
    </row>
    <row r="2261" spans="1:20" x14ac:dyDescent="0.25">
      <c r="A2261" t="str">
        <f t="shared" si="176"/>
        <v>SLM</v>
      </c>
      <c r="B2261" t="s">
        <v>2267</v>
      </c>
      <c r="C2261">
        <v>1.5227779109999999</v>
      </c>
      <c r="D2261">
        <v>0.20535974400000001</v>
      </c>
      <c r="E2261">
        <v>0.56318093899999999</v>
      </c>
      <c r="F2261">
        <v>0.48768856300000002</v>
      </c>
      <c r="G2261">
        <v>0.71262829100000002</v>
      </c>
      <c r="H2261">
        <v>1.94</v>
      </c>
      <c r="I2261">
        <v>1.44003185044166</v>
      </c>
      <c r="J2261">
        <v>1.1842769902833401</v>
      </c>
      <c r="K2261">
        <v>2.6639591371109499</v>
      </c>
      <c r="L2261">
        <v>2.7192142149919998</v>
      </c>
      <c r="M2261">
        <v>1.3121544203625</v>
      </c>
      <c r="N2261">
        <v>1.30590833742388</v>
      </c>
      <c r="Q2261">
        <f t="shared" si="175"/>
        <v>1.94</v>
      </c>
      <c r="R2261">
        <f t="shared" si="177"/>
        <v>0.98391511683781818</v>
      </c>
      <c r="S2261">
        <f t="shared" si="178"/>
        <v>0.95608488316218176</v>
      </c>
      <c r="T2261">
        <f t="shared" si="179"/>
        <v>0.9140983038112428</v>
      </c>
    </row>
    <row r="2262" spans="1:20" x14ac:dyDescent="0.25">
      <c r="A2262" t="str">
        <f t="shared" si="176"/>
        <v>SLM</v>
      </c>
      <c r="B2262" t="s">
        <v>2268</v>
      </c>
      <c r="C2262">
        <v>1.6367992730000001</v>
      </c>
      <c r="D2262">
        <v>0.21239509400000001</v>
      </c>
      <c r="E2262">
        <v>0.59040202100000005</v>
      </c>
      <c r="F2262">
        <v>0.50712483399999997</v>
      </c>
      <c r="G2262">
        <v>0.73541570999999994</v>
      </c>
      <c r="H2262">
        <v>1.79</v>
      </c>
      <c r="I2262">
        <v>1.5157498691382201</v>
      </c>
      <c r="J2262">
        <v>1.4154123779298</v>
      </c>
      <c r="K2262">
        <v>2.4100110501660401</v>
      </c>
      <c r="L2262">
        <v>2.4593806378152898</v>
      </c>
      <c r="M2262">
        <v>1.4655811235340099</v>
      </c>
      <c r="N2262">
        <v>1.4647222011779899</v>
      </c>
      <c r="Q2262">
        <f t="shared" si="175"/>
        <v>1.79</v>
      </c>
      <c r="R2262">
        <f t="shared" si="177"/>
        <v>1.2429040407885135</v>
      </c>
      <c r="S2262">
        <f t="shared" si="178"/>
        <v>0.54709595921148657</v>
      </c>
      <c r="T2262">
        <f t="shared" si="179"/>
        <v>0.29931398858553659</v>
      </c>
    </row>
    <row r="2263" spans="1:20" x14ac:dyDescent="0.25">
      <c r="A2263" t="str">
        <f t="shared" si="176"/>
        <v>SLM</v>
      </c>
      <c r="B2263" t="s">
        <v>2269</v>
      </c>
      <c r="C2263">
        <v>0.87858395600000005</v>
      </c>
      <c r="D2263">
        <v>0.22486772499999999</v>
      </c>
      <c r="E2263">
        <v>0.50221631200000005</v>
      </c>
      <c r="F2263">
        <v>0.30746811800000001</v>
      </c>
      <c r="G2263">
        <v>0.63089509099999996</v>
      </c>
      <c r="H2263">
        <v>0.11</v>
      </c>
      <c r="I2263">
        <v>1.5370899456606599</v>
      </c>
      <c r="J2263">
        <v>1.36948940845672</v>
      </c>
      <c r="K2263">
        <v>2.4689866541571699</v>
      </c>
      <c r="L2263">
        <v>1.97530274641246</v>
      </c>
      <c r="M2263">
        <v>1.4532896770586901</v>
      </c>
      <c r="N2263">
        <v>1.4508716002553701</v>
      </c>
      <c r="Q2263">
        <f t="shared" si="175"/>
        <v>0.11</v>
      </c>
      <c r="R2263">
        <f t="shared" si="177"/>
        <v>1.272635798631506</v>
      </c>
      <c r="S2263">
        <f t="shared" si="178"/>
        <v>-1.1626357986315059</v>
      </c>
      <c r="T2263">
        <f t="shared" si="179"/>
        <v>1.3517220002595196</v>
      </c>
    </row>
    <row r="2264" spans="1:20" x14ac:dyDescent="0.25">
      <c r="A2264" t="str">
        <f t="shared" si="176"/>
        <v>SLM</v>
      </c>
      <c r="B2264" t="s">
        <v>2270</v>
      </c>
      <c r="C2264">
        <v>1.604059041</v>
      </c>
      <c r="D2264">
        <v>0.241666667</v>
      </c>
      <c r="E2264">
        <v>0.59510238500000001</v>
      </c>
      <c r="F2264">
        <v>0.57575000499999995</v>
      </c>
      <c r="G2264">
        <v>0.77412538200000003</v>
      </c>
      <c r="H2264">
        <v>2.84</v>
      </c>
      <c r="I2264">
        <v>2.49464810836812</v>
      </c>
      <c r="J2264">
        <v>2.29960437259601</v>
      </c>
      <c r="K2264">
        <v>2.61592195665955</v>
      </c>
      <c r="L2264">
        <v>2.6649707991003901</v>
      </c>
      <c r="M2264">
        <v>2.3971262404820699</v>
      </c>
      <c r="N2264">
        <v>2.39514168643354</v>
      </c>
      <c r="Q2264">
        <f t="shared" si="175"/>
        <v>2.84</v>
      </c>
      <c r="R2264">
        <f t="shared" si="177"/>
        <v>2.2666398690077156</v>
      </c>
      <c r="S2264">
        <f t="shared" si="178"/>
        <v>0.57336013099228422</v>
      </c>
      <c r="T2264">
        <f t="shared" si="179"/>
        <v>0.3287418398114893</v>
      </c>
    </row>
    <row r="2265" spans="1:20" x14ac:dyDescent="0.25">
      <c r="A2265" t="str">
        <f t="shared" si="176"/>
        <v>SLM</v>
      </c>
      <c r="B2265" t="s">
        <v>2271</v>
      </c>
      <c r="C2265">
        <v>1.5607098960000001</v>
      </c>
      <c r="D2265">
        <v>0.24005681800000001</v>
      </c>
      <c r="E2265">
        <v>0.62047082899999995</v>
      </c>
      <c r="F2265">
        <v>0.62302871800000004</v>
      </c>
      <c r="G2265">
        <v>0.78328452400000004</v>
      </c>
      <c r="H2265">
        <v>2.1800000000000002</v>
      </c>
      <c r="I2265">
        <v>2.8110990122327699</v>
      </c>
      <c r="J2265">
        <v>2.5938864013315102</v>
      </c>
      <c r="K2265">
        <v>2.9504651434766598</v>
      </c>
      <c r="L2265">
        <v>3.0013100946349698</v>
      </c>
      <c r="M2265">
        <v>2.7024927067821398</v>
      </c>
      <c r="N2265">
        <v>2.7003095194119902</v>
      </c>
      <c r="Q2265">
        <f t="shared" si="175"/>
        <v>2.1800000000000002</v>
      </c>
      <c r="R2265">
        <f t="shared" si="177"/>
        <v>2.5992807156972848</v>
      </c>
      <c r="S2265">
        <f t="shared" si="178"/>
        <v>-0.41928071569728464</v>
      </c>
      <c r="T2265">
        <f t="shared" si="179"/>
        <v>0.17579631855562725</v>
      </c>
    </row>
    <row r="2266" spans="1:20" x14ac:dyDescent="0.25">
      <c r="A2266" t="str">
        <f t="shared" si="176"/>
        <v>SLM</v>
      </c>
      <c r="B2266" t="s">
        <v>2272</v>
      </c>
      <c r="C2266">
        <v>1.3377265979999999</v>
      </c>
      <c r="D2266">
        <v>0.24401294500000001</v>
      </c>
      <c r="E2266">
        <v>0.60063266100000001</v>
      </c>
      <c r="F2266">
        <v>0.605349366</v>
      </c>
      <c r="G2266">
        <v>0.76652847499999999</v>
      </c>
      <c r="H2266">
        <v>3.02</v>
      </c>
      <c r="I2266">
        <v>3.2312821476264499</v>
      </c>
      <c r="J2266">
        <v>2.73766493541756</v>
      </c>
      <c r="K2266">
        <v>3.4059399609304899</v>
      </c>
      <c r="L2266">
        <v>3.4744232529289598</v>
      </c>
      <c r="M2266">
        <v>2.9844735415220001</v>
      </c>
      <c r="N2266">
        <v>2.9742508017982701</v>
      </c>
      <c r="Q2266">
        <f t="shared" si="175"/>
        <v>3.02</v>
      </c>
      <c r="R2266">
        <f t="shared" si="177"/>
        <v>2.7852934045457713</v>
      </c>
      <c r="S2266">
        <f t="shared" si="178"/>
        <v>0.23470659545422867</v>
      </c>
      <c r="T2266">
        <f t="shared" si="179"/>
        <v>5.5087185949714956E-2</v>
      </c>
    </row>
    <row r="2267" spans="1:20" x14ac:dyDescent="0.25">
      <c r="A2267" t="str">
        <f t="shared" si="176"/>
        <v>SLM</v>
      </c>
      <c r="B2267" t="s">
        <v>2273</v>
      </c>
      <c r="C2267">
        <v>1.790313289</v>
      </c>
      <c r="D2267">
        <v>0.24517512499999999</v>
      </c>
      <c r="E2267">
        <v>0.627944112</v>
      </c>
      <c r="F2267">
        <v>0.62794928800000005</v>
      </c>
      <c r="G2267">
        <v>0.79449945</v>
      </c>
      <c r="H2267">
        <v>2.33</v>
      </c>
      <c r="I2267">
        <v>2.4896583519210398</v>
      </c>
      <c r="J2267">
        <v>2.50307339117205</v>
      </c>
      <c r="K2267">
        <v>2.6108431884101901</v>
      </c>
      <c r="L2267">
        <v>2.6670083263385198</v>
      </c>
      <c r="M2267">
        <v>2.4963658715465402</v>
      </c>
      <c r="N2267">
        <v>2.4963568602671402</v>
      </c>
      <c r="Q2267">
        <f t="shared" si="175"/>
        <v>2.33</v>
      </c>
      <c r="R2267">
        <f t="shared" si="177"/>
        <v>2.4738570621771685</v>
      </c>
      <c r="S2267">
        <f t="shared" si="178"/>
        <v>-0.14385706217716843</v>
      </c>
      <c r="T2267">
        <f t="shared" si="179"/>
        <v>2.0694854338245704E-2</v>
      </c>
    </row>
    <row r="2268" spans="1:20" x14ac:dyDescent="0.25">
      <c r="A2268" t="str">
        <f t="shared" si="176"/>
        <v>SLM</v>
      </c>
      <c r="B2268" t="s">
        <v>2274</v>
      </c>
      <c r="C2268">
        <v>1.532616274</v>
      </c>
      <c r="D2268">
        <v>0.241666667</v>
      </c>
      <c r="E2268">
        <v>0.63022942000000004</v>
      </c>
      <c r="F2268">
        <v>0.62961295299999998</v>
      </c>
      <c r="G2268">
        <v>0.79571034200000001</v>
      </c>
      <c r="H2268">
        <v>2.63</v>
      </c>
      <c r="I2268">
        <v>2.8788932349788698</v>
      </c>
      <c r="J2268">
        <v>2.7152319517722701</v>
      </c>
      <c r="K2268">
        <v>3.1461803852310499</v>
      </c>
      <c r="L2268">
        <v>3.1830121928496302</v>
      </c>
      <c r="M2268">
        <v>2.7970625933755699</v>
      </c>
      <c r="N2268">
        <v>2.7958653217484599</v>
      </c>
      <c r="Q2268">
        <f t="shared" si="175"/>
        <v>2.63</v>
      </c>
      <c r="R2268">
        <f t="shared" si="177"/>
        <v>2.7354115196668003</v>
      </c>
      <c r="S2268">
        <f t="shared" si="178"/>
        <v>-0.1054115196668004</v>
      </c>
      <c r="T2268">
        <f t="shared" si="179"/>
        <v>1.1111588478464248E-2</v>
      </c>
    </row>
    <row r="2269" spans="1:20" x14ac:dyDescent="0.25">
      <c r="A2269" t="str">
        <f t="shared" si="176"/>
        <v>SLM</v>
      </c>
      <c r="B2269" t="s">
        <v>2275</v>
      </c>
      <c r="C2269">
        <v>1.521754646</v>
      </c>
      <c r="D2269">
        <v>0.225282486</v>
      </c>
      <c r="E2269">
        <v>0.58604969200000001</v>
      </c>
      <c r="F2269">
        <v>0.50790141700000002</v>
      </c>
      <c r="G2269">
        <v>0.74517180800000005</v>
      </c>
      <c r="H2269">
        <v>2.4</v>
      </c>
      <c r="I2269">
        <v>1.9910764409691299</v>
      </c>
      <c r="J2269">
        <v>1.7957194004840999</v>
      </c>
      <c r="K2269">
        <v>2.4672072818357198</v>
      </c>
      <c r="L2269">
        <v>2.47659061050553</v>
      </c>
      <c r="M2269">
        <v>1.8933979207266201</v>
      </c>
      <c r="N2269">
        <v>1.8908766731056501</v>
      </c>
      <c r="Q2269">
        <f t="shared" si="175"/>
        <v>2.4</v>
      </c>
      <c r="R2269">
        <f t="shared" si="177"/>
        <v>1.6963285740451797</v>
      </c>
      <c r="S2269">
        <f t="shared" si="178"/>
        <v>0.70367142595482024</v>
      </c>
      <c r="T2269">
        <f t="shared" si="179"/>
        <v>0.49515347570529006</v>
      </c>
    </row>
    <row r="2270" spans="1:20" x14ac:dyDescent="0.25">
      <c r="A2270" t="str">
        <f t="shared" si="176"/>
        <v>SLM</v>
      </c>
      <c r="B2270" t="s">
        <v>2276</v>
      </c>
      <c r="C2270">
        <v>1.338393809</v>
      </c>
      <c r="D2270">
        <v>0.22137404599999999</v>
      </c>
      <c r="E2270">
        <v>0.63724867699999999</v>
      </c>
      <c r="F2270">
        <v>0.59113124900000003</v>
      </c>
      <c r="G2270">
        <v>0.790326313</v>
      </c>
      <c r="H2270">
        <v>1.89</v>
      </c>
      <c r="I2270">
        <v>2.6417377616577702</v>
      </c>
      <c r="J2270">
        <v>2.4007554867297598</v>
      </c>
      <c r="K2270">
        <v>3.2176755609257102</v>
      </c>
      <c r="L2270">
        <v>3.2541019130732001</v>
      </c>
      <c r="M2270">
        <v>2.5212466241937599</v>
      </c>
      <c r="N2270">
        <v>2.51836582445861</v>
      </c>
      <c r="Q2270">
        <f t="shared" si="175"/>
        <v>1.89</v>
      </c>
      <c r="R2270">
        <f t="shared" si="177"/>
        <v>2.3853368397352996</v>
      </c>
      <c r="S2270">
        <f t="shared" si="178"/>
        <v>-0.49533683973529974</v>
      </c>
      <c r="T2270">
        <f t="shared" si="179"/>
        <v>0.245358584798954</v>
      </c>
    </row>
    <row r="2271" spans="1:20" x14ac:dyDescent="0.25">
      <c r="A2271" t="str">
        <f t="shared" si="176"/>
        <v>SLM</v>
      </c>
      <c r="B2271" t="s">
        <v>2277</v>
      </c>
      <c r="C2271">
        <v>1.4603509189999999</v>
      </c>
      <c r="D2271">
        <v>0.24318658300000001</v>
      </c>
      <c r="E2271">
        <v>0.60505795600000001</v>
      </c>
      <c r="F2271">
        <v>0.53925249600000003</v>
      </c>
      <c r="G2271">
        <v>0.77033937699999999</v>
      </c>
      <c r="H2271">
        <v>1.37</v>
      </c>
      <c r="I2271">
        <v>2.57142489277172</v>
      </c>
      <c r="J2271">
        <v>2.3768489307677698</v>
      </c>
      <c r="K2271">
        <v>2.6579637767413602</v>
      </c>
      <c r="L2271">
        <v>2.6747972347703399</v>
      </c>
      <c r="M2271">
        <v>2.47413691176975</v>
      </c>
      <c r="N2271">
        <v>2.4722233934121101</v>
      </c>
      <c r="Q2271">
        <f t="shared" si="175"/>
        <v>1.37</v>
      </c>
      <c r="R2271">
        <f t="shared" si="177"/>
        <v>2.3566680198858121</v>
      </c>
      <c r="S2271">
        <f t="shared" si="178"/>
        <v>-0.98666801988581199</v>
      </c>
      <c r="T2271">
        <f t="shared" si="179"/>
        <v>0.97351378146538903</v>
      </c>
    </row>
    <row r="2272" spans="1:20" x14ac:dyDescent="0.25">
      <c r="A2272" t="str">
        <f t="shared" si="176"/>
        <v>SLM</v>
      </c>
      <c r="B2272" t="s">
        <v>2278</v>
      </c>
      <c r="C2272">
        <v>1.7076138890000001</v>
      </c>
      <c r="D2272">
        <v>0.22539444</v>
      </c>
      <c r="E2272">
        <v>0.63912864800000002</v>
      </c>
      <c r="F2272">
        <v>0.59621738099999999</v>
      </c>
      <c r="G2272">
        <v>0.79599189400000003</v>
      </c>
      <c r="H2272">
        <v>2</v>
      </c>
      <c r="I2272">
        <v>2.1268390332066698</v>
      </c>
      <c r="J2272">
        <v>2.1427081041904099</v>
      </c>
      <c r="K2272">
        <v>2.5850566902565602</v>
      </c>
      <c r="L2272">
        <v>2.62328431521177</v>
      </c>
      <c r="M2272">
        <v>2.1347735686985398</v>
      </c>
      <c r="N2272">
        <v>2.1347588230899599</v>
      </c>
      <c r="Q2272">
        <f t="shared" si="175"/>
        <v>2</v>
      </c>
      <c r="R2272">
        <f t="shared" si="177"/>
        <v>2.064905736755843</v>
      </c>
      <c r="S2272">
        <f t="shared" si="178"/>
        <v>-6.4905736755842991E-2</v>
      </c>
      <c r="T2272">
        <f t="shared" si="179"/>
        <v>4.2127546638187881E-3</v>
      </c>
    </row>
    <row r="2273" spans="1:20" x14ac:dyDescent="0.25">
      <c r="A2273" t="str">
        <f t="shared" si="176"/>
        <v>SLM</v>
      </c>
      <c r="B2273" t="s">
        <v>2279</v>
      </c>
      <c r="C2273">
        <v>1.5752994490000001</v>
      </c>
      <c r="D2273">
        <v>0.24493243200000001</v>
      </c>
      <c r="E2273">
        <v>0.65205416599999999</v>
      </c>
      <c r="F2273">
        <v>0.52466248299999996</v>
      </c>
      <c r="G2273">
        <v>0.78832298099999998</v>
      </c>
      <c r="H2273">
        <v>1.05</v>
      </c>
      <c r="I2273">
        <v>2.29877435712288</v>
      </c>
      <c r="J2273">
        <v>2.4363918497267498</v>
      </c>
      <c r="K2273">
        <v>2.54960972589042</v>
      </c>
      <c r="L2273">
        <v>2.6280498628598701</v>
      </c>
      <c r="M2273">
        <v>2.3675831034248098</v>
      </c>
      <c r="N2273">
        <v>2.3665830025703798</v>
      </c>
      <c r="Q2273">
        <f t="shared" si="175"/>
        <v>1.05</v>
      </c>
      <c r="R2273">
        <f t="shared" si="177"/>
        <v>2.392638505185146</v>
      </c>
      <c r="S2273">
        <f t="shared" si="178"/>
        <v>-1.3426385051851459</v>
      </c>
      <c r="T2273">
        <f t="shared" si="179"/>
        <v>1.8026781556058031</v>
      </c>
    </row>
    <row r="2274" spans="1:20" x14ac:dyDescent="0.25">
      <c r="A2274" t="str">
        <f t="shared" si="176"/>
        <v>SLM</v>
      </c>
      <c r="B2274" t="s">
        <v>2280</v>
      </c>
      <c r="C2274">
        <v>1.5613055229999999</v>
      </c>
      <c r="D2274">
        <v>0.21398892</v>
      </c>
      <c r="E2274">
        <v>0.61458554200000004</v>
      </c>
      <c r="F2274">
        <v>0.502399335</v>
      </c>
      <c r="G2274">
        <v>0.75362652500000005</v>
      </c>
      <c r="H2274">
        <v>1.44</v>
      </c>
      <c r="I2274">
        <v>1.6328985307386299</v>
      </c>
      <c r="J2274">
        <v>1.60014414516109</v>
      </c>
      <c r="K2274">
        <v>2.5164118148056498</v>
      </c>
      <c r="L2274">
        <v>2.57743221958623</v>
      </c>
      <c r="M2274">
        <v>1.61652133794986</v>
      </c>
      <c r="N2274">
        <v>1.61643837606126</v>
      </c>
      <c r="Q2274">
        <f t="shared" si="175"/>
        <v>1.44</v>
      </c>
      <c r="R2274">
        <f t="shared" si="177"/>
        <v>1.4509775462650381</v>
      </c>
      <c r="S2274">
        <f t="shared" si="178"/>
        <v>-1.0977546265038107E-2</v>
      </c>
      <c r="T2274">
        <f t="shared" si="179"/>
        <v>1.205065220010521E-4</v>
      </c>
    </row>
    <row r="2275" spans="1:20" x14ac:dyDescent="0.25">
      <c r="A2275" t="str">
        <f t="shared" si="176"/>
        <v>SLM</v>
      </c>
      <c r="B2275" t="s">
        <v>2281</v>
      </c>
      <c r="C2275">
        <v>1.4360578719999999</v>
      </c>
      <c r="D2275">
        <v>0.23815540099999999</v>
      </c>
      <c r="E2275">
        <v>0.60303265900000003</v>
      </c>
      <c r="F2275">
        <v>0.55720050700000001</v>
      </c>
      <c r="G2275">
        <v>0.76008537899999995</v>
      </c>
      <c r="H2275">
        <v>2.33</v>
      </c>
      <c r="I2275">
        <v>2.6728385231484602</v>
      </c>
      <c r="J2275">
        <v>2.3711412992260699</v>
      </c>
      <c r="K2275">
        <v>3.0504624456598401</v>
      </c>
      <c r="L2275">
        <v>3.1129760619694999</v>
      </c>
      <c r="M2275">
        <v>2.5219899111872701</v>
      </c>
      <c r="N2275">
        <v>2.5174744901189698</v>
      </c>
      <c r="Q2275">
        <f t="shared" si="175"/>
        <v>2.33</v>
      </c>
      <c r="R2275">
        <f t="shared" si="177"/>
        <v>2.3562595047421686</v>
      </c>
      <c r="S2275">
        <f t="shared" si="178"/>
        <v>-2.6259504742168538E-2</v>
      </c>
      <c r="T2275">
        <f t="shared" si="179"/>
        <v>6.8956158930397193E-4</v>
      </c>
    </row>
    <row r="2276" spans="1:20" x14ac:dyDescent="0.25">
      <c r="A2276" t="str">
        <f t="shared" si="176"/>
        <v>SLM</v>
      </c>
      <c r="B2276" t="s">
        <v>2282</v>
      </c>
      <c r="C2276">
        <v>1.5804483600000001</v>
      </c>
      <c r="D2276">
        <v>0.240798503</v>
      </c>
      <c r="E2276">
        <v>0.60030716100000003</v>
      </c>
      <c r="F2276">
        <v>0.57051731000000006</v>
      </c>
      <c r="G2276">
        <v>0.76236786499999998</v>
      </c>
      <c r="H2276">
        <v>2.4300000000000002</v>
      </c>
      <c r="I2276">
        <v>2.5339821388919499</v>
      </c>
      <c r="J2276">
        <v>2.3107107511875502</v>
      </c>
      <c r="K2276">
        <v>2.9288914791708902</v>
      </c>
      <c r="L2276">
        <v>3.01137385597039</v>
      </c>
      <c r="M2276">
        <v>2.4223464450397501</v>
      </c>
      <c r="N2276">
        <v>2.4197726694164601</v>
      </c>
      <c r="Q2276">
        <f t="shared" si="175"/>
        <v>2.4300000000000002</v>
      </c>
      <c r="R2276">
        <f t="shared" si="177"/>
        <v>2.2784870977451184</v>
      </c>
      <c r="S2276">
        <f t="shared" si="178"/>
        <v>0.15151290225488179</v>
      </c>
      <c r="T2276">
        <f t="shared" si="179"/>
        <v>2.2956159549697361E-2</v>
      </c>
    </row>
    <row r="2277" spans="1:20" x14ac:dyDescent="0.25">
      <c r="A2277" t="str">
        <f t="shared" si="176"/>
        <v>SLM</v>
      </c>
      <c r="B2277" t="s">
        <v>2283</v>
      </c>
      <c r="C2277">
        <v>1.39435205</v>
      </c>
      <c r="D2277">
        <v>0.23495518600000001</v>
      </c>
      <c r="E2277">
        <v>0.59903768999999996</v>
      </c>
      <c r="F2277">
        <v>0.54299794000000001</v>
      </c>
      <c r="G2277">
        <v>0.75296703300000001</v>
      </c>
      <c r="H2277">
        <v>2.91</v>
      </c>
      <c r="I2277">
        <v>2.61777839220137</v>
      </c>
      <c r="J2277">
        <v>2.2869435343519302</v>
      </c>
      <c r="K2277">
        <v>3.09273290342299</v>
      </c>
      <c r="L2277">
        <v>3.1528791622802599</v>
      </c>
      <c r="M2277">
        <v>2.4523609632766501</v>
      </c>
      <c r="N2277">
        <v>2.4467757086441599</v>
      </c>
      <c r="Q2277">
        <f t="shared" si="175"/>
        <v>2.91</v>
      </c>
      <c r="R2277">
        <f t="shared" si="177"/>
        <v>2.2643151802719124</v>
      </c>
      <c r="S2277">
        <f t="shared" si="178"/>
        <v>0.64568481972808778</v>
      </c>
      <c r="T2277">
        <f t="shared" si="179"/>
        <v>0.41690888642729323</v>
      </c>
    </row>
    <row r="2278" spans="1:20" x14ac:dyDescent="0.25">
      <c r="A2278" t="str">
        <f t="shared" si="176"/>
        <v>SLM</v>
      </c>
      <c r="B2278" t="s">
        <v>2284</v>
      </c>
      <c r="C2278">
        <v>1.480263978</v>
      </c>
      <c r="D2278">
        <v>0.234129693</v>
      </c>
      <c r="E2278">
        <v>0.610411072</v>
      </c>
      <c r="F2278">
        <v>0.55766716900000002</v>
      </c>
      <c r="G2278">
        <v>0.76380090499999997</v>
      </c>
      <c r="H2278">
        <v>2.17</v>
      </c>
      <c r="I2278">
        <v>2.51460248992161</v>
      </c>
      <c r="J2278">
        <v>2.2857581926476298</v>
      </c>
      <c r="K2278">
        <v>2.9266834412878402</v>
      </c>
      <c r="L2278">
        <v>3.0109884552532602</v>
      </c>
      <c r="M2278">
        <v>2.4001803412846199</v>
      </c>
      <c r="N2278">
        <v>2.39745140567863</v>
      </c>
      <c r="Q2278">
        <f t="shared" si="175"/>
        <v>2.17</v>
      </c>
      <c r="R2278">
        <f t="shared" si="177"/>
        <v>2.2532698751110551</v>
      </c>
      <c r="S2278">
        <f t="shared" si="178"/>
        <v>-8.3269875111055214E-2</v>
      </c>
      <c r="T2278">
        <f t="shared" si="179"/>
        <v>6.9338721010107325E-3</v>
      </c>
    </row>
    <row r="2279" spans="1:20" x14ac:dyDescent="0.25">
      <c r="A2279" t="str">
        <f t="shared" si="176"/>
        <v>SLM</v>
      </c>
      <c r="B2279" t="s">
        <v>2285</v>
      </c>
      <c r="C2279">
        <v>1.345986557</v>
      </c>
      <c r="D2279">
        <v>0.23326432</v>
      </c>
      <c r="E2279">
        <v>0.61334723700000005</v>
      </c>
      <c r="F2279">
        <v>0.551153585</v>
      </c>
      <c r="G2279">
        <v>0.76218678799999995</v>
      </c>
      <c r="H2279">
        <v>2.0699999999999998</v>
      </c>
      <c r="I2279">
        <v>2.7048043737955401</v>
      </c>
      <c r="J2279">
        <v>2.3918399833705601</v>
      </c>
      <c r="K2279">
        <v>3.1542991064599</v>
      </c>
      <c r="L2279">
        <v>3.2203193665162999</v>
      </c>
      <c r="M2279">
        <v>2.5483221785830499</v>
      </c>
      <c r="N2279">
        <v>2.5435131704867899</v>
      </c>
      <c r="Q2279">
        <f t="shared" si="175"/>
        <v>2.0699999999999998</v>
      </c>
      <c r="R2279">
        <f t="shared" si="177"/>
        <v>2.382303172410241</v>
      </c>
      <c r="S2279">
        <f t="shared" si="178"/>
        <v>-0.31230317241024119</v>
      </c>
      <c r="T2279">
        <f t="shared" si="179"/>
        <v>9.7533271497500837E-2</v>
      </c>
    </row>
    <row r="2280" spans="1:20" x14ac:dyDescent="0.25">
      <c r="A2280" t="str">
        <f t="shared" si="176"/>
        <v>SLM</v>
      </c>
      <c r="B2280" t="s">
        <v>2286</v>
      </c>
      <c r="C2280">
        <v>1.431002586</v>
      </c>
      <c r="D2280">
        <v>0.237359551</v>
      </c>
      <c r="E2280">
        <v>0.63094278800000003</v>
      </c>
      <c r="F2280">
        <v>0.58735778800000005</v>
      </c>
      <c r="G2280">
        <v>0.77699736600000002</v>
      </c>
      <c r="H2280">
        <v>1.74</v>
      </c>
      <c r="I2280">
        <v>2.8179680287231199</v>
      </c>
      <c r="J2280">
        <v>2.5870115804338698</v>
      </c>
      <c r="K2280">
        <v>3.17835068006482</v>
      </c>
      <c r="L2280">
        <v>3.2470550338481701</v>
      </c>
      <c r="M2280">
        <v>2.70248980457849</v>
      </c>
      <c r="N2280">
        <v>2.7000214672478302</v>
      </c>
      <c r="Q2280">
        <f t="shared" si="175"/>
        <v>1.74</v>
      </c>
      <c r="R2280">
        <f t="shared" si="177"/>
        <v>2.5936813430999779</v>
      </c>
      <c r="S2280">
        <f t="shared" si="178"/>
        <v>-0.8536813430999779</v>
      </c>
      <c r="T2280">
        <f t="shared" si="179"/>
        <v>0.72877183555698222</v>
      </c>
    </row>
    <row r="2281" spans="1:20" x14ac:dyDescent="0.25">
      <c r="A2281" t="str">
        <f t="shared" si="176"/>
        <v>SLM</v>
      </c>
      <c r="B2281" t="s">
        <v>2287</v>
      </c>
      <c r="C2281">
        <v>1.5178640750000001</v>
      </c>
      <c r="D2281">
        <v>0.245156981</v>
      </c>
      <c r="E2281">
        <v>0.61644366900000003</v>
      </c>
      <c r="F2281">
        <v>0.57572043399999995</v>
      </c>
      <c r="G2281">
        <v>0.78272027399999999</v>
      </c>
      <c r="H2281">
        <v>3.04</v>
      </c>
      <c r="I2281">
        <v>2.6925431522630898</v>
      </c>
      <c r="J2281">
        <v>2.5347816173893101</v>
      </c>
      <c r="K2281">
        <v>2.9792058905068299</v>
      </c>
      <c r="L2281">
        <v>3.0383302487297899</v>
      </c>
      <c r="M2281">
        <v>2.6136623848261999</v>
      </c>
      <c r="N2281">
        <v>2.61247179628488</v>
      </c>
      <c r="Q2281">
        <f t="shared" si="175"/>
        <v>3.04</v>
      </c>
      <c r="R2281">
        <f t="shared" si="177"/>
        <v>2.5301311561595847</v>
      </c>
      <c r="S2281">
        <f t="shared" si="178"/>
        <v>0.50986884384041531</v>
      </c>
      <c r="T2281">
        <f t="shared" si="179"/>
        <v>0.25996623791916179</v>
      </c>
    </row>
    <row r="2282" spans="1:20" x14ac:dyDescent="0.25">
      <c r="A2282" t="str">
        <f t="shared" si="176"/>
        <v>SLM</v>
      </c>
      <c r="B2282" t="s">
        <v>2288</v>
      </c>
      <c r="C2282">
        <v>1.4052318479999999</v>
      </c>
      <c r="D2282">
        <v>0.24368600700000001</v>
      </c>
      <c r="E2282">
        <v>0.61527638200000001</v>
      </c>
      <c r="F2282">
        <v>0.61618726099999999</v>
      </c>
      <c r="G2282">
        <v>0.77551922200000001</v>
      </c>
      <c r="H2282">
        <v>2.75</v>
      </c>
      <c r="I2282">
        <v>3.1442085761378502</v>
      </c>
      <c r="J2282">
        <v>2.7659624342622702</v>
      </c>
      <c r="K2282">
        <v>3.3186716262513198</v>
      </c>
      <c r="L2282">
        <v>3.3911240605828499</v>
      </c>
      <c r="M2282">
        <v>2.95508550520006</v>
      </c>
      <c r="N2282">
        <v>2.9490274341013798</v>
      </c>
      <c r="Q2282">
        <f t="shared" si="175"/>
        <v>2.75</v>
      </c>
      <c r="R2282">
        <f t="shared" si="177"/>
        <v>2.807187564765234</v>
      </c>
      <c r="S2282">
        <f t="shared" si="178"/>
        <v>-5.7187564765234011E-2</v>
      </c>
      <c r="T2282">
        <f t="shared" si="179"/>
        <v>3.2704175637778346E-3</v>
      </c>
    </row>
    <row r="2283" spans="1:20" x14ac:dyDescent="0.25">
      <c r="A2283" t="str">
        <f t="shared" si="176"/>
        <v>SLM</v>
      </c>
      <c r="B2283" t="s">
        <v>2289</v>
      </c>
      <c r="C2283">
        <v>1.370387781</v>
      </c>
      <c r="D2283">
        <v>0.23651191999999999</v>
      </c>
      <c r="E2283">
        <v>0.60760456299999999</v>
      </c>
      <c r="F2283">
        <v>0.62234799100000004</v>
      </c>
      <c r="G2283">
        <v>0.765344468</v>
      </c>
      <c r="H2283">
        <v>3.14</v>
      </c>
      <c r="I2283">
        <v>3.1517434543296998</v>
      </c>
      <c r="J2283">
        <v>2.6653600418519598</v>
      </c>
      <c r="K2283">
        <v>3.5212448703508601</v>
      </c>
      <c r="L2283">
        <v>3.59477293568969</v>
      </c>
      <c r="M2283">
        <v>2.9085517480908298</v>
      </c>
      <c r="N2283">
        <v>2.89836696526489</v>
      </c>
      <c r="Q2283">
        <f t="shared" si="175"/>
        <v>3.14</v>
      </c>
      <c r="R2283">
        <f t="shared" si="177"/>
        <v>2.701373995375409</v>
      </c>
      <c r="S2283">
        <f t="shared" si="178"/>
        <v>0.43862600462459111</v>
      </c>
      <c r="T2283">
        <f t="shared" si="179"/>
        <v>0.19239277193293183</v>
      </c>
    </row>
    <row r="2284" spans="1:20" x14ac:dyDescent="0.25">
      <c r="A2284" t="str">
        <f t="shared" si="176"/>
        <v>SLM</v>
      </c>
      <c r="B2284" t="s">
        <v>2290</v>
      </c>
      <c r="C2284">
        <v>1.5300380419999999</v>
      </c>
      <c r="D2284">
        <v>0.23335771799999999</v>
      </c>
      <c r="E2284">
        <v>0.62489415699999995</v>
      </c>
      <c r="F2284">
        <v>0.58917513200000005</v>
      </c>
      <c r="G2284">
        <v>0.77726325500000004</v>
      </c>
      <c r="H2284">
        <v>2.3199999999999998</v>
      </c>
      <c r="I2284">
        <v>2.5711216652303701</v>
      </c>
      <c r="J2284">
        <v>2.3956332118574601</v>
      </c>
      <c r="K2284">
        <v>2.9082765616059199</v>
      </c>
      <c r="L2284">
        <v>2.98122670123804</v>
      </c>
      <c r="M2284">
        <v>2.4833774385439198</v>
      </c>
      <c r="N2284">
        <v>2.4818268378257402</v>
      </c>
      <c r="Q2284">
        <f t="shared" si="175"/>
        <v>2.3199999999999998</v>
      </c>
      <c r="R2284">
        <f t="shared" si="177"/>
        <v>2.3718402773378444</v>
      </c>
      <c r="S2284">
        <f t="shared" si="178"/>
        <v>-5.1840277337844576E-2</v>
      </c>
      <c r="T2284">
        <f t="shared" si="179"/>
        <v>2.687414354464642E-3</v>
      </c>
    </row>
    <row r="2285" spans="1:20" x14ac:dyDescent="0.25">
      <c r="A2285" t="str">
        <f t="shared" si="176"/>
        <v>SLM</v>
      </c>
      <c r="B2285" t="s">
        <v>2291</v>
      </c>
      <c r="C2285">
        <v>1.4655561450000001</v>
      </c>
      <c r="D2285">
        <v>0.23959731500000001</v>
      </c>
      <c r="E2285">
        <v>0.61403508799999995</v>
      </c>
      <c r="F2285">
        <v>0.54641950800000005</v>
      </c>
      <c r="G2285">
        <v>0.77155361099999997</v>
      </c>
      <c r="H2285">
        <v>2.88</v>
      </c>
      <c r="I2285">
        <v>2.54876510083897</v>
      </c>
      <c r="J2285">
        <v>2.3729214257156501</v>
      </c>
      <c r="K2285">
        <v>2.8988819735970202</v>
      </c>
      <c r="L2285">
        <v>2.9522322651061801</v>
      </c>
      <c r="M2285">
        <v>2.4608432632773098</v>
      </c>
      <c r="N2285">
        <v>2.4592721111941001</v>
      </c>
      <c r="Q2285">
        <f t="shared" si="175"/>
        <v>2.88</v>
      </c>
      <c r="R2285">
        <f t="shared" si="177"/>
        <v>2.3497785683554628</v>
      </c>
      <c r="S2285">
        <f t="shared" si="178"/>
        <v>0.53022143164453706</v>
      </c>
      <c r="T2285">
        <f t="shared" si="179"/>
        <v>0.28113476657518249</v>
      </c>
    </row>
    <row r="2286" spans="1:20" x14ac:dyDescent="0.25">
      <c r="A2286" t="str">
        <f t="shared" si="176"/>
        <v>SLM</v>
      </c>
      <c r="B2286" t="s">
        <v>2292</v>
      </c>
      <c r="C2286">
        <v>1.3991424370000001</v>
      </c>
      <c r="D2286">
        <v>0.24647414400000001</v>
      </c>
      <c r="E2286">
        <v>0.60968718499999996</v>
      </c>
      <c r="F2286">
        <v>0.57085989500000001</v>
      </c>
      <c r="G2286">
        <v>0.76851441200000004</v>
      </c>
      <c r="H2286">
        <v>2.1</v>
      </c>
      <c r="I2286">
        <v>2.9529904750116098</v>
      </c>
      <c r="J2286">
        <v>2.6292492788989201</v>
      </c>
      <c r="K2286">
        <v>3.1631663861537298</v>
      </c>
      <c r="L2286">
        <v>3.2262506189845799</v>
      </c>
      <c r="M2286">
        <v>2.7911198769552699</v>
      </c>
      <c r="N2286">
        <v>2.78642209240087</v>
      </c>
      <c r="Q2286">
        <f t="shared" si="175"/>
        <v>2.1</v>
      </c>
      <c r="R2286">
        <f t="shared" si="177"/>
        <v>2.6485619097896267</v>
      </c>
      <c r="S2286">
        <f t="shared" si="178"/>
        <v>-0.5485619097896266</v>
      </c>
      <c r="T2286">
        <f t="shared" si="179"/>
        <v>0.30092016887204243</v>
      </c>
    </row>
    <row r="2287" spans="1:20" x14ac:dyDescent="0.25">
      <c r="A2287" t="str">
        <f t="shared" si="176"/>
        <v>SLM</v>
      </c>
      <c r="B2287" t="s">
        <v>2293</v>
      </c>
      <c r="C2287">
        <v>1.3153439819999999</v>
      </c>
      <c r="D2287">
        <v>0.24928366800000001</v>
      </c>
      <c r="E2287">
        <v>0.61498001300000005</v>
      </c>
      <c r="F2287">
        <v>0.53697446400000004</v>
      </c>
      <c r="G2287">
        <v>0.77726325500000004</v>
      </c>
      <c r="H2287">
        <v>2.25</v>
      </c>
      <c r="I2287">
        <v>2.9104717524738302</v>
      </c>
      <c r="J2287">
        <v>2.6579347666765898</v>
      </c>
      <c r="K2287">
        <v>2.9929515383835801</v>
      </c>
      <c r="L2287">
        <v>3.00974816619126</v>
      </c>
      <c r="M2287">
        <v>2.78420325957521</v>
      </c>
      <c r="N2287">
        <v>2.7813385371670099</v>
      </c>
      <c r="Q2287">
        <f t="shared" si="175"/>
        <v>2.25</v>
      </c>
      <c r="R2287">
        <f t="shared" si="177"/>
        <v>2.6802396298728923</v>
      </c>
      <c r="S2287">
        <f t="shared" si="178"/>
        <v>-0.43023962987289233</v>
      </c>
      <c r="T2287">
        <f t="shared" si="179"/>
        <v>0.18510613911316337</v>
      </c>
    </row>
    <row r="2288" spans="1:20" x14ac:dyDescent="0.25">
      <c r="A2288" t="str">
        <f t="shared" si="176"/>
        <v>SLM</v>
      </c>
      <c r="B2288" t="s">
        <v>2294</v>
      </c>
      <c r="C2288">
        <v>1.4041117970000001</v>
      </c>
      <c r="D2288">
        <v>0.244666667</v>
      </c>
      <c r="E2288">
        <v>0.61541486400000001</v>
      </c>
      <c r="F2288">
        <v>0.61304745599999999</v>
      </c>
      <c r="G2288">
        <v>0.77451403900000004</v>
      </c>
      <c r="H2288">
        <v>2.6</v>
      </c>
      <c r="I2288">
        <v>3.1518558739674898</v>
      </c>
      <c r="J2288">
        <v>2.77292324141224</v>
      </c>
      <c r="K2288">
        <v>3.3306150443805902</v>
      </c>
      <c r="L2288">
        <v>3.4008577092502299</v>
      </c>
      <c r="M2288">
        <v>2.96238955768986</v>
      </c>
      <c r="N2288">
        <v>2.9563244758493799</v>
      </c>
      <c r="Q2288">
        <f t="shared" si="175"/>
        <v>2.6</v>
      </c>
      <c r="R2288">
        <f t="shared" si="177"/>
        <v>2.8144087701278719</v>
      </c>
      <c r="S2288">
        <f t="shared" si="178"/>
        <v>-0.21440877012787185</v>
      </c>
      <c r="T2288">
        <f t="shared" si="179"/>
        <v>4.5971120707746595E-2</v>
      </c>
    </row>
    <row r="2289" spans="1:20" x14ac:dyDescent="0.25">
      <c r="A2289" t="str">
        <f t="shared" si="176"/>
        <v>SLM</v>
      </c>
      <c r="B2289" t="s">
        <v>2295</v>
      </c>
      <c r="C2289">
        <v>1.3645166479999999</v>
      </c>
      <c r="D2289">
        <v>0.24235727400000001</v>
      </c>
      <c r="E2289">
        <v>0.63266989799999995</v>
      </c>
      <c r="F2289">
        <v>0.55804456999999996</v>
      </c>
      <c r="G2289">
        <v>0.788926554</v>
      </c>
      <c r="H2289">
        <v>2.16</v>
      </c>
      <c r="I2289">
        <v>2.8044771439396299</v>
      </c>
      <c r="J2289">
        <v>2.6428807474663798</v>
      </c>
      <c r="K2289">
        <v>2.9946127237010098</v>
      </c>
      <c r="L2289">
        <v>3.02588172903222</v>
      </c>
      <c r="M2289">
        <v>2.723678945703</v>
      </c>
      <c r="N2289">
        <v>2.7224802387579499</v>
      </c>
      <c r="Q2289">
        <f t="shared" si="175"/>
        <v>2.16</v>
      </c>
      <c r="R2289">
        <f t="shared" si="177"/>
        <v>2.6568426351547663</v>
      </c>
      <c r="S2289">
        <f t="shared" si="178"/>
        <v>-0.49684263515476612</v>
      </c>
      <c r="T2289">
        <f t="shared" si="179"/>
        <v>0.24685260410753204</v>
      </c>
    </row>
    <row r="2290" spans="1:20" x14ac:dyDescent="0.25">
      <c r="A2290" t="str">
        <f t="shared" si="176"/>
        <v>SLM</v>
      </c>
      <c r="B2290" t="s">
        <v>2296</v>
      </c>
      <c r="C2290">
        <v>1.655783365</v>
      </c>
      <c r="D2290">
        <v>0.24318658300000001</v>
      </c>
      <c r="E2290">
        <v>0.62179616500000001</v>
      </c>
      <c r="F2290">
        <v>0.57308381399999997</v>
      </c>
      <c r="G2290">
        <v>0.78102836899999994</v>
      </c>
      <c r="H2290">
        <v>2.44</v>
      </c>
      <c r="I2290">
        <v>2.4119646473557199</v>
      </c>
      <c r="J2290">
        <v>2.3758491613859398</v>
      </c>
      <c r="K2290">
        <v>2.6270403840738998</v>
      </c>
      <c r="L2290">
        <v>2.6716788874580502</v>
      </c>
      <c r="M2290">
        <v>2.3939069043708301</v>
      </c>
      <c r="N2290">
        <v>2.3938387967264201</v>
      </c>
      <c r="Q2290">
        <f t="shared" si="175"/>
        <v>2.44</v>
      </c>
      <c r="R2290">
        <f t="shared" si="177"/>
        <v>2.3369530763887987</v>
      </c>
      <c r="S2290">
        <f t="shared" si="178"/>
        <v>0.10304692361120127</v>
      </c>
      <c r="T2290">
        <f t="shared" si="179"/>
        <v>1.0618668465732749E-2</v>
      </c>
    </row>
    <row r="2291" spans="1:20" x14ac:dyDescent="0.25">
      <c r="A2291" t="str">
        <f t="shared" si="176"/>
        <v>SLM</v>
      </c>
      <c r="B2291" t="s">
        <v>2297</v>
      </c>
      <c r="C2291">
        <v>1.1665974100000001</v>
      </c>
      <c r="D2291">
        <v>0.242002782</v>
      </c>
      <c r="E2291">
        <v>0.61716036799999996</v>
      </c>
      <c r="F2291">
        <v>0.53104177600000002</v>
      </c>
      <c r="G2291">
        <v>0.77528593899999998</v>
      </c>
      <c r="H2291">
        <v>2.12</v>
      </c>
      <c r="I2291">
        <v>3.0205334800400401</v>
      </c>
      <c r="J2291">
        <v>2.6706477888804199</v>
      </c>
      <c r="K2291">
        <v>3.3524817233536202</v>
      </c>
      <c r="L2291">
        <v>3.3837354586910999</v>
      </c>
      <c r="M2291">
        <v>2.8455906344602302</v>
      </c>
      <c r="N2291">
        <v>2.8402079254357799</v>
      </c>
      <c r="Q2291">
        <f t="shared" si="175"/>
        <v>2.12</v>
      </c>
      <c r="R2291">
        <f t="shared" si="177"/>
        <v>2.7074966856944247</v>
      </c>
      <c r="S2291">
        <f t="shared" si="178"/>
        <v>-0.58749668569442459</v>
      </c>
      <c r="T2291">
        <f t="shared" si="179"/>
        <v>0.34515235570193353</v>
      </c>
    </row>
    <row r="2292" spans="1:20" x14ac:dyDescent="0.25">
      <c r="A2292" t="str">
        <f t="shared" si="176"/>
        <v>SLM</v>
      </c>
      <c r="B2292" t="s">
        <v>2298</v>
      </c>
      <c r="C2292">
        <v>1.4436265589999999</v>
      </c>
      <c r="D2292">
        <v>0.24186991899999999</v>
      </c>
      <c r="E2292">
        <v>0.62740569700000004</v>
      </c>
      <c r="F2292">
        <v>0.57897839200000001</v>
      </c>
      <c r="G2292">
        <v>0.78547297299999996</v>
      </c>
      <c r="H2292">
        <v>2.0499999999999998</v>
      </c>
      <c r="I2292">
        <v>2.78745635847315</v>
      </c>
      <c r="J2292">
        <v>2.6100800875577099</v>
      </c>
      <c r="K2292">
        <v>3.0073395054734502</v>
      </c>
      <c r="L2292">
        <v>3.0649605917910598</v>
      </c>
      <c r="M2292">
        <v>2.69876822301543</v>
      </c>
      <c r="N2292">
        <v>2.69731057466264</v>
      </c>
      <c r="Q2292">
        <f t="shared" si="175"/>
        <v>2.0499999999999998</v>
      </c>
      <c r="R2292">
        <f t="shared" si="177"/>
        <v>2.6182471017200206</v>
      </c>
      <c r="S2292">
        <f t="shared" si="178"/>
        <v>-0.5682471017200208</v>
      </c>
      <c r="T2292">
        <f t="shared" si="179"/>
        <v>0.32290476861320366</v>
      </c>
    </row>
    <row r="2293" spans="1:20" x14ac:dyDescent="0.25">
      <c r="A2293" t="str">
        <f t="shared" si="176"/>
        <v>SLM</v>
      </c>
      <c r="B2293" t="s">
        <v>2299</v>
      </c>
      <c r="C2293">
        <v>1.271749883</v>
      </c>
      <c r="D2293">
        <v>0.246376812</v>
      </c>
      <c r="E2293">
        <v>0.61171279599999995</v>
      </c>
      <c r="F2293">
        <v>0.614831884</v>
      </c>
      <c r="G2293">
        <v>0.78617470499999997</v>
      </c>
      <c r="H2293">
        <v>2.46</v>
      </c>
      <c r="I2293">
        <v>3.3488110191639699</v>
      </c>
      <c r="J2293">
        <v>2.92510884381102</v>
      </c>
      <c r="K2293">
        <v>3.41179973148486</v>
      </c>
      <c r="L2293">
        <v>3.4562728780149801</v>
      </c>
      <c r="M2293">
        <v>3.1369599314874899</v>
      </c>
      <c r="N2293">
        <v>3.1297981929204801</v>
      </c>
      <c r="Q2293">
        <f t="shared" si="175"/>
        <v>2.46</v>
      </c>
      <c r="R2293">
        <f t="shared" si="177"/>
        <v>2.9987451654144706</v>
      </c>
      <c r="S2293">
        <f t="shared" si="178"/>
        <v>-0.53874516541447059</v>
      </c>
      <c r="T2293">
        <f t="shared" si="179"/>
        <v>0.29024635325746528</v>
      </c>
    </row>
    <row r="2294" spans="1:20" x14ac:dyDescent="0.25">
      <c r="A2294" t="str">
        <f t="shared" si="176"/>
        <v>SLM</v>
      </c>
      <c r="B2294" t="s">
        <v>2300</v>
      </c>
      <c r="C2294">
        <v>1.2372643160000001</v>
      </c>
      <c r="D2294">
        <v>0.242467719</v>
      </c>
      <c r="E2294">
        <v>0.62733668300000001</v>
      </c>
      <c r="F2294">
        <v>0.61077715499999996</v>
      </c>
      <c r="G2294">
        <v>0.79313399799999995</v>
      </c>
      <c r="H2294">
        <v>2.2599999999999998</v>
      </c>
      <c r="I2294">
        <v>3.3003548291093199</v>
      </c>
      <c r="J2294">
        <v>2.9434527488898499</v>
      </c>
      <c r="K2294">
        <v>3.5290187361935801</v>
      </c>
      <c r="L2294">
        <v>3.5737386796627502</v>
      </c>
      <c r="M2294">
        <v>3.12190378899958</v>
      </c>
      <c r="N2294">
        <v>3.1167993990717</v>
      </c>
      <c r="Q2294">
        <f t="shared" si="175"/>
        <v>2.2599999999999998</v>
      </c>
      <c r="R2294">
        <f t="shared" si="177"/>
        <v>3.0164775512681592</v>
      </c>
      <c r="S2294">
        <f t="shared" si="178"/>
        <v>-0.75647755126815941</v>
      </c>
      <c r="T2294">
        <f t="shared" si="179"/>
        <v>0.57225828557267078</v>
      </c>
    </row>
    <row r="2295" spans="1:20" x14ac:dyDescent="0.25">
      <c r="A2295" t="str">
        <f t="shared" si="176"/>
        <v>SLM</v>
      </c>
      <c r="B2295" t="s">
        <v>2301</v>
      </c>
      <c r="C2295">
        <v>1.500811466</v>
      </c>
      <c r="D2295">
        <v>0.23908794799999999</v>
      </c>
      <c r="E2295">
        <v>0.60845732200000002</v>
      </c>
      <c r="F2295">
        <v>0.59346597000000001</v>
      </c>
      <c r="G2295">
        <v>0.76954555199999997</v>
      </c>
      <c r="H2295">
        <v>3.21</v>
      </c>
      <c r="I2295">
        <v>2.7692159441864201</v>
      </c>
      <c r="J2295">
        <v>2.4784147305650999</v>
      </c>
      <c r="K2295">
        <v>3.1351748843994001</v>
      </c>
      <c r="L2295">
        <v>3.1916748762225899</v>
      </c>
      <c r="M2295">
        <v>2.6238153373757598</v>
      </c>
      <c r="N2295">
        <v>2.6197835002509899</v>
      </c>
      <c r="Q2295">
        <f t="shared" si="175"/>
        <v>3.21</v>
      </c>
      <c r="R2295">
        <f t="shared" si="177"/>
        <v>2.4747396682873153</v>
      </c>
      <c r="S2295">
        <f t="shared" si="178"/>
        <v>0.73526033171268468</v>
      </c>
      <c r="T2295">
        <f t="shared" si="179"/>
        <v>0.54060775539024708</v>
      </c>
    </row>
    <row r="2296" spans="1:20" x14ac:dyDescent="0.25">
      <c r="A2296" t="str">
        <f t="shared" si="176"/>
        <v>SLM</v>
      </c>
      <c r="B2296" t="s">
        <v>2302</v>
      </c>
      <c r="C2296">
        <v>1.4189769169999999</v>
      </c>
      <c r="D2296">
        <v>0.24318801100000001</v>
      </c>
      <c r="E2296">
        <v>0.62114537400000003</v>
      </c>
      <c r="F2296">
        <v>0.57752894799999999</v>
      </c>
      <c r="G2296">
        <v>0.77155361099999997</v>
      </c>
      <c r="H2296">
        <v>2.4500000000000002</v>
      </c>
      <c r="I2296">
        <v>2.9016536409101801</v>
      </c>
      <c r="J2296">
        <v>2.62627690899643</v>
      </c>
      <c r="K2296">
        <v>3.1937279294145702</v>
      </c>
      <c r="L2296">
        <v>3.2649334648027502</v>
      </c>
      <c r="M2296">
        <v>2.7639652749532999</v>
      </c>
      <c r="N2296">
        <v>2.7605336359167598</v>
      </c>
      <c r="Q2296">
        <f t="shared" si="175"/>
        <v>2.4500000000000002</v>
      </c>
      <c r="R2296">
        <f t="shared" si="177"/>
        <v>2.6406534741401821</v>
      </c>
      <c r="S2296">
        <f t="shared" si="178"/>
        <v>-0.19065347414018197</v>
      </c>
      <c r="T2296">
        <f t="shared" si="179"/>
        <v>3.6348747201721036E-2</v>
      </c>
    </row>
    <row r="2297" spans="1:20" x14ac:dyDescent="0.25">
      <c r="A2297" t="str">
        <f t="shared" si="176"/>
        <v>SLM</v>
      </c>
      <c r="B2297" t="s">
        <v>2303</v>
      </c>
      <c r="C2297">
        <v>1.386464149</v>
      </c>
      <c r="D2297">
        <v>0.24791666700000001</v>
      </c>
      <c r="E2297">
        <v>0.62114537400000003</v>
      </c>
      <c r="F2297">
        <v>0.55966519299999995</v>
      </c>
      <c r="G2297">
        <v>0.78247468099999995</v>
      </c>
      <c r="H2297">
        <v>2.44</v>
      </c>
      <c r="I2297">
        <v>2.88416964090663</v>
      </c>
      <c r="J2297">
        <v>2.6738230422383902</v>
      </c>
      <c r="K2297">
        <v>3.0817064963764702</v>
      </c>
      <c r="L2297">
        <v>3.1328085299151498</v>
      </c>
      <c r="M2297">
        <v>2.7789963415725101</v>
      </c>
      <c r="N2297">
        <v>2.7770054453638702</v>
      </c>
      <c r="Q2297">
        <f t="shared" si="175"/>
        <v>2.44</v>
      </c>
      <c r="R2297">
        <f t="shared" si="177"/>
        <v>2.6932521079401308</v>
      </c>
      <c r="S2297">
        <f t="shared" si="178"/>
        <v>-0.25325210794013087</v>
      </c>
      <c r="T2297">
        <f t="shared" si="179"/>
        <v>6.4136630176119702E-2</v>
      </c>
    </row>
    <row r="2298" spans="1:20" x14ac:dyDescent="0.25">
      <c r="A2298" t="str">
        <f t="shared" si="176"/>
        <v>SLM</v>
      </c>
      <c r="B2298" t="s">
        <v>2304</v>
      </c>
      <c r="C2298">
        <v>1.2786166139999999</v>
      </c>
      <c r="D2298">
        <v>0.24698367600000001</v>
      </c>
      <c r="E2298">
        <v>0.61977976300000004</v>
      </c>
      <c r="F2298">
        <v>0.54329589199999995</v>
      </c>
      <c r="G2298">
        <v>0.77504553700000001</v>
      </c>
      <c r="H2298">
        <v>2.41</v>
      </c>
      <c r="I2298">
        <v>2.9935692032981498</v>
      </c>
      <c r="J2298">
        <v>2.7000375523608802</v>
      </c>
      <c r="K2298">
        <v>3.1827812186239401</v>
      </c>
      <c r="L2298">
        <v>3.2210532992955399</v>
      </c>
      <c r="M2298">
        <v>2.8468033778295099</v>
      </c>
      <c r="N2298">
        <v>2.8430176335183099</v>
      </c>
      <c r="Q2298">
        <f t="shared" si="175"/>
        <v>2.41</v>
      </c>
      <c r="R2298">
        <f t="shared" si="177"/>
        <v>2.7305672537596881</v>
      </c>
      <c r="S2298">
        <f t="shared" si="178"/>
        <v>-0.32056725375968798</v>
      </c>
      <c r="T2298">
        <f t="shared" si="179"/>
        <v>0.10276336418302819</v>
      </c>
    </row>
    <row r="2299" spans="1:20" x14ac:dyDescent="0.25">
      <c r="A2299" t="str">
        <f t="shared" si="176"/>
        <v>SLM</v>
      </c>
      <c r="B2299" t="s">
        <v>2305</v>
      </c>
      <c r="C2299">
        <v>1.3357926630000001</v>
      </c>
      <c r="D2299">
        <v>0.25092798799999999</v>
      </c>
      <c r="E2299">
        <v>0.62919950199999997</v>
      </c>
      <c r="F2299">
        <v>0.57999255800000005</v>
      </c>
      <c r="G2299">
        <v>0.79319790000000001</v>
      </c>
      <c r="H2299">
        <v>1.9</v>
      </c>
      <c r="I2299">
        <v>3.1087438138305501</v>
      </c>
      <c r="J2299">
        <v>2.88400748327305</v>
      </c>
      <c r="K2299">
        <v>3.2703853677847898</v>
      </c>
      <c r="L2299">
        <v>3.3346367757433102</v>
      </c>
      <c r="M2299">
        <v>2.9963756485517998</v>
      </c>
      <c r="N2299">
        <v>2.9942679276688202</v>
      </c>
      <c r="Q2299">
        <f t="shared" si="175"/>
        <v>1.9</v>
      </c>
      <c r="R2299">
        <f t="shared" si="177"/>
        <v>2.9332407136659207</v>
      </c>
      <c r="S2299">
        <f t="shared" si="178"/>
        <v>-1.0332407136659207</v>
      </c>
      <c r="T2299">
        <f t="shared" si="179"/>
        <v>1.0675863723768613</v>
      </c>
    </row>
    <row r="2300" spans="1:20" x14ac:dyDescent="0.25">
      <c r="A2300" t="str">
        <f t="shared" si="176"/>
        <v>SLM</v>
      </c>
      <c r="B2300" t="s">
        <v>2306</v>
      </c>
      <c r="C2300">
        <v>2.0153372759999999</v>
      </c>
      <c r="D2300">
        <v>0.27101419199999999</v>
      </c>
      <c r="E2300">
        <v>0.618049878</v>
      </c>
      <c r="F2300">
        <v>0.61219554399999998</v>
      </c>
      <c r="G2300">
        <v>0.82734496599999996</v>
      </c>
      <c r="H2300">
        <v>1.81</v>
      </c>
      <c r="I2300">
        <v>2.2759133855837899</v>
      </c>
      <c r="J2300">
        <v>2.5860188252762999</v>
      </c>
      <c r="K2300">
        <v>1.98560462480015</v>
      </c>
      <c r="L2300">
        <v>1.83065298927402</v>
      </c>
      <c r="M2300">
        <v>2.4309661054300502</v>
      </c>
      <c r="N2300">
        <v>2.4260162529995601</v>
      </c>
      <c r="Q2300">
        <f t="shared" si="175"/>
        <v>1.81</v>
      </c>
      <c r="R2300">
        <f t="shared" si="177"/>
        <v>2.5375085146324947</v>
      </c>
      <c r="S2300">
        <f t="shared" si="178"/>
        <v>-0.72750851463249466</v>
      </c>
      <c r="T2300">
        <f t="shared" si="179"/>
        <v>0.52926863886277875</v>
      </c>
    </row>
    <row r="2301" spans="1:20" x14ac:dyDescent="0.25">
      <c r="A2301" t="str">
        <f t="shared" si="176"/>
        <v>SLM</v>
      </c>
      <c r="B2301" t="s">
        <v>2307</v>
      </c>
      <c r="C2301">
        <v>1.7157274280000001</v>
      </c>
      <c r="D2301">
        <v>0.27813416400000002</v>
      </c>
      <c r="E2301">
        <v>0.62297327899999999</v>
      </c>
      <c r="F2301">
        <v>0.56908613900000005</v>
      </c>
      <c r="G2301">
        <v>0.83817227800000005</v>
      </c>
      <c r="H2301">
        <v>2.23</v>
      </c>
      <c r="I2301">
        <v>2.6165698285026302</v>
      </c>
      <c r="J2301">
        <v>2.8545017668226902</v>
      </c>
      <c r="K2301">
        <v>2.1381434493104399</v>
      </c>
      <c r="L2301">
        <v>2.1038456553476101</v>
      </c>
      <c r="M2301">
        <v>2.73553579766266</v>
      </c>
      <c r="N2301">
        <v>2.7329477123567001</v>
      </c>
      <c r="Q2301">
        <f t="shared" si="175"/>
        <v>2.23</v>
      </c>
      <c r="R2301">
        <f t="shared" si="177"/>
        <v>2.8528492138484487</v>
      </c>
      <c r="S2301">
        <f t="shared" si="178"/>
        <v>-0.62284921384844871</v>
      </c>
      <c r="T2301">
        <f t="shared" si="179"/>
        <v>0.38794114319163059</v>
      </c>
    </row>
    <row r="2302" spans="1:20" x14ac:dyDescent="0.25">
      <c r="A2302" t="str">
        <f t="shared" si="176"/>
        <v>SLM</v>
      </c>
      <c r="B2302" t="s">
        <v>2308</v>
      </c>
      <c r="C2302">
        <v>1.85797385</v>
      </c>
      <c r="D2302">
        <v>0.28134247899999998</v>
      </c>
      <c r="E2302">
        <v>0.59965779600000002</v>
      </c>
      <c r="F2302">
        <v>0.54688609399999999</v>
      </c>
      <c r="G2302">
        <v>0.82669033300000005</v>
      </c>
      <c r="H2302">
        <v>2.23</v>
      </c>
      <c r="I2302">
        <v>2.3114970945281401</v>
      </c>
      <c r="J2302">
        <v>2.5636552451372201</v>
      </c>
      <c r="K2302">
        <v>1.74405398360801</v>
      </c>
      <c r="L2302">
        <v>1.6941529515837299</v>
      </c>
      <c r="M2302">
        <v>2.4375761698326799</v>
      </c>
      <c r="N2302">
        <v>2.4343133837915198</v>
      </c>
      <c r="Q2302">
        <f t="shared" si="175"/>
        <v>2.23</v>
      </c>
      <c r="R2302">
        <f t="shared" si="177"/>
        <v>2.5178292582984523</v>
      </c>
      <c r="S2302">
        <f t="shared" si="178"/>
        <v>-0.2878292582984523</v>
      </c>
      <c r="T2302">
        <f t="shared" si="179"/>
        <v>8.2845681932637166E-2</v>
      </c>
    </row>
    <row r="2303" spans="1:20" x14ac:dyDescent="0.25">
      <c r="A2303" t="str">
        <f t="shared" si="176"/>
        <v>SLM</v>
      </c>
      <c r="B2303" t="s">
        <v>2309</v>
      </c>
      <c r="C2303">
        <v>1.8184925700000001</v>
      </c>
      <c r="D2303">
        <v>0.28135866500000001</v>
      </c>
      <c r="E2303">
        <v>0.61449255700000005</v>
      </c>
      <c r="F2303">
        <v>0.48297336499999999</v>
      </c>
      <c r="G2303">
        <v>0.83498811399999995</v>
      </c>
      <c r="H2303">
        <v>1.88</v>
      </c>
      <c r="I2303">
        <v>2.05139279538884</v>
      </c>
      <c r="J2303">
        <v>2.4405993667080499</v>
      </c>
      <c r="K2303">
        <v>1.56619257482533</v>
      </c>
      <c r="L2303">
        <v>1.52274235958675</v>
      </c>
      <c r="M2303">
        <v>2.2459960810484398</v>
      </c>
      <c r="N2303">
        <v>2.23754954298122</v>
      </c>
      <c r="Q2303">
        <f t="shared" si="175"/>
        <v>1.88</v>
      </c>
      <c r="R2303">
        <f t="shared" si="177"/>
        <v>2.3663758757564688</v>
      </c>
      <c r="S2303">
        <f t="shared" si="178"/>
        <v>-0.4863758757564689</v>
      </c>
      <c r="T2303">
        <f t="shared" si="179"/>
        <v>0.23656149251787206</v>
      </c>
    </row>
    <row r="2304" spans="1:20" x14ac:dyDescent="0.25">
      <c r="A2304" t="str">
        <f t="shared" si="176"/>
        <v>SLM</v>
      </c>
      <c r="B2304" t="s">
        <v>2310</v>
      </c>
      <c r="C2304">
        <v>1.6727605699999999</v>
      </c>
      <c r="D2304">
        <v>0.27258628400000001</v>
      </c>
      <c r="E2304">
        <v>0.611182436</v>
      </c>
      <c r="F2304">
        <v>0.56545789800000001</v>
      </c>
      <c r="G2304">
        <v>0.82544243799999995</v>
      </c>
      <c r="H2304">
        <v>1.59</v>
      </c>
      <c r="I2304">
        <v>2.62179724800369</v>
      </c>
      <c r="J2304">
        <v>2.7477991574997498</v>
      </c>
      <c r="K2304">
        <v>2.1917783098368</v>
      </c>
      <c r="L2304">
        <v>2.1827309803721202</v>
      </c>
      <c r="M2304">
        <v>2.6847982027517201</v>
      </c>
      <c r="N2304">
        <v>2.6840589168644802</v>
      </c>
      <c r="Q2304">
        <f t="shared" si="175"/>
        <v>1.59</v>
      </c>
      <c r="R2304">
        <f t="shared" si="177"/>
        <v>2.7447326437416155</v>
      </c>
      <c r="S2304">
        <f t="shared" si="178"/>
        <v>-1.1547326437416154</v>
      </c>
      <c r="T2304">
        <f t="shared" si="179"/>
        <v>1.3334074785225005</v>
      </c>
    </row>
    <row r="2305" spans="1:20" x14ac:dyDescent="0.25">
      <c r="A2305" t="str">
        <f t="shared" si="176"/>
        <v>SLM</v>
      </c>
      <c r="B2305" t="s">
        <v>2311</v>
      </c>
      <c r="C2305">
        <v>1.779651461</v>
      </c>
      <c r="D2305">
        <v>0.28456044899999999</v>
      </c>
      <c r="E2305">
        <v>0.61869958199999997</v>
      </c>
      <c r="F2305">
        <v>0.54097642700000004</v>
      </c>
      <c r="G2305">
        <v>0.84432322400000004</v>
      </c>
      <c r="H2305">
        <v>1.8</v>
      </c>
      <c r="I2305">
        <v>2.4350144541657999</v>
      </c>
      <c r="J2305">
        <v>2.75805837784098</v>
      </c>
      <c r="K2305">
        <v>1.91087881900709</v>
      </c>
      <c r="L2305">
        <v>1.8526092056194099</v>
      </c>
      <c r="M2305">
        <v>2.5965364160033899</v>
      </c>
      <c r="N2305">
        <v>2.5915076722780301</v>
      </c>
      <c r="Q2305">
        <f t="shared" ref="Q2305:Q2368" si="180">H2305</f>
        <v>1.8</v>
      </c>
      <c r="R2305">
        <f t="shared" si="177"/>
        <v>2.7318401034633508</v>
      </c>
      <c r="S2305">
        <f t="shared" si="178"/>
        <v>-0.93184010346335078</v>
      </c>
      <c r="T2305">
        <f t="shared" si="179"/>
        <v>0.8683259784225883</v>
      </c>
    </row>
    <row r="2306" spans="1:20" x14ac:dyDescent="0.25">
      <c r="A2306" t="str">
        <f t="shared" si="176"/>
        <v>SLM</v>
      </c>
      <c r="B2306" t="s">
        <v>2312</v>
      </c>
      <c r="C2306">
        <v>1.6283754349999999</v>
      </c>
      <c r="D2306">
        <v>0.26773337600000002</v>
      </c>
      <c r="E2306">
        <v>0.60303620000000002</v>
      </c>
      <c r="F2306">
        <v>0.53288708100000004</v>
      </c>
      <c r="G2306">
        <v>0.81395769600000001</v>
      </c>
      <c r="H2306">
        <v>2.56</v>
      </c>
      <c r="I2306">
        <v>2.4832366158155601</v>
      </c>
      <c r="J2306">
        <v>2.5636269903155799</v>
      </c>
      <c r="K2306">
        <v>2.2281002164716099</v>
      </c>
      <c r="L2306">
        <v>2.2168337195898302</v>
      </c>
      <c r="M2306">
        <v>2.52343180306557</v>
      </c>
      <c r="N2306">
        <v>2.5231116526314699</v>
      </c>
      <c r="Q2306">
        <f t="shared" si="180"/>
        <v>2.56</v>
      </c>
      <c r="R2306">
        <f t="shared" si="177"/>
        <v>2.5427098167166786</v>
      </c>
      <c r="S2306">
        <f t="shared" si="178"/>
        <v>1.7290183283321436E-2</v>
      </c>
      <c r="T2306">
        <f t="shared" si="179"/>
        <v>2.9895043797084804E-4</v>
      </c>
    </row>
    <row r="2307" spans="1:20" x14ac:dyDescent="0.25">
      <c r="A2307" t="str">
        <f t="shared" ref="A2307:A2370" si="181">LEFT(B2307,3)</f>
        <v>SLM</v>
      </c>
      <c r="B2307" t="s">
        <v>2313</v>
      </c>
      <c r="C2307">
        <v>1.1033956840000001</v>
      </c>
      <c r="D2307">
        <v>0.29138775500000003</v>
      </c>
      <c r="E2307">
        <v>0.62632074699999996</v>
      </c>
      <c r="F2307">
        <v>0.46880781799999999</v>
      </c>
      <c r="G2307">
        <v>0.85561887599999997</v>
      </c>
      <c r="H2307">
        <v>1.82</v>
      </c>
      <c r="I2307">
        <v>3.2469957527704998</v>
      </c>
      <c r="J2307">
        <v>3.3023419989999101</v>
      </c>
      <c r="K2307">
        <v>2.57979029831899</v>
      </c>
      <c r="L2307">
        <v>2.8046058624516101</v>
      </c>
      <c r="M2307">
        <v>3.2746688758852098</v>
      </c>
      <c r="N2307">
        <v>3.2745519456787302</v>
      </c>
      <c r="Q2307">
        <f t="shared" si="180"/>
        <v>1.82</v>
      </c>
      <c r="R2307">
        <f t="shared" ref="R2307:R2370" si="182">$X$2*F2307+$X$3*D2307*E2307+($X$4/(D2307-$X$5))-$X$6*C2307</f>
        <v>3.3846009340752845</v>
      </c>
      <c r="S2307">
        <f t="shared" ref="S2307:S2370" si="183">Q2307-R2307</f>
        <v>-1.5646009340752844</v>
      </c>
      <c r="T2307">
        <f t="shared" ref="T2307:T2370" si="184">S2307^2</f>
        <v>2.4479760829092525</v>
      </c>
    </row>
    <row r="2308" spans="1:20" x14ac:dyDescent="0.25">
      <c r="A2308" t="str">
        <f t="shared" si="181"/>
        <v>SLM</v>
      </c>
      <c r="B2308" t="s">
        <v>2314</v>
      </c>
      <c r="C2308">
        <v>1.8806918850000001</v>
      </c>
      <c r="D2308">
        <v>0.289272578</v>
      </c>
      <c r="E2308">
        <v>0.62580917700000005</v>
      </c>
      <c r="F2308">
        <v>0.53287985999999998</v>
      </c>
      <c r="G2308">
        <v>0.84974917800000005</v>
      </c>
      <c r="H2308">
        <v>2.02</v>
      </c>
      <c r="I2308">
        <v>2.28102691692939</v>
      </c>
      <c r="J2308">
        <v>2.7283783885100199</v>
      </c>
      <c r="K2308">
        <v>1.67272316408447</v>
      </c>
      <c r="L2308">
        <v>1.6418444416579701</v>
      </c>
      <c r="M2308">
        <v>2.5047026527197001</v>
      </c>
      <c r="N2308">
        <v>2.4946952807426701</v>
      </c>
      <c r="Q2308">
        <f t="shared" si="180"/>
        <v>2.02</v>
      </c>
      <c r="R2308">
        <f t="shared" si="182"/>
        <v>2.6815833216819076</v>
      </c>
      <c r="S2308">
        <f t="shared" si="183"/>
        <v>-0.66158332168190759</v>
      </c>
      <c r="T2308">
        <f t="shared" si="184"/>
        <v>0.43769249152766643</v>
      </c>
    </row>
    <row r="2309" spans="1:20" x14ac:dyDescent="0.25">
      <c r="A2309" t="str">
        <f t="shared" si="181"/>
        <v>SLM</v>
      </c>
      <c r="B2309" t="s">
        <v>2315</v>
      </c>
      <c r="C2309">
        <v>2.2525665350000001</v>
      </c>
      <c r="D2309">
        <v>0.27876010600000001</v>
      </c>
      <c r="E2309">
        <v>0.61569737700000005</v>
      </c>
      <c r="F2309">
        <v>0.548693553</v>
      </c>
      <c r="G2309">
        <v>0.82664517100000001</v>
      </c>
      <c r="H2309">
        <v>1.34</v>
      </c>
      <c r="I2309">
        <v>1.6337211920651999</v>
      </c>
      <c r="J2309">
        <v>2.2168211408871401</v>
      </c>
      <c r="K2309">
        <v>1.343281022562</v>
      </c>
      <c r="L2309">
        <v>1.20430427151505</v>
      </c>
      <c r="M2309">
        <v>1.9252711664761699</v>
      </c>
      <c r="N2309">
        <v>1.9030679643369199</v>
      </c>
      <c r="Q2309">
        <f t="shared" si="180"/>
        <v>1.34</v>
      </c>
      <c r="R2309">
        <f t="shared" si="182"/>
        <v>2.0874325493219539</v>
      </c>
      <c r="S2309">
        <f t="shared" si="183"/>
        <v>-0.7474325493219538</v>
      </c>
      <c r="T2309">
        <f t="shared" si="184"/>
        <v>0.55865541578591493</v>
      </c>
    </row>
    <row r="2310" spans="1:20" x14ac:dyDescent="0.25">
      <c r="A2310" t="str">
        <f t="shared" si="181"/>
        <v>SLM</v>
      </c>
      <c r="B2310" t="s">
        <v>2316</v>
      </c>
      <c r="C2310">
        <v>1.529562613</v>
      </c>
      <c r="D2310">
        <v>0.27322554900000001</v>
      </c>
      <c r="E2310">
        <v>0.55270363300000003</v>
      </c>
      <c r="F2310">
        <v>0.399931429</v>
      </c>
      <c r="G2310">
        <v>0.77967085999999997</v>
      </c>
      <c r="H2310">
        <v>0.67</v>
      </c>
      <c r="I2310">
        <v>1.95662351907427</v>
      </c>
      <c r="J2310">
        <v>2.01687889877071</v>
      </c>
      <c r="K2310">
        <v>1.9160372624317199</v>
      </c>
      <c r="L2310">
        <v>1.8002357451400799</v>
      </c>
      <c r="M2310">
        <v>1.9867512089224899</v>
      </c>
      <c r="N2310">
        <v>1.9865227631364799</v>
      </c>
      <c r="Q2310">
        <f t="shared" si="180"/>
        <v>0.67</v>
      </c>
      <c r="R2310">
        <f t="shared" si="182"/>
        <v>1.9345619842266408</v>
      </c>
      <c r="S2310">
        <f t="shared" si="183"/>
        <v>-1.2645619842266407</v>
      </c>
      <c r="T2310">
        <f t="shared" si="184"/>
        <v>1.5991170119512186</v>
      </c>
    </row>
    <row r="2311" spans="1:20" x14ac:dyDescent="0.25">
      <c r="A2311" t="str">
        <f t="shared" si="181"/>
        <v>SLM</v>
      </c>
      <c r="B2311" t="s">
        <v>2317</v>
      </c>
      <c r="C2311">
        <v>1.8026941059999999</v>
      </c>
      <c r="D2311">
        <v>0.28081067300000001</v>
      </c>
      <c r="E2311">
        <v>0.60400788100000002</v>
      </c>
      <c r="F2311">
        <v>0.46634007300000002</v>
      </c>
      <c r="G2311">
        <v>0.829347414</v>
      </c>
      <c r="H2311">
        <v>1.67</v>
      </c>
      <c r="I2311">
        <v>1.98230803484683</v>
      </c>
      <c r="J2311">
        <v>2.3368020386441102</v>
      </c>
      <c r="K2311">
        <v>1.54204092204494</v>
      </c>
      <c r="L2311">
        <v>1.50428185684317</v>
      </c>
      <c r="M2311">
        <v>2.1595550367454699</v>
      </c>
      <c r="N2311">
        <v>2.1522689090935399</v>
      </c>
      <c r="Q2311">
        <f t="shared" si="180"/>
        <v>1.67</v>
      </c>
      <c r="R2311">
        <f t="shared" si="182"/>
        <v>2.2534797406656435</v>
      </c>
      <c r="S2311">
        <f t="shared" si="183"/>
        <v>-0.58347974066564356</v>
      </c>
      <c r="T2311">
        <f t="shared" si="184"/>
        <v>0.34044860776724667</v>
      </c>
    </row>
    <row r="2312" spans="1:20" x14ac:dyDescent="0.25">
      <c r="A2312" t="str">
        <f t="shared" si="181"/>
        <v>SLM</v>
      </c>
      <c r="B2312" t="s">
        <v>2318</v>
      </c>
      <c r="C2312">
        <v>1.5614300670000001</v>
      </c>
      <c r="D2312">
        <v>0.27346314799999999</v>
      </c>
      <c r="E2312">
        <v>0.60793125400000003</v>
      </c>
      <c r="F2312">
        <v>0.51517824800000001</v>
      </c>
      <c r="G2312">
        <v>0.82518080800000004</v>
      </c>
      <c r="H2312">
        <v>1.04</v>
      </c>
      <c r="I2312">
        <v>2.5559804884970299</v>
      </c>
      <c r="J2312">
        <v>2.6718737241414598</v>
      </c>
      <c r="K2312">
        <v>2.18965548915188</v>
      </c>
      <c r="L2312">
        <v>2.1816587381624002</v>
      </c>
      <c r="M2312">
        <v>2.61392710631924</v>
      </c>
      <c r="N2312">
        <v>2.61328473508599</v>
      </c>
      <c r="Q2312">
        <f t="shared" si="180"/>
        <v>1.04</v>
      </c>
      <c r="R2312">
        <f t="shared" si="182"/>
        <v>2.6623118557129084</v>
      </c>
      <c r="S2312">
        <f t="shared" si="183"/>
        <v>-1.6223118557129084</v>
      </c>
      <c r="T2312">
        <f t="shared" si="184"/>
        <v>2.6318957571866606</v>
      </c>
    </row>
    <row r="2313" spans="1:20" x14ac:dyDescent="0.25">
      <c r="A2313" t="str">
        <f t="shared" si="181"/>
        <v>SLM</v>
      </c>
      <c r="B2313" t="s">
        <v>2319</v>
      </c>
      <c r="C2313">
        <v>1.4563791079999999</v>
      </c>
      <c r="D2313">
        <v>0.27016937299999999</v>
      </c>
      <c r="E2313">
        <v>0.61174729000000005</v>
      </c>
      <c r="F2313">
        <v>0.44335724100000001</v>
      </c>
      <c r="G2313">
        <v>0.82594758599999996</v>
      </c>
      <c r="H2313">
        <v>1.07</v>
      </c>
      <c r="I2313">
        <v>2.3221972329412002</v>
      </c>
      <c r="J2313">
        <v>2.4830459080669001</v>
      </c>
      <c r="K2313">
        <v>1.9673482815548899</v>
      </c>
      <c r="L2313">
        <v>1.9732225190043999</v>
      </c>
      <c r="M2313">
        <v>2.4026215705040501</v>
      </c>
      <c r="N2313">
        <v>2.4012751481200398</v>
      </c>
      <c r="Q2313">
        <f t="shared" si="180"/>
        <v>1.07</v>
      </c>
      <c r="R2313">
        <f t="shared" si="182"/>
        <v>2.4484040932010029</v>
      </c>
      <c r="S2313">
        <f t="shared" si="183"/>
        <v>-1.3784040932010029</v>
      </c>
      <c r="T2313">
        <f t="shared" si="184"/>
        <v>1.899997844153279</v>
      </c>
    </row>
    <row r="2314" spans="1:20" x14ac:dyDescent="0.25">
      <c r="A2314" t="str">
        <f t="shared" si="181"/>
        <v>SLM</v>
      </c>
      <c r="B2314" t="s">
        <v>2320</v>
      </c>
      <c r="C2314">
        <v>0.93524702800000004</v>
      </c>
      <c r="D2314">
        <v>0.27277270300000001</v>
      </c>
      <c r="E2314">
        <v>0.666204519</v>
      </c>
      <c r="F2314">
        <v>0.46552008099999997</v>
      </c>
      <c r="G2314">
        <v>0.86082098200000001</v>
      </c>
      <c r="H2314">
        <v>2.69</v>
      </c>
      <c r="I2314">
        <v>3.2822492468763098</v>
      </c>
      <c r="J2314">
        <v>3.3797644666730999</v>
      </c>
      <c r="K2314">
        <v>3.0403537336533302</v>
      </c>
      <c r="L2314">
        <v>3.3681138907181798</v>
      </c>
      <c r="M2314">
        <v>3.3310068567747</v>
      </c>
      <c r="N2314">
        <v>3.3306499929228699</v>
      </c>
      <c r="Q2314">
        <f t="shared" si="180"/>
        <v>2.69</v>
      </c>
      <c r="R2314">
        <f t="shared" si="182"/>
        <v>3.4817906307381437</v>
      </c>
      <c r="S2314">
        <f t="shared" si="183"/>
        <v>-0.79179063073814371</v>
      </c>
      <c r="T2314">
        <f t="shared" si="184"/>
        <v>0.62693240292470742</v>
      </c>
    </row>
    <row r="2315" spans="1:20" x14ac:dyDescent="0.25">
      <c r="A2315" t="str">
        <f t="shared" si="181"/>
        <v>SLM</v>
      </c>
      <c r="B2315" t="s">
        <v>2321</v>
      </c>
      <c r="C2315">
        <v>1.4984087800000001</v>
      </c>
      <c r="D2315">
        <v>0.28617131200000001</v>
      </c>
      <c r="E2315">
        <v>0.66393005800000005</v>
      </c>
      <c r="F2315">
        <v>0.54660488100000004</v>
      </c>
      <c r="G2315">
        <v>0.87275972499999999</v>
      </c>
      <c r="H2315">
        <v>2.71</v>
      </c>
      <c r="I2315">
        <v>2.9040016859749098</v>
      </c>
      <c r="J2315">
        <v>3.3056951028416601</v>
      </c>
      <c r="K2315">
        <v>2.3820440668163299</v>
      </c>
      <c r="L2315">
        <v>2.4257168598945902</v>
      </c>
      <c r="M2315">
        <v>3.1048483944082799</v>
      </c>
      <c r="N2315">
        <v>3.0983453893927302</v>
      </c>
      <c r="Q2315">
        <f t="shared" si="180"/>
        <v>2.71</v>
      </c>
      <c r="R2315">
        <f t="shared" si="182"/>
        <v>3.3520822109086117</v>
      </c>
      <c r="S2315">
        <f t="shared" si="183"/>
        <v>-0.64208221090861173</v>
      </c>
      <c r="T2315">
        <f t="shared" si="184"/>
        <v>0.41226956556529093</v>
      </c>
    </row>
    <row r="2316" spans="1:20" x14ac:dyDescent="0.25">
      <c r="A2316" t="str">
        <f t="shared" si="181"/>
        <v>SLM</v>
      </c>
      <c r="B2316" t="s">
        <v>2322</v>
      </c>
      <c r="C2316">
        <v>1.2323873999999999</v>
      </c>
      <c r="D2316">
        <v>0.29038270199999999</v>
      </c>
      <c r="E2316">
        <v>0.66594435100000005</v>
      </c>
      <c r="F2316">
        <v>0.56021933000000002</v>
      </c>
      <c r="G2316">
        <v>0.87427714199999995</v>
      </c>
      <c r="H2316">
        <v>1.87</v>
      </c>
      <c r="I2316">
        <v>3.42783353865924</v>
      </c>
      <c r="J2316">
        <v>3.6934950020514301</v>
      </c>
      <c r="K2316">
        <v>2.5791441946476499</v>
      </c>
      <c r="L2316">
        <v>2.7586999741653502</v>
      </c>
      <c r="M2316">
        <v>3.5606642703553302</v>
      </c>
      <c r="N2316">
        <v>3.5581857797060201</v>
      </c>
      <c r="Q2316">
        <f t="shared" si="180"/>
        <v>1.87</v>
      </c>
      <c r="R2316">
        <f t="shared" si="182"/>
        <v>3.8098065169700313</v>
      </c>
      <c r="S2316">
        <f t="shared" si="183"/>
        <v>-1.9398065169700311</v>
      </c>
      <c r="T2316">
        <f t="shared" si="184"/>
        <v>3.7628493232794038</v>
      </c>
    </row>
    <row r="2317" spans="1:20" x14ac:dyDescent="0.25">
      <c r="A2317" t="str">
        <f t="shared" si="181"/>
        <v>SLM</v>
      </c>
      <c r="B2317" t="s">
        <v>2323</v>
      </c>
      <c r="C2317">
        <v>1.631443048</v>
      </c>
      <c r="D2317">
        <v>0.28354366600000003</v>
      </c>
      <c r="E2317">
        <v>0.65875465799999999</v>
      </c>
      <c r="F2317">
        <v>0.64771185200000003</v>
      </c>
      <c r="G2317">
        <v>0.86258996300000002</v>
      </c>
      <c r="H2317">
        <v>2.44</v>
      </c>
      <c r="I2317">
        <v>3.1496874811235198</v>
      </c>
      <c r="J2317">
        <v>3.4797914596541402</v>
      </c>
      <c r="K2317">
        <v>2.71723892559389</v>
      </c>
      <c r="L2317">
        <v>2.57906382740879</v>
      </c>
      <c r="M2317">
        <v>3.31473947038883</v>
      </c>
      <c r="N2317">
        <v>3.3106276742323599</v>
      </c>
      <c r="Q2317">
        <f t="shared" si="180"/>
        <v>2.44</v>
      </c>
      <c r="R2317">
        <f t="shared" si="182"/>
        <v>3.5561282789773272</v>
      </c>
      <c r="S2317">
        <f t="shared" si="183"/>
        <v>-1.1161282789773272</v>
      </c>
      <c r="T2317">
        <f t="shared" si="184"/>
        <v>1.2457423351328905</v>
      </c>
    </row>
    <row r="2318" spans="1:20" x14ac:dyDescent="0.25">
      <c r="A2318" t="str">
        <f t="shared" si="181"/>
        <v>SLM</v>
      </c>
      <c r="B2318" t="s">
        <v>2324</v>
      </c>
      <c r="C2318">
        <v>2.1113477469999999</v>
      </c>
      <c r="D2318">
        <v>0.27678392200000002</v>
      </c>
      <c r="E2318">
        <v>0.65429779399999999</v>
      </c>
      <c r="F2318">
        <v>0.68101919099999997</v>
      </c>
      <c r="G2318">
        <v>0.85420973200000005</v>
      </c>
      <c r="H2318">
        <v>2.5299999999999998</v>
      </c>
      <c r="I2318">
        <v>2.4833938946374499</v>
      </c>
      <c r="J2318">
        <v>2.9999217491510399</v>
      </c>
      <c r="K2318">
        <v>2.1200294273079998</v>
      </c>
      <c r="L2318">
        <v>1.70330836159614</v>
      </c>
      <c r="M2318">
        <v>2.74165782189425</v>
      </c>
      <c r="N2318">
        <v>2.7294664966311299</v>
      </c>
      <c r="Q2318">
        <f t="shared" si="180"/>
        <v>2.5299999999999998</v>
      </c>
      <c r="R2318">
        <f t="shared" si="182"/>
        <v>2.985739271708129</v>
      </c>
      <c r="S2318">
        <f t="shared" si="183"/>
        <v>-0.45573927170812922</v>
      </c>
      <c r="T2318">
        <f t="shared" si="184"/>
        <v>0.20769828377705604</v>
      </c>
    </row>
    <row r="2319" spans="1:20" x14ac:dyDescent="0.25">
      <c r="A2319" t="str">
        <f t="shared" si="181"/>
        <v>SLM</v>
      </c>
      <c r="B2319" t="s">
        <v>2325</v>
      </c>
      <c r="C2319">
        <v>1.8939076319999999</v>
      </c>
      <c r="D2319">
        <v>0.261116652</v>
      </c>
      <c r="E2319">
        <v>0.59908325900000003</v>
      </c>
      <c r="F2319">
        <v>0.54567997199999996</v>
      </c>
      <c r="G2319">
        <v>0.805398799</v>
      </c>
      <c r="H2319">
        <v>1.37</v>
      </c>
      <c r="I2319">
        <v>2.0342921657947</v>
      </c>
      <c r="J2319">
        <v>2.2283304892425102</v>
      </c>
      <c r="K2319">
        <v>1.86842277024529</v>
      </c>
      <c r="L2319">
        <v>1.83634864737438</v>
      </c>
      <c r="M2319">
        <v>2.1313113275186</v>
      </c>
      <c r="N2319">
        <v>2.1291019837169598</v>
      </c>
      <c r="Q2319">
        <f t="shared" si="180"/>
        <v>1.37</v>
      </c>
      <c r="R2319">
        <f t="shared" si="182"/>
        <v>2.1488621754059376</v>
      </c>
      <c r="S2319">
        <f t="shared" si="183"/>
        <v>-0.7788621754059375</v>
      </c>
      <c r="T2319">
        <f t="shared" si="184"/>
        <v>0.6066262882780693</v>
      </c>
    </row>
    <row r="2320" spans="1:20" x14ac:dyDescent="0.25">
      <c r="A2320" t="str">
        <f t="shared" si="181"/>
        <v>SLM</v>
      </c>
      <c r="B2320" t="s">
        <v>2326</v>
      </c>
      <c r="C2320">
        <v>1.639572647</v>
      </c>
      <c r="D2320">
        <v>0.26730892099999998</v>
      </c>
      <c r="E2320">
        <v>0.61740783499999996</v>
      </c>
      <c r="F2320">
        <v>0.62738973200000003</v>
      </c>
      <c r="G2320">
        <v>0.82528268999999999</v>
      </c>
      <c r="H2320">
        <v>1.66</v>
      </c>
      <c r="I2320">
        <v>2.9314380912833</v>
      </c>
      <c r="J2320">
        <v>2.9594865261879</v>
      </c>
      <c r="K2320">
        <v>2.5523997911634599</v>
      </c>
      <c r="L2320">
        <v>2.52791014674838</v>
      </c>
      <c r="M2320">
        <v>2.9454623087356002</v>
      </c>
      <c r="N2320">
        <v>2.94542892182224</v>
      </c>
      <c r="Q2320">
        <f t="shared" si="180"/>
        <v>1.66</v>
      </c>
      <c r="R2320">
        <f t="shared" si="182"/>
        <v>2.9957962612950224</v>
      </c>
      <c r="S2320">
        <f t="shared" si="183"/>
        <v>-1.3357962612950225</v>
      </c>
      <c r="T2320">
        <f t="shared" si="184"/>
        <v>1.78435165168976</v>
      </c>
    </row>
    <row r="2321" spans="1:20" x14ac:dyDescent="0.25">
      <c r="A2321" t="str">
        <f t="shared" si="181"/>
        <v>SLM</v>
      </c>
      <c r="B2321" t="s">
        <v>2327</v>
      </c>
      <c r="C2321">
        <v>1.9937933990000001</v>
      </c>
      <c r="D2321">
        <v>0.26119854199999998</v>
      </c>
      <c r="E2321">
        <v>0.61849253699999995</v>
      </c>
      <c r="F2321">
        <v>0.55003279900000002</v>
      </c>
      <c r="G2321">
        <v>0.81619674600000003</v>
      </c>
      <c r="H2321">
        <v>1.22</v>
      </c>
      <c r="I2321">
        <v>1.88756811073687</v>
      </c>
      <c r="J2321">
        <v>2.23308091083</v>
      </c>
      <c r="K2321">
        <v>1.7005587939145499</v>
      </c>
      <c r="L2321">
        <v>1.597548252413</v>
      </c>
      <c r="M2321">
        <v>2.06032451078344</v>
      </c>
      <c r="N2321">
        <v>2.0530689993222202</v>
      </c>
      <c r="Q2321">
        <f t="shared" si="180"/>
        <v>1.22</v>
      </c>
      <c r="R2321">
        <f t="shared" si="182"/>
        <v>2.1379194147214053</v>
      </c>
      <c r="S2321">
        <f t="shared" si="183"/>
        <v>-0.91791941472140537</v>
      </c>
      <c r="T2321">
        <f t="shared" si="184"/>
        <v>0.84257605192248741</v>
      </c>
    </row>
    <row r="2322" spans="1:20" x14ac:dyDescent="0.25">
      <c r="A2322" t="str">
        <f t="shared" si="181"/>
        <v>SLM</v>
      </c>
      <c r="B2322" t="s">
        <v>2328</v>
      </c>
      <c r="C2322">
        <v>1.622027667</v>
      </c>
      <c r="D2322">
        <v>0.25670309499999999</v>
      </c>
      <c r="E2322">
        <v>0.60706492899999998</v>
      </c>
      <c r="F2322">
        <v>0.53266897199999996</v>
      </c>
      <c r="G2322">
        <v>0.80193755899999997</v>
      </c>
      <c r="H2322">
        <v>1.64</v>
      </c>
      <c r="I2322">
        <v>2.37505291445233</v>
      </c>
      <c r="J2322">
        <v>2.4201383689501199</v>
      </c>
      <c r="K2322">
        <v>2.39577166599743</v>
      </c>
      <c r="L2322">
        <v>2.3669505367040302</v>
      </c>
      <c r="M2322">
        <v>2.3975956417012299</v>
      </c>
      <c r="N2322">
        <v>2.3974896634923999</v>
      </c>
      <c r="Q2322">
        <f t="shared" si="180"/>
        <v>1.64</v>
      </c>
      <c r="R2322">
        <f t="shared" si="182"/>
        <v>2.3854030386172456</v>
      </c>
      <c r="S2322">
        <f t="shared" si="183"/>
        <v>-0.74540303861724566</v>
      </c>
      <c r="T2322">
        <f t="shared" si="184"/>
        <v>0.55562568997982298</v>
      </c>
    </row>
    <row r="2323" spans="1:20" x14ac:dyDescent="0.25">
      <c r="A2323" t="str">
        <f t="shared" si="181"/>
        <v>SLM</v>
      </c>
      <c r="B2323" t="s">
        <v>2329</v>
      </c>
      <c r="C2323">
        <v>1.443323803</v>
      </c>
      <c r="D2323">
        <v>0.26798152600000003</v>
      </c>
      <c r="E2323">
        <v>0.60977392500000005</v>
      </c>
      <c r="F2323">
        <v>0.51815442700000003</v>
      </c>
      <c r="G2323">
        <v>0.81080060899999995</v>
      </c>
      <c r="H2323">
        <v>1.65</v>
      </c>
      <c r="I2323">
        <v>2.7351914602662002</v>
      </c>
      <c r="J2323">
        <v>2.7293528615704701</v>
      </c>
      <c r="K2323">
        <v>2.61912635866971</v>
      </c>
      <c r="L2323">
        <v>2.6328080157595899</v>
      </c>
      <c r="M2323">
        <v>2.7322721609183298</v>
      </c>
      <c r="N2323">
        <v>2.7322706013535099</v>
      </c>
      <c r="Q2323">
        <f t="shared" si="180"/>
        <v>1.65</v>
      </c>
      <c r="R2323">
        <f t="shared" si="182"/>
        <v>2.7403058344614148</v>
      </c>
      <c r="S2323">
        <f t="shared" si="183"/>
        <v>-1.0903058344614149</v>
      </c>
      <c r="T2323">
        <f t="shared" si="184"/>
        <v>1.1887668126606024</v>
      </c>
    </row>
    <row r="2324" spans="1:20" x14ac:dyDescent="0.25">
      <c r="A2324" t="str">
        <f t="shared" si="181"/>
        <v>SLM</v>
      </c>
      <c r="B2324" t="s">
        <v>2330</v>
      </c>
      <c r="C2324">
        <v>0.93326315599999998</v>
      </c>
      <c r="D2324">
        <v>0.249025417</v>
      </c>
      <c r="E2324">
        <v>0.54753178599999996</v>
      </c>
      <c r="F2324">
        <v>0.38879417199999999</v>
      </c>
      <c r="G2324">
        <v>0.74090898999999999</v>
      </c>
      <c r="H2324">
        <v>0.92</v>
      </c>
      <c r="I2324">
        <v>2.6573194135860199</v>
      </c>
      <c r="J2324">
        <v>2.2019371200156699</v>
      </c>
      <c r="K2324">
        <v>3.1255051632683601</v>
      </c>
      <c r="L2324">
        <v>2.9128324853350298</v>
      </c>
      <c r="M2324">
        <v>2.42962826680085</v>
      </c>
      <c r="N2324">
        <v>2.4189357694063198</v>
      </c>
      <c r="Q2324">
        <f t="shared" si="180"/>
        <v>0.92</v>
      </c>
      <c r="R2324">
        <f t="shared" si="182"/>
        <v>2.2050129905136138</v>
      </c>
      <c r="S2324">
        <f t="shared" si="183"/>
        <v>-1.2850129905136138</v>
      </c>
      <c r="T2324">
        <f t="shared" si="184"/>
        <v>1.6512583857887411</v>
      </c>
    </row>
    <row r="2325" spans="1:20" x14ac:dyDescent="0.25">
      <c r="A2325" t="str">
        <f t="shared" si="181"/>
        <v>SLM</v>
      </c>
      <c r="B2325" t="s">
        <v>2331</v>
      </c>
      <c r="C2325">
        <v>1.0637046029999999</v>
      </c>
      <c r="D2325">
        <v>0.23587022399999999</v>
      </c>
      <c r="E2325">
        <v>0.53994642699999995</v>
      </c>
      <c r="F2325">
        <v>0.39591754000000001</v>
      </c>
      <c r="G2325">
        <v>0.71854926600000002</v>
      </c>
      <c r="H2325">
        <v>0.7</v>
      </c>
      <c r="I2325">
        <v>2.2619066785266</v>
      </c>
      <c r="J2325">
        <v>1.85366744521799</v>
      </c>
      <c r="K2325">
        <v>2.9284159424292202</v>
      </c>
      <c r="L2325">
        <v>2.6997193530347299</v>
      </c>
      <c r="M2325">
        <v>2.0577870618723</v>
      </c>
      <c r="N2325">
        <v>2.0476383406514702</v>
      </c>
      <c r="Q2325">
        <f t="shared" si="180"/>
        <v>0.7</v>
      </c>
      <c r="R2325">
        <f t="shared" si="182"/>
        <v>1.8057440804137479</v>
      </c>
      <c r="S2325">
        <f t="shared" si="183"/>
        <v>-1.1057440804137479</v>
      </c>
      <c r="T2325">
        <f t="shared" si="184"/>
        <v>1.2226699713700451</v>
      </c>
    </row>
    <row r="2326" spans="1:20" x14ac:dyDescent="0.25">
      <c r="A2326" t="str">
        <f t="shared" si="181"/>
        <v>SLM</v>
      </c>
      <c r="B2326" t="s">
        <v>2332</v>
      </c>
      <c r="C2326">
        <v>1.0887449789999999</v>
      </c>
      <c r="D2326">
        <v>0.23718629399999999</v>
      </c>
      <c r="E2326">
        <v>0.59961417400000006</v>
      </c>
      <c r="F2326">
        <v>0.45889811600000002</v>
      </c>
      <c r="G2326">
        <v>0.77422442899999999</v>
      </c>
      <c r="H2326">
        <v>0.88</v>
      </c>
      <c r="I2326">
        <v>2.6177744318929399</v>
      </c>
      <c r="J2326">
        <v>2.3261865648267999</v>
      </c>
      <c r="K2326">
        <v>3.1293114142643899</v>
      </c>
      <c r="L2326">
        <v>3.0395503645494601</v>
      </c>
      <c r="M2326">
        <v>2.4719804983598701</v>
      </c>
      <c r="N2326">
        <v>2.46767739245155</v>
      </c>
      <c r="Q2326">
        <f t="shared" si="180"/>
        <v>0.88</v>
      </c>
      <c r="R2326">
        <f t="shared" si="182"/>
        <v>2.3225882309839418</v>
      </c>
      <c r="S2326">
        <f t="shared" si="183"/>
        <v>-1.442588230983942</v>
      </c>
      <c r="T2326">
        <f t="shared" si="184"/>
        <v>2.0810608041733789</v>
      </c>
    </row>
    <row r="2327" spans="1:20" x14ac:dyDescent="0.25">
      <c r="A2327" t="str">
        <f t="shared" si="181"/>
        <v>SLM</v>
      </c>
      <c r="B2327" t="s">
        <v>2333</v>
      </c>
      <c r="C2327">
        <v>1.1310528660000001</v>
      </c>
      <c r="D2327">
        <v>0.217204121</v>
      </c>
      <c r="E2327">
        <v>0.56036698699999998</v>
      </c>
      <c r="F2327">
        <v>0.42875009800000002</v>
      </c>
      <c r="G2327">
        <v>0.72620722100000001</v>
      </c>
      <c r="H2327">
        <v>0.94</v>
      </c>
      <c r="I2327">
        <v>2.0159158767245402</v>
      </c>
      <c r="J2327">
        <v>1.6309012714248901</v>
      </c>
      <c r="K2327">
        <v>2.8308892201549898</v>
      </c>
      <c r="L2327">
        <v>2.6777022041168799</v>
      </c>
      <c r="M2327">
        <v>1.8234085740747099</v>
      </c>
      <c r="N2327">
        <v>1.8132180691896</v>
      </c>
      <c r="Q2327">
        <f t="shared" si="180"/>
        <v>0.94</v>
      </c>
      <c r="R2327">
        <f t="shared" si="182"/>
        <v>1.5352246349469225</v>
      </c>
      <c r="S2327">
        <f t="shared" si="183"/>
        <v>-0.59522463494692257</v>
      </c>
      <c r="T2327">
        <f t="shared" si="184"/>
        <v>0.35429236604769726</v>
      </c>
    </row>
    <row r="2328" spans="1:20" x14ac:dyDescent="0.25">
      <c r="A2328" t="str">
        <f t="shared" si="181"/>
        <v>SLM</v>
      </c>
      <c r="B2328" t="s">
        <v>2334</v>
      </c>
      <c r="C2328">
        <v>1.374884188</v>
      </c>
      <c r="D2328">
        <v>0.22278704899999999</v>
      </c>
      <c r="E2328">
        <v>0.56845497199999995</v>
      </c>
      <c r="F2328">
        <v>0.47439694900000001</v>
      </c>
      <c r="G2328">
        <v>0.74448071900000001</v>
      </c>
      <c r="H2328">
        <v>1.06</v>
      </c>
      <c r="I2328">
        <v>1.9956759863876199</v>
      </c>
      <c r="J2328">
        <v>1.7016873584252099</v>
      </c>
      <c r="K2328">
        <v>2.43970536618902</v>
      </c>
      <c r="L2328">
        <v>2.3486310510901101</v>
      </c>
      <c r="M2328">
        <v>1.8486816724064199</v>
      </c>
      <c r="N2328">
        <v>1.84282842325285</v>
      </c>
      <c r="Q2328">
        <f t="shared" si="180"/>
        <v>1.06</v>
      </c>
      <c r="R2328">
        <f t="shared" si="182"/>
        <v>1.6029508336929228</v>
      </c>
      <c r="S2328">
        <f t="shared" si="183"/>
        <v>-0.54295083369292274</v>
      </c>
      <c r="T2328">
        <f t="shared" si="184"/>
        <v>0.29479560780783987</v>
      </c>
    </row>
    <row r="2329" spans="1:20" x14ac:dyDescent="0.25">
      <c r="A2329" t="str">
        <f t="shared" si="181"/>
        <v>SLM</v>
      </c>
      <c r="B2329" t="s">
        <v>2335</v>
      </c>
      <c r="C2329">
        <v>1.2325299729999999</v>
      </c>
      <c r="D2329">
        <v>0.24056243599999999</v>
      </c>
      <c r="E2329">
        <v>0.62898091099999998</v>
      </c>
      <c r="F2329">
        <v>0.49537846899999999</v>
      </c>
      <c r="G2329">
        <v>0.81153635499999999</v>
      </c>
      <c r="H2329">
        <v>2.27</v>
      </c>
      <c r="I2329">
        <v>2.5836554768694602</v>
      </c>
      <c r="J2329">
        <v>2.4975145156290299</v>
      </c>
      <c r="K2329">
        <v>2.5553664444313098</v>
      </c>
      <c r="L2329">
        <v>2.4997237513002402</v>
      </c>
      <c r="M2329">
        <v>2.5405849962492399</v>
      </c>
      <c r="N2329">
        <v>2.5402198835663601</v>
      </c>
      <c r="Q2329">
        <f t="shared" si="180"/>
        <v>2.27</v>
      </c>
      <c r="R2329">
        <f t="shared" si="182"/>
        <v>2.4969798827111598</v>
      </c>
      <c r="S2329">
        <f t="shared" si="183"/>
        <v>-0.22697988271115976</v>
      </c>
      <c r="T2329">
        <f t="shared" si="184"/>
        <v>5.1519867155571844E-2</v>
      </c>
    </row>
    <row r="2330" spans="1:20" x14ac:dyDescent="0.25">
      <c r="A2330" t="str">
        <f t="shared" si="181"/>
        <v>SLM</v>
      </c>
      <c r="B2330" t="s">
        <v>2336</v>
      </c>
      <c r="C2330">
        <v>1.2539962330000001</v>
      </c>
      <c r="D2330">
        <v>0.24627797100000001</v>
      </c>
      <c r="E2330">
        <v>0.64924417099999998</v>
      </c>
      <c r="F2330">
        <v>0.53011861400000004</v>
      </c>
      <c r="G2330">
        <v>0.82598540399999998</v>
      </c>
      <c r="H2330">
        <v>2.46</v>
      </c>
      <c r="I2330">
        <v>2.7945720150632001</v>
      </c>
      <c r="J2330">
        <v>2.7894519347576798</v>
      </c>
      <c r="K2330">
        <v>2.6344688443829201</v>
      </c>
      <c r="L2330">
        <v>2.6016175230642702</v>
      </c>
      <c r="M2330">
        <v>2.79201197491044</v>
      </c>
      <c r="N2330">
        <v>2.79201080123944</v>
      </c>
      <c r="Q2330">
        <f t="shared" si="180"/>
        <v>2.46</v>
      </c>
      <c r="R2330">
        <f t="shared" si="182"/>
        <v>2.81995081289881</v>
      </c>
      <c r="S2330">
        <f t="shared" si="183"/>
        <v>-0.35995081289881004</v>
      </c>
      <c r="T2330">
        <f t="shared" si="184"/>
        <v>0.12956458770651416</v>
      </c>
    </row>
    <row r="2331" spans="1:20" x14ac:dyDescent="0.25">
      <c r="A2331" t="str">
        <f t="shared" si="181"/>
        <v>SLM</v>
      </c>
      <c r="B2331" t="s">
        <v>2337</v>
      </c>
      <c r="C2331">
        <v>1.205088532</v>
      </c>
      <c r="D2331">
        <v>0.24900519900000001</v>
      </c>
      <c r="E2331">
        <v>0.65351499099999999</v>
      </c>
      <c r="F2331">
        <v>0.516505785</v>
      </c>
      <c r="G2331">
        <v>0.83293731800000004</v>
      </c>
      <c r="H2331">
        <v>2.56</v>
      </c>
      <c r="I2331">
        <v>2.8309682895869601</v>
      </c>
      <c r="J2331">
        <v>2.8538558744353102</v>
      </c>
      <c r="K2331">
        <v>2.6194788923577601</v>
      </c>
      <c r="L2331">
        <v>2.6013724992376899</v>
      </c>
      <c r="M2331">
        <v>2.8424120820111298</v>
      </c>
      <c r="N2331">
        <v>2.8423890450777201</v>
      </c>
      <c r="Q2331">
        <f t="shared" si="180"/>
        <v>2.56</v>
      </c>
      <c r="R2331">
        <f t="shared" si="182"/>
        <v>2.8921172830033606</v>
      </c>
      <c r="S2331">
        <f t="shared" si="183"/>
        <v>-0.33211728300336052</v>
      </c>
      <c r="T2331">
        <f t="shared" si="184"/>
        <v>0.11030188966953426</v>
      </c>
    </row>
    <row r="2332" spans="1:20" x14ac:dyDescent="0.25">
      <c r="A2332" t="str">
        <f t="shared" si="181"/>
        <v>SLM</v>
      </c>
      <c r="B2332" t="s">
        <v>2338</v>
      </c>
      <c r="C2332">
        <v>1.4499204750000001</v>
      </c>
      <c r="D2332">
        <v>0.24505470400000001</v>
      </c>
      <c r="E2332">
        <v>0.64348876300000002</v>
      </c>
      <c r="F2332">
        <v>0.54840686400000005</v>
      </c>
      <c r="G2332">
        <v>0.81841432400000003</v>
      </c>
      <c r="H2332">
        <v>2.1800000000000002</v>
      </c>
      <c r="I2332">
        <v>2.5674387692454301</v>
      </c>
      <c r="J2332">
        <v>2.6149426307532901</v>
      </c>
      <c r="K2332">
        <v>2.53910157188698</v>
      </c>
      <c r="L2332">
        <v>2.5231594024783002</v>
      </c>
      <c r="M2332">
        <v>2.5911906999993599</v>
      </c>
      <c r="N2332">
        <v>2.5910818376787401</v>
      </c>
      <c r="Q2332">
        <f t="shared" si="180"/>
        <v>2.1800000000000002</v>
      </c>
      <c r="R2332">
        <f t="shared" si="182"/>
        <v>2.6116173129740199</v>
      </c>
      <c r="S2332">
        <f t="shared" si="183"/>
        <v>-0.43161731297401973</v>
      </c>
      <c r="T2332">
        <f t="shared" si="184"/>
        <v>0.18629350485891291</v>
      </c>
    </row>
    <row r="2333" spans="1:20" x14ac:dyDescent="0.25">
      <c r="A2333" t="str">
        <f t="shared" si="181"/>
        <v>SLM</v>
      </c>
      <c r="B2333" t="s">
        <v>2339</v>
      </c>
      <c r="C2333">
        <v>1.294896421</v>
      </c>
      <c r="D2333">
        <v>0.245240494</v>
      </c>
      <c r="E2333">
        <v>0.64698202400000004</v>
      </c>
      <c r="F2333">
        <v>0.52326939699999997</v>
      </c>
      <c r="G2333">
        <v>0.82491090899999997</v>
      </c>
      <c r="H2333">
        <v>2.58</v>
      </c>
      <c r="I2333">
        <v>2.6800080232768999</v>
      </c>
      <c r="J2333">
        <v>2.6956657427486599</v>
      </c>
      <c r="K2333">
        <v>2.6392314866244702</v>
      </c>
      <c r="L2333">
        <v>2.6430596380610401</v>
      </c>
      <c r="M2333">
        <v>2.6878368830127801</v>
      </c>
      <c r="N2333">
        <v>2.6878254814327298</v>
      </c>
      <c r="Q2333">
        <f t="shared" si="180"/>
        <v>2.58</v>
      </c>
      <c r="R2333">
        <f t="shared" si="182"/>
        <v>2.7109061765093654</v>
      </c>
      <c r="S2333">
        <f t="shared" si="183"/>
        <v>-0.13090617650936531</v>
      </c>
      <c r="T2333">
        <f t="shared" si="184"/>
        <v>1.7136427048301105E-2</v>
      </c>
    </row>
    <row r="2334" spans="1:20" x14ac:dyDescent="0.25">
      <c r="A2334" t="str">
        <f t="shared" si="181"/>
        <v>SLM</v>
      </c>
      <c r="B2334" t="s">
        <v>2340</v>
      </c>
      <c r="C2334">
        <v>1.1981294689999999</v>
      </c>
      <c r="D2334">
        <v>0.23427142400000001</v>
      </c>
      <c r="E2334">
        <v>0.57351018099999995</v>
      </c>
      <c r="F2334">
        <v>0.46537939099999998</v>
      </c>
      <c r="G2334">
        <v>0.77157687600000002</v>
      </c>
      <c r="H2334">
        <v>1.74</v>
      </c>
      <c r="I2334">
        <v>2.4128024493548699</v>
      </c>
      <c r="J2334">
        <v>2.0825237143581901</v>
      </c>
      <c r="K2334">
        <v>2.4863548648183702</v>
      </c>
      <c r="L2334">
        <v>2.2879221753736099</v>
      </c>
      <c r="M2334">
        <v>2.2476630818565302</v>
      </c>
      <c r="N2334">
        <v>2.2415883473205001</v>
      </c>
      <c r="Q2334">
        <f t="shared" si="180"/>
        <v>1.74</v>
      </c>
      <c r="R2334">
        <f t="shared" si="182"/>
        <v>2.0491677886193882</v>
      </c>
      <c r="S2334">
        <f t="shared" si="183"/>
        <v>-0.30916778861938821</v>
      </c>
      <c r="T2334">
        <f t="shared" si="184"/>
        <v>9.5584721519802712E-2</v>
      </c>
    </row>
    <row r="2335" spans="1:20" x14ac:dyDescent="0.25">
      <c r="A2335" t="str">
        <f t="shared" si="181"/>
        <v>SLM</v>
      </c>
      <c r="B2335" t="s">
        <v>2341</v>
      </c>
      <c r="C2335">
        <v>0.89716308899999997</v>
      </c>
      <c r="D2335">
        <v>0.233676932</v>
      </c>
      <c r="E2335">
        <v>0.62207401699999998</v>
      </c>
      <c r="F2335">
        <v>0.47539227899999997</v>
      </c>
      <c r="G2335">
        <v>0.79522525899999996</v>
      </c>
      <c r="H2335">
        <v>1.42</v>
      </c>
      <c r="I2335">
        <v>2.9428224558576601</v>
      </c>
      <c r="J2335">
        <v>2.6052867633624301</v>
      </c>
      <c r="K2335">
        <v>3.1435297747927899</v>
      </c>
      <c r="L2335">
        <v>3.05751290526563</v>
      </c>
      <c r="M2335">
        <v>2.77405460961005</v>
      </c>
      <c r="N2335">
        <v>2.7689161040327099</v>
      </c>
      <c r="Q2335">
        <f t="shared" si="180"/>
        <v>1.42</v>
      </c>
      <c r="R2335">
        <f t="shared" si="182"/>
        <v>2.6474056396039876</v>
      </c>
      <c r="S2335">
        <f t="shared" si="183"/>
        <v>-1.2274056396039876</v>
      </c>
      <c r="T2335">
        <f t="shared" si="184"/>
        <v>1.506524604131674</v>
      </c>
    </row>
    <row r="2336" spans="1:20" x14ac:dyDescent="0.25">
      <c r="A2336" t="str">
        <f t="shared" si="181"/>
        <v>SLM</v>
      </c>
      <c r="B2336" t="s">
        <v>2342</v>
      </c>
      <c r="C2336">
        <v>1.149988633</v>
      </c>
      <c r="D2336">
        <v>0.234742429</v>
      </c>
      <c r="E2336">
        <v>0.60356341400000002</v>
      </c>
      <c r="F2336">
        <v>0.48333934899999997</v>
      </c>
      <c r="G2336">
        <v>0.78441956400000001</v>
      </c>
      <c r="H2336">
        <v>1.23</v>
      </c>
      <c r="I2336">
        <v>2.5967765083305001</v>
      </c>
      <c r="J2336">
        <v>2.3266504615361598</v>
      </c>
      <c r="K2336">
        <v>2.7829779372167298</v>
      </c>
      <c r="L2336">
        <v>2.6993123919226498</v>
      </c>
      <c r="M2336">
        <v>2.46171348493333</v>
      </c>
      <c r="N2336">
        <v>2.45800554548061</v>
      </c>
      <c r="Q2336">
        <f t="shared" si="180"/>
        <v>1.23</v>
      </c>
      <c r="R2336">
        <f t="shared" si="182"/>
        <v>2.3197468583929739</v>
      </c>
      <c r="S2336">
        <f t="shared" si="183"/>
        <v>-1.0897468583929739</v>
      </c>
      <c r="T2336">
        <f t="shared" si="184"/>
        <v>1.1875482153773564</v>
      </c>
    </row>
    <row r="2337" spans="1:20" x14ac:dyDescent="0.25">
      <c r="A2337" t="str">
        <f t="shared" si="181"/>
        <v>SLM</v>
      </c>
      <c r="B2337" t="s">
        <v>2343</v>
      </c>
      <c r="C2337">
        <v>1.2822245720000001</v>
      </c>
      <c r="D2337">
        <v>0.22513005</v>
      </c>
      <c r="E2337">
        <v>0.57449770700000002</v>
      </c>
      <c r="F2337">
        <v>0.49137436000000001</v>
      </c>
      <c r="G2337">
        <v>0.74809606100000003</v>
      </c>
      <c r="H2337">
        <v>1.8</v>
      </c>
      <c r="I2337">
        <v>2.3008855109398598</v>
      </c>
      <c r="J2337">
        <v>1.9266828317057101</v>
      </c>
      <c r="K2337">
        <v>2.78629435179597</v>
      </c>
      <c r="L2337">
        <v>2.7434532704747498</v>
      </c>
      <c r="M2337">
        <v>2.1137841713227798</v>
      </c>
      <c r="N2337">
        <v>2.10548726228591</v>
      </c>
      <c r="Q2337">
        <f t="shared" si="180"/>
        <v>1.8</v>
      </c>
      <c r="R2337">
        <f t="shared" si="182"/>
        <v>1.8664182626981074</v>
      </c>
      <c r="S2337">
        <f t="shared" si="183"/>
        <v>-6.6418262698107355E-2</v>
      </c>
      <c r="T2337">
        <f t="shared" si="184"/>
        <v>4.4113856198347992E-3</v>
      </c>
    </row>
    <row r="2338" spans="1:20" x14ac:dyDescent="0.25">
      <c r="A2338" t="str">
        <f t="shared" si="181"/>
        <v>SLM</v>
      </c>
      <c r="B2338" t="s">
        <v>2344</v>
      </c>
      <c r="C2338">
        <v>1.370395845</v>
      </c>
      <c r="D2338">
        <v>0.23474457500000001</v>
      </c>
      <c r="E2338">
        <v>0.58832042900000003</v>
      </c>
      <c r="F2338">
        <v>0.49061434999999998</v>
      </c>
      <c r="G2338">
        <v>0.76522824300000003</v>
      </c>
      <c r="H2338">
        <v>1.92</v>
      </c>
      <c r="I2338">
        <v>2.2903628800037601</v>
      </c>
      <c r="J2338">
        <v>2.0713058674879599</v>
      </c>
      <c r="K2338">
        <v>2.65644416523386</v>
      </c>
      <c r="L2338">
        <v>2.6342112794010499</v>
      </c>
      <c r="M2338">
        <v>2.18083437374586</v>
      </c>
      <c r="N2338">
        <v>2.1780822004755498</v>
      </c>
      <c r="Q2338">
        <f t="shared" si="180"/>
        <v>1.92</v>
      </c>
      <c r="R2338">
        <f t="shared" si="182"/>
        <v>2.0197180068647151</v>
      </c>
      <c r="S2338">
        <f t="shared" si="183"/>
        <v>-9.9718006864715214E-2</v>
      </c>
      <c r="T2338">
        <f t="shared" si="184"/>
        <v>9.943680893071391E-3</v>
      </c>
    </row>
    <row r="2339" spans="1:20" x14ac:dyDescent="0.25">
      <c r="A2339" t="str">
        <f t="shared" si="181"/>
        <v>SLM</v>
      </c>
      <c r="B2339" t="s">
        <v>2345</v>
      </c>
      <c r="C2339">
        <v>1.20175714</v>
      </c>
      <c r="D2339">
        <v>0.222428924</v>
      </c>
      <c r="E2339">
        <v>0.53477451399999998</v>
      </c>
      <c r="F2339">
        <v>0.41661109899999998</v>
      </c>
      <c r="G2339">
        <v>0.70220355099999998</v>
      </c>
      <c r="H2339">
        <v>0.74</v>
      </c>
      <c r="I2339">
        <v>1.91256486326063</v>
      </c>
      <c r="J2339">
        <v>1.52619062111556</v>
      </c>
      <c r="K2339">
        <v>2.77161513326977</v>
      </c>
      <c r="L2339">
        <v>2.60755058427109</v>
      </c>
      <c r="M2339">
        <v>1.7193777421881</v>
      </c>
      <c r="N2339">
        <v>1.7084901394458101</v>
      </c>
      <c r="Q2339">
        <f t="shared" si="180"/>
        <v>0.74</v>
      </c>
      <c r="R2339">
        <f t="shared" si="182"/>
        <v>1.4235723099643733</v>
      </c>
      <c r="S2339">
        <f t="shared" si="183"/>
        <v>-0.68357230996437335</v>
      </c>
      <c r="T2339">
        <f t="shared" si="184"/>
        <v>0.46727110295002933</v>
      </c>
    </row>
    <row r="2340" spans="1:20" x14ac:dyDescent="0.25">
      <c r="A2340" t="str">
        <f t="shared" si="181"/>
        <v>SLM</v>
      </c>
      <c r="B2340" t="s">
        <v>2346</v>
      </c>
      <c r="C2340">
        <v>1.096361036</v>
      </c>
      <c r="D2340">
        <v>0.24372560300000001</v>
      </c>
      <c r="E2340">
        <v>0.64540433500000005</v>
      </c>
      <c r="F2340">
        <v>0.50044075300000002</v>
      </c>
      <c r="G2340">
        <v>0.81541907999999996</v>
      </c>
      <c r="H2340">
        <v>3.14</v>
      </c>
      <c r="I2340">
        <v>2.8867087338233901</v>
      </c>
      <c r="J2340">
        <v>2.7770267201897698</v>
      </c>
      <c r="K2340">
        <v>3.1204643922876301</v>
      </c>
      <c r="L2340">
        <v>3.1513180967972798</v>
      </c>
      <c r="M2340">
        <v>2.8318677270065802</v>
      </c>
      <c r="N2340">
        <v>2.83133666087816</v>
      </c>
      <c r="Q2340">
        <f t="shared" si="180"/>
        <v>3.14</v>
      </c>
      <c r="R2340">
        <f t="shared" si="182"/>
        <v>2.8175001683185248</v>
      </c>
      <c r="S2340">
        <f t="shared" si="183"/>
        <v>0.32249983168147534</v>
      </c>
      <c r="T2340">
        <f t="shared" si="184"/>
        <v>0.10400614143457992</v>
      </c>
    </row>
    <row r="2341" spans="1:20" x14ac:dyDescent="0.25">
      <c r="A2341" t="str">
        <f t="shared" si="181"/>
        <v>SLM</v>
      </c>
      <c r="B2341" t="s">
        <v>2347</v>
      </c>
      <c r="C2341">
        <v>1.2217772579999999</v>
      </c>
      <c r="D2341">
        <v>0.242479378</v>
      </c>
      <c r="E2341">
        <v>0.61654548099999995</v>
      </c>
      <c r="F2341">
        <v>0.48717943800000002</v>
      </c>
      <c r="G2341">
        <v>0.79230756300000005</v>
      </c>
      <c r="H2341">
        <v>1.97</v>
      </c>
      <c r="I2341">
        <v>2.6176611559804699</v>
      </c>
      <c r="J2341">
        <v>2.4601011926930298</v>
      </c>
      <c r="K2341">
        <v>2.85238494494401</v>
      </c>
      <c r="L2341">
        <v>2.8438409191627598</v>
      </c>
      <c r="M2341">
        <v>2.5388811743367499</v>
      </c>
      <c r="N2341">
        <v>2.5376586318679202</v>
      </c>
      <c r="Q2341">
        <f t="shared" si="180"/>
        <v>1.97</v>
      </c>
      <c r="R2341">
        <f t="shared" si="182"/>
        <v>2.4591257915170819</v>
      </c>
      <c r="S2341">
        <f t="shared" si="183"/>
        <v>-0.48912579151708191</v>
      </c>
      <c r="T2341">
        <f t="shared" si="184"/>
        <v>0.23924403992721188</v>
      </c>
    </row>
    <row r="2342" spans="1:20" x14ac:dyDescent="0.25">
      <c r="A2342" t="str">
        <f t="shared" si="181"/>
        <v>SLM</v>
      </c>
      <c r="B2342" t="s">
        <v>2348</v>
      </c>
      <c r="C2342">
        <v>1.1966257410000001</v>
      </c>
      <c r="D2342">
        <v>0.24724084199999999</v>
      </c>
      <c r="E2342">
        <v>0.63120549299999995</v>
      </c>
      <c r="F2342">
        <v>0.49248234899999999</v>
      </c>
      <c r="G2342">
        <v>0.81567364200000003</v>
      </c>
      <c r="H2342">
        <v>2.65</v>
      </c>
      <c r="I2342">
        <v>2.72090665234375</v>
      </c>
      <c r="J2342">
        <v>2.6484475041305799</v>
      </c>
      <c r="K2342">
        <v>2.6536545158930802</v>
      </c>
      <c r="L2342">
        <v>2.6358316838634801</v>
      </c>
      <c r="M2342">
        <v>2.6846770782371698</v>
      </c>
      <c r="N2342">
        <v>2.6844326090204</v>
      </c>
      <c r="Q2342">
        <f t="shared" si="180"/>
        <v>2.65</v>
      </c>
      <c r="R2342">
        <f t="shared" si="182"/>
        <v>2.6674025879011554</v>
      </c>
      <c r="S2342">
        <f t="shared" si="183"/>
        <v>-1.7402587901155453E-2</v>
      </c>
      <c r="T2342">
        <f t="shared" si="184"/>
        <v>3.0285006565744217E-4</v>
      </c>
    </row>
    <row r="2343" spans="1:20" x14ac:dyDescent="0.25">
      <c r="A2343" t="str">
        <f t="shared" si="181"/>
        <v>SLM</v>
      </c>
      <c r="B2343" t="s">
        <v>2349</v>
      </c>
      <c r="C2343">
        <v>1.0075199130000001</v>
      </c>
      <c r="D2343">
        <v>0.25062701199999998</v>
      </c>
      <c r="E2343">
        <v>0.62539808200000002</v>
      </c>
      <c r="F2343">
        <v>0.43843681400000001</v>
      </c>
      <c r="G2343">
        <v>0.81778964399999998</v>
      </c>
      <c r="H2343">
        <v>1.28</v>
      </c>
      <c r="I2343">
        <v>2.7906388340422401</v>
      </c>
      <c r="J2343">
        <v>2.67097617717757</v>
      </c>
      <c r="K2343">
        <v>2.8792963152557398</v>
      </c>
      <c r="L2343">
        <v>2.7656218387192499</v>
      </c>
      <c r="M2343">
        <v>2.7308075056099002</v>
      </c>
      <c r="N2343">
        <v>2.73015198200273</v>
      </c>
      <c r="Q2343">
        <f t="shared" si="180"/>
        <v>1.28</v>
      </c>
      <c r="R2343">
        <f t="shared" si="182"/>
        <v>2.7024622052617704</v>
      </c>
      <c r="S2343">
        <f t="shared" si="183"/>
        <v>-1.4224622052617704</v>
      </c>
      <c r="T2343">
        <f t="shared" si="184"/>
        <v>2.0233987253981791</v>
      </c>
    </row>
    <row r="2344" spans="1:20" x14ac:dyDescent="0.25">
      <c r="A2344" t="str">
        <f t="shared" si="181"/>
        <v>SLM</v>
      </c>
      <c r="B2344" t="s">
        <v>2350</v>
      </c>
      <c r="C2344">
        <v>1.094871221</v>
      </c>
      <c r="D2344">
        <v>0.24478000999999999</v>
      </c>
      <c r="E2344">
        <v>0.63950418899999995</v>
      </c>
      <c r="F2344">
        <v>0.49923319199999999</v>
      </c>
      <c r="G2344">
        <v>0.81461129399999999</v>
      </c>
      <c r="H2344">
        <v>2</v>
      </c>
      <c r="I2344">
        <v>2.8952647452689799</v>
      </c>
      <c r="J2344">
        <v>2.7677682364831702</v>
      </c>
      <c r="K2344">
        <v>3.12495659528305</v>
      </c>
      <c r="L2344">
        <v>3.0985287675393698</v>
      </c>
      <c r="M2344">
        <v>2.8315164908760799</v>
      </c>
      <c r="N2344">
        <v>2.8307987915365902</v>
      </c>
      <c r="Q2344">
        <f t="shared" si="180"/>
        <v>2</v>
      </c>
      <c r="R2344">
        <f t="shared" si="182"/>
        <v>2.8090886597810467</v>
      </c>
      <c r="S2344">
        <f t="shared" si="183"/>
        <v>-0.80908865978104672</v>
      </c>
      <c r="T2344">
        <f t="shared" si="184"/>
        <v>0.65462445938629032</v>
      </c>
    </row>
    <row r="2345" spans="1:20" x14ac:dyDescent="0.25">
      <c r="A2345" t="str">
        <f t="shared" si="181"/>
        <v>SLM</v>
      </c>
      <c r="B2345" t="s">
        <v>2351</v>
      </c>
      <c r="C2345">
        <v>1.0078794929999999</v>
      </c>
      <c r="D2345">
        <v>0.249958663</v>
      </c>
      <c r="E2345">
        <v>0.638369034</v>
      </c>
      <c r="F2345">
        <v>0.48568069800000002</v>
      </c>
      <c r="G2345">
        <v>0.81918486300000004</v>
      </c>
      <c r="H2345">
        <v>1.99</v>
      </c>
      <c r="I2345">
        <v>3.0337708160382202</v>
      </c>
      <c r="J2345">
        <v>2.8889410389075101</v>
      </c>
      <c r="K2345">
        <v>3.1076420417956299</v>
      </c>
      <c r="L2345">
        <v>3.0722944397625702</v>
      </c>
      <c r="M2345">
        <v>2.96135592747286</v>
      </c>
      <c r="N2345">
        <v>2.9604704040224301</v>
      </c>
      <c r="Q2345">
        <f t="shared" si="180"/>
        <v>1.99</v>
      </c>
      <c r="R2345">
        <f t="shared" si="182"/>
        <v>2.9500127353457657</v>
      </c>
      <c r="S2345">
        <f t="shared" si="183"/>
        <v>-0.9600127353457657</v>
      </c>
      <c r="T2345">
        <f t="shared" si="184"/>
        <v>0.92162445202605914</v>
      </c>
    </row>
    <row r="2346" spans="1:20" x14ac:dyDescent="0.25">
      <c r="A2346" t="str">
        <f t="shared" si="181"/>
        <v>SLM</v>
      </c>
      <c r="B2346" t="s">
        <v>2352</v>
      </c>
      <c r="C2346">
        <v>0.86026986400000005</v>
      </c>
      <c r="D2346">
        <v>0.25256677799999999</v>
      </c>
      <c r="E2346">
        <v>0.66416511700000003</v>
      </c>
      <c r="F2346">
        <v>0.393452258</v>
      </c>
      <c r="G2346">
        <v>0.84927041400000003</v>
      </c>
      <c r="H2346">
        <v>1.78</v>
      </c>
      <c r="I2346">
        <v>2.81535565298763</v>
      </c>
      <c r="J2346">
        <v>2.8537472296617001</v>
      </c>
      <c r="K2346">
        <v>2.6326315960987601</v>
      </c>
      <c r="L2346">
        <v>2.5465281137856999</v>
      </c>
      <c r="M2346">
        <v>2.8345514413246602</v>
      </c>
      <c r="N2346">
        <v>2.8344864429426799</v>
      </c>
      <c r="Q2346">
        <f t="shared" si="180"/>
        <v>1.78</v>
      </c>
      <c r="R2346">
        <f t="shared" si="182"/>
        <v>2.8979744235195066</v>
      </c>
      <c r="S2346">
        <f t="shared" si="183"/>
        <v>-1.1179744235195066</v>
      </c>
      <c r="T2346">
        <f t="shared" si="184"/>
        <v>1.249866811643773</v>
      </c>
    </row>
    <row r="2347" spans="1:20" x14ac:dyDescent="0.25">
      <c r="A2347" t="str">
        <f t="shared" si="181"/>
        <v>SLM</v>
      </c>
      <c r="B2347" t="s">
        <v>2353</v>
      </c>
      <c r="C2347">
        <v>1.182892499</v>
      </c>
      <c r="D2347">
        <v>0.25241196399999999</v>
      </c>
      <c r="E2347">
        <v>0.65104473500000004</v>
      </c>
      <c r="F2347">
        <v>0.43352590200000002</v>
      </c>
      <c r="G2347">
        <v>0.83410360800000005</v>
      </c>
      <c r="H2347">
        <v>2.14</v>
      </c>
      <c r="I2347">
        <v>2.5065273719552001</v>
      </c>
      <c r="J2347">
        <v>2.6185628495814899</v>
      </c>
      <c r="K2347">
        <v>2.4260712003172999</v>
      </c>
      <c r="L2347">
        <v>2.3847820903437098</v>
      </c>
      <c r="M2347">
        <v>2.5625451107683501</v>
      </c>
      <c r="N2347">
        <v>2.5619327582239602</v>
      </c>
      <c r="Q2347">
        <f t="shared" si="180"/>
        <v>2.14</v>
      </c>
      <c r="R2347">
        <f t="shared" si="182"/>
        <v>2.6162619770180768</v>
      </c>
      <c r="S2347">
        <f t="shared" si="183"/>
        <v>-0.47626197701807671</v>
      </c>
      <c r="T2347">
        <f t="shared" si="184"/>
        <v>0.22682547075316703</v>
      </c>
    </row>
    <row r="2348" spans="1:20" x14ac:dyDescent="0.25">
      <c r="A2348" t="str">
        <f t="shared" si="181"/>
        <v>SLM</v>
      </c>
      <c r="B2348" t="s">
        <v>2354</v>
      </c>
      <c r="C2348">
        <v>1.236839639</v>
      </c>
      <c r="D2348">
        <v>0.24216486700000001</v>
      </c>
      <c r="E2348">
        <v>0.61493858000000001</v>
      </c>
      <c r="F2348">
        <v>0.459954113</v>
      </c>
      <c r="G2348">
        <v>0.79007217600000001</v>
      </c>
      <c r="H2348">
        <v>1.68</v>
      </c>
      <c r="I2348">
        <v>2.4364626587165201</v>
      </c>
      <c r="J2348">
        <v>2.3328748143800402</v>
      </c>
      <c r="K2348">
        <v>2.8020283962646402</v>
      </c>
      <c r="L2348">
        <v>2.7386398381175798</v>
      </c>
      <c r="M2348">
        <v>2.3846687365482802</v>
      </c>
      <c r="N2348">
        <v>2.3841061999619901</v>
      </c>
      <c r="Q2348">
        <f t="shared" si="180"/>
        <v>1.68</v>
      </c>
      <c r="R2348">
        <f t="shared" si="182"/>
        <v>2.3111069843013752</v>
      </c>
      <c r="S2348">
        <f t="shared" si="183"/>
        <v>-0.63110698430137524</v>
      </c>
      <c r="T2348">
        <f t="shared" si="184"/>
        <v>0.39829602563397631</v>
      </c>
    </row>
    <row r="2349" spans="1:20" x14ac:dyDescent="0.25">
      <c r="A2349" t="str">
        <f t="shared" si="181"/>
        <v>SLM</v>
      </c>
      <c r="B2349" t="s">
        <v>2355</v>
      </c>
      <c r="C2349">
        <v>1.129764593</v>
      </c>
      <c r="D2349">
        <v>0.24549555300000001</v>
      </c>
      <c r="E2349">
        <v>0.61386858099999997</v>
      </c>
      <c r="F2349">
        <v>0.42425197100000001</v>
      </c>
      <c r="G2349">
        <v>0.790199557</v>
      </c>
      <c r="H2349">
        <v>1.88</v>
      </c>
      <c r="I2349">
        <v>2.4670485642458102</v>
      </c>
      <c r="J2349">
        <v>2.3614498241672801</v>
      </c>
      <c r="K2349">
        <v>2.9221916551015399</v>
      </c>
      <c r="L2349">
        <v>2.8551815325552501</v>
      </c>
      <c r="M2349">
        <v>2.4142491942065498</v>
      </c>
      <c r="N2349">
        <v>2.4136717668834802</v>
      </c>
      <c r="Q2349">
        <f t="shared" si="180"/>
        <v>1.88</v>
      </c>
      <c r="R2349">
        <f t="shared" si="182"/>
        <v>2.3471151133562191</v>
      </c>
      <c r="S2349">
        <f t="shared" si="183"/>
        <v>-0.46711511335621925</v>
      </c>
      <c r="T2349">
        <f t="shared" si="184"/>
        <v>0.21819652912579357</v>
      </c>
    </row>
    <row r="2350" spans="1:20" x14ac:dyDescent="0.25">
      <c r="A2350" t="str">
        <f t="shared" si="181"/>
        <v>SLM</v>
      </c>
      <c r="B2350" t="s">
        <v>2356</v>
      </c>
      <c r="C2350">
        <v>2.2731341650000001</v>
      </c>
      <c r="D2350">
        <v>0.36609019900000001</v>
      </c>
      <c r="E2350">
        <v>0.42999401500000001</v>
      </c>
      <c r="F2350">
        <v>0.447433898</v>
      </c>
      <c r="G2350">
        <v>0.72674334399999996</v>
      </c>
      <c r="H2350">
        <v>1.19</v>
      </c>
      <c r="I2350">
        <v>1.4302307249511199</v>
      </c>
      <c r="J2350">
        <v>1.77492498525993</v>
      </c>
      <c r="K2350">
        <v>0.76839030256361696</v>
      </c>
      <c r="L2350">
        <v>0.93624656919109395</v>
      </c>
      <c r="M2350">
        <v>1.6025778551055301</v>
      </c>
      <c r="N2350">
        <v>1.5932834802389</v>
      </c>
      <c r="Q2350">
        <f t="shared" si="180"/>
        <v>1.19</v>
      </c>
      <c r="R2350">
        <f t="shared" si="182"/>
        <v>1.6085849197276829</v>
      </c>
      <c r="S2350">
        <f t="shared" si="183"/>
        <v>-0.41858491972768297</v>
      </c>
      <c r="T2350">
        <f t="shared" si="184"/>
        <v>0.17521333502343078</v>
      </c>
    </row>
    <row r="2351" spans="1:20" x14ac:dyDescent="0.25">
      <c r="A2351" t="str">
        <f t="shared" si="181"/>
        <v>SLM</v>
      </c>
      <c r="B2351" t="s">
        <v>2357</v>
      </c>
      <c r="C2351">
        <v>2.2406615919999999</v>
      </c>
      <c r="D2351">
        <v>0.37748116700000001</v>
      </c>
      <c r="E2351">
        <v>0.403305794</v>
      </c>
      <c r="F2351">
        <v>0.42379844900000002</v>
      </c>
      <c r="G2351">
        <v>0.72194027599999999</v>
      </c>
      <c r="H2351">
        <v>1.04</v>
      </c>
      <c r="I2351">
        <v>1.30184786874023</v>
      </c>
      <c r="J2351">
        <v>1.64622641627335</v>
      </c>
      <c r="K2351">
        <v>0.69418017439375701</v>
      </c>
      <c r="L2351">
        <v>0.82182885878265299</v>
      </c>
      <c r="M2351">
        <v>1.47403714250679</v>
      </c>
      <c r="N2351">
        <v>1.46394547422003</v>
      </c>
      <c r="Q2351">
        <f t="shared" si="180"/>
        <v>1.04</v>
      </c>
      <c r="R2351">
        <f t="shared" si="182"/>
        <v>1.4719370971511716</v>
      </c>
      <c r="S2351">
        <f t="shared" si="183"/>
        <v>-0.43193709715117157</v>
      </c>
      <c r="T2351">
        <f t="shared" si="184"/>
        <v>0.18656965589538063</v>
      </c>
    </row>
    <row r="2352" spans="1:20" x14ac:dyDescent="0.25">
      <c r="A2352" t="str">
        <f t="shared" si="181"/>
        <v>SLM</v>
      </c>
      <c r="B2352" t="s">
        <v>2358</v>
      </c>
      <c r="C2352">
        <v>2.2649810119999998</v>
      </c>
      <c r="D2352">
        <v>0.37226738199999998</v>
      </c>
      <c r="E2352">
        <v>0.41431785500000001</v>
      </c>
      <c r="F2352">
        <v>0.42984529500000002</v>
      </c>
      <c r="G2352">
        <v>0.72254739999999995</v>
      </c>
      <c r="H2352">
        <v>1.06</v>
      </c>
      <c r="I2352">
        <v>1.28334475625165</v>
      </c>
      <c r="J2352">
        <v>1.6719116782036401</v>
      </c>
      <c r="K2352">
        <v>0.71574892105122001</v>
      </c>
      <c r="L2352">
        <v>0.87084781483969798</v>
      </c>
      <c r="M2352">
        <v>1.47762821722765</v>
      </c>
      <c r="N2352">
        <v>1.4648000154077501</v>
      </c>
      <c r="Q2352">
        <f t="shared" si="180"/>
        <v>1.06</v>
      </c>
      <c r="R2352">
        <f t="shared" si="182"/>
        <v>1.4961360746985419</v>
      </c>
      <c r="S2352">
        <f t="shared" si="183"/>
        <v>-0.43613607469854188</v>
      </c>
      <c r="T2352">
        <f t="shared" si="184"/>
        <v>0.1902146756534521</v>
      </c>
    </row>
    <row r="2353" spans="1:20" x14ac:dyDescent="0.25">
      <c r="A2353" t="str">
        <f t="shared" si="181"/>
        <v>SLM</v>
      </c>
      <c r="B2353" t="s">
        <v>2359</v>
      </c>
      <c r="C2353">
        <v>2.2614790920000001</v>
      </c>
      <c r="D2353">
        <v>0.37947903999999999</v>
      </c>
      <c r="E2353">
        <v>0.392644932</v>
      </c>
      <c r="F2353">
        <v>0.41133645699999999</v>
      </c>
      <c r="G2353">
        <v>0.71374064000000004</v>
      </c>
      <c r="H2353">
        <v>0.92</v>
      </c>
      <c r="I2353">
        <v>1.07897055006695</v>
      </c>
      <c r="J2353">
        <v>1.52624391270668</v>
      </c>
      <c r="K2353">
        <v>0.66593859147135903</v>
      </c>
      <c r="L2353">
        <v>0.81366935305368604</v>
      </c>
      <c r="M2353">
        <v>1.30260723138682</v>
      </c>
      <c r="N2353">
        <v>1.2832662366124401</v>
      </c>
      <c r="Q2353">
        <f t="shared" si="180"/>
        <v>0.92</v>
      </c>
      <c r="R2353">
        <f t="shared" si="182"/>
        <v>1.3384362950845419</v>
      </c>
      <c r="S2353">
        <f t="shared" si="183"/>
        <v>-0.41843629508454183</v>
      </c>
      <c r="T2353">
        <f t="shared" si="184"/>
        <v>0.17508893304407777</v>
      </c>
    </row>
    <row r="2354" spans="1:20" x14ac:dyDescent="0.25">
      <c r="A2354" t="str">
        <f t="shared" si="181"/>
        <v>SLM</v>
      </c>
      <c r="B2354" t="s">
        <v>2360</v>
      </c>
      <c r="C2354">
        <v>2.2560630229999998</v>
      </c>
      <c r="D2354">
        <v>0.376333947</v>
      </c>
      <c r="E2354">
        <v>0.42148485899999999</v>
      </c>
      <c r="F2354">
        <v>0.451936483</v>
      </c>
      <c r="G2354">
        <v>0.73111041600000004</v>
      </c>
      <c r="H2354">
        <v>0.92</v>
      </c>
      <c r="I2354">
        <v>1.5896163526184399</v>
      </c>
      <c r="J2354">
        <v>1.84271266672784</v>
      </c>
      <c r="K2354">
        <v>0.80307764470912502</v>
      </c>
      <c r="L2354">
        <v>1.0202511836303201</v>
      </c>
      <c r="M2354">
        <v>1.7161645096731399</v>
      </c>
      <c r="N2354">
        <v>1.71149238625467</v>
      </c>
      <c r="Q2354">
        <f t="shared" si="180"/>
        <v>0.92</v>
      </c>
      <c r="R2354">
        <f t="shared" si="182"/>
        <v>1.6857718526866905</v>
      </c>
      <c r="S2354">
        <f t="shared" si="183"/>
        <v>-0.76577185268669046</v>
      </c>
      <c r="T2354">
        <f t="shared" si="184"/>
        <v>0.58640653036720636</v>
      </c>
    </row>
    <row r="2355" spans="1:20" x14ac:dyDescent="0.25">
      <c r="A2355" t="str">
        <f t="shared" si="181"/>
        <v>SLM</v>
      </c>
      <c r="B2355" t="s">
        <v>2361</v>
      </c>
      <c r="C2355">
        <v>2.1896523999999999</v>
      </c>
      <c r="D2355">
        <v>0.36120597300000001</v>
      </c>
      <c r="E2355">
        <v>0.39841577500000003</v>
      </c>
      <c r="F2355">
        <v>0.42031170600000001</v>
      </c>
      <c r="G2355">
        <v>0.71496732299999999</v>
      </c>
      <c r="H2355">
        <v>1.03</v>
      </c>
      <c r="I2355">
        <v>1.28020937329521</v>
      </c>
      <c r="J2355">
        <v>1.5190695679185</v>
      </c>
      <c r="K2355">
        <v>0.80389059107688998</v>
      </c>
      <c r="L2355">
        <v>0.94210128506338797</v>
      </c>
      <c r="M2355">
        <v>1.39963947060685</v>
      </c>
      <c r="N2355">
        <v>1.39453472510969</v>
      </c>
      <c r="Q2355">
        <f t="shared" si="180"/>
        <v>1.03</v>
      </c>
      <c r="R2355">
        <f t="shared" si="182"/>
        <v>1.345087860650692</v>
      </c>
      <c r="S2355">
        <f t="shared" si="183"/>
        <v>-0.31508786065069194</v>
      </c>
      <c r="T2355">
        <f t="shared" si="184"/>
        <v>9.9280359929429865E-2</v>
      </c>
    </row>
    <row r="2356" spans="1:20" x14ac:dyDescent="0.25">
      <c r="A2356" t="str">
        <f t="shared" si="181"/>
        <v>SLM</v>
      </c>
      <c r="B2356" t="s">
        <v>2362</v>
      </c>
      <c r="C2356">
        <v>1.8899765310000001</v>
      </c>
      <c r="D2356">
        <v>0.37948662</v>
      </c>
      <c r="E2356">
        <v>0.325772332</v>
      </c>
      <c r="F2356">
        <v>0.34913866500000001</v>
      </c>
      <c r="G2356">
        <v>0.67241935500000005</v>
      </c>
      <c r="H2356">
        <v>0.74</v>
      </c>
      <c r="I2356">
        <v>1.14737465986844</v>
      </c>
      <c r="J2356">
        <v>1.2318272003948501</v>
      </c>
      <c r="K2356">
        <v>0.98040162707059197</v>
      </c>
      <c r="L2356">
        <v>0.78263588293179698</v>
      </c>
      <c r="M2356">
        <v>1.1896009301316399</v>
      </c>
      <c r="N2356">
        <v>1.1888512585978701</v>
      </c>
      <c r="Q2356">
        <f t="shared" si="180"/>
        <v>0.74</v>
      </c>
      <c r="R2356">
        <f t="shared" si="182"/>
        <v>1.0708940671768219</v>
      </c>
      <c r="S2356">
        <f t="shared" si="183"/>
        <v>-0.3308940671768219</v>
      </c>
      <c r="T2356">
        <f t="shared" si="184"/>
        <v>0.10949088369281913</v>
      </c>
    </row>
    <row r="2357" spans="1:20" x14ac:dyDescent="0.25">
      <c r="A2357" t="str">
        <f t="shared" si="181"/>
        <v>SLM</v>
      </c>
      <c r="B2357" t="s">
        <v>2363</v>
      </c>
      <c r="C2357">
        <v>2.1508432769999999</v>
      </c>
      <c r="D2357">
        <v>0.38255957699999998</v>
      </c>
      <c r="E2357">
        <v>0.34884411199999998</v>
      </c>
      <c r="F2357">
        <v>0.37405912600000002</v>
      </c>
      <c r="G2357">
        <v>0.68780051399999997</v>
      </c>
      <c r="H2357">
        <v>0.68</v>
      </c>
      <c r="I2357">
        <v>0.80054509970880205</v>
      </c>
      <c r="J2357">
        <v>1.23563642614605</v>
      </c>
      <c r="K2357">
        <v>0.68607652659348095</v>
      </c>
      <c r="L2357">
        <v>0.71507032999984699</v>
      </c>
      <c r="M2357">
        <v>1.0180907629274301</v>
      </c>
      <c r="N2357">
        <v>0.994576636550912</v>
      </c>
      <c r="Q2357">
        <f t="shared" si="180"/>
        <v>0.68</v>
      </c>
      <c r="R2357">
        <f t="shared" si="182"/>
        <v>1.0404197447777026</v>
      </c>
      <c r="S2357">
        <f t="shared" si="183"/>
        <v>-0.36041974477770256</v>
      </c>
      <c r="T2357">
        <f t="shared" si="184"/>
        <v>0.12990239242562424</v>
      </c>
    </row>
    <row r="2358" spans="1:20" x14ac:dyDescent="0.25">
      <c r="A2358" t="str">
        <f t="shared" si="181"/>
        <v>SLM</v>
      </c>
      <c r="B2358" t="s">
        <v>2364</v>
      </c>
      <c r="C2358">
        <v>2.1698683550000002</v>
      </c>
      <c r="D2358">
        <v>0.38214268699999998</v>
      </c>
      <c r="E2358">
        <v>0.34758866799999999</v>
      </c>
      <c r="F2358">
        <v>0.37745120300000001</v>
      </c>
      <c r="G2358">
        <v>0.69479551299999998</v>
      </c>
      <c r="H2358">
        <v>0.69</v>
      </c>
      <c r="I2358">
        <v>0.81835341000728101</v>
      </c>
      <c r="J2358">
        <v>1.2177920148829899</v>
      </c>
      <c r="K2358">
        <v>0.635215777414883</v>
      </c>
      <c r="L2358">
        <v>0.68598258246032695</v>
      </c>
      <c r="M2358">
        <v>1.0180727124451301</v>
      </c>
      <c r="N2358">
        <v>0.99829066311327297</v>
      </c>
      <c r="Q2358">
        <f t="shared" si="180"/>
        <v>0.69</v>
      </c>
      <c r="R2358">
        <f t="shared" si="182"/>
        <v>1.0201509031755935</v>
      </c>
      <c r="S2358">
        <f t="shared" si="183"/>
        <v>-0.33015090317559359</v>
      </c>
      <c r="T2358">
        <f t="shared" si="184"/>
        <v>0.10899961886766017</v>
      </c>
    </row>
    <row r="2359" spans="1:20" x14ac:dyDescent="0.25">
      <c r="A2359" t="str">
        <f t="shared" si="181"/>
        <v>SLM</v>
      </c>
      <c r="B2359" t="s">
        <v>2365</v>
      </c>
      <c r="C2359">
        <v>2.091165342</v>
      </c>
      <c r="D2359">
        <v>0.37687921600000002</v>
      </c>
      <c r="E2359">
        <v>0.36265967599999999</v>
      </c>
      <c r="F2359">
        <v>0.39425913899999998</v>
      </c>
      <c r="G2359">
        <v>0.69630119999999995</v>
      </c>
      <c r="H2359">
        <v>0.85</v>
      </c>
      <c r="I2359">
        <v>1.2568987098112201</v>
      </c>
      <c r="J2359">
        <v>1.4181773075628901</v>
      </c>
      <c r="K2359">
        <v>0.84884281431183894</v>
      </c>
      <c r="L2359">
        <v>0.89337783043932195</v>
      </c>
      <c r="M2359">
        <v>1.3375380086870501</v>
      </c>
      <c r="N2359">
        <v>1.33510495024149</v>
      </c>
      <c r="Q2359">
        <f t="shared" si="180"/>
        <v>0.85</v>
      </c>
      <c r="R2359">
        <f t="shared" si="182"/>
        <v>1.248772697473064</v>
      </c>
      <c r="S2359">
        <f t="shared" si="183"/>
        <v>-0.39877269747306399</v>
      </c>
      <c r="T2359">
        <f t="shared" si="184"/>
        <v>0.15901966424994382</v>
      </c>
    </row>
    <row r="2360" spans="1:20" x14ac:dyDescent="0.25">
      <c r="A2360" t="str">
        <f t="shared" si="181"/>
        <v>SLM</v>
      </c>
      <c r="B2360" t="s">
        <v>2366</v>
      </c>
      <c r="C2360">
        <v>2.1959440520000002</v>
      </c>
      <c r="D2360">
        <v>0.36731812699999999</v>
      </c>
      <c r="E2360">
        <v>0.387193758</v>
      </c>
      <c r="F2360">
        <v>0.41667826200000002</v>
      </c>
      <c r="G2360">
        <v>0.70731320499999994</v>
      </c>
      <c r="H2360">
        <v>0.66</v>
      </c>
      <c r="I2360">
        <v>1.2287659658631001</v>
      </c>
      <c r="J2360">
        <v>1.4788765889975299</v>
      </c>
      <c r="K2360">
        <v>0.71447261283372898</v>
      </c>
      <c r="L2360">
        <v>0.85894147683097999</v>
      </c>
      <c r="M2360">
        <v>1.35382127743032</v>
      </c>
      <c r="N2360">
        <v>1.3480330931664399</v>
      </c>
      <c r="Q2360">
        <f t="shared" si="180"/>
        <v>0.66</v>
      </c>
      <c r="R2360">
        <f t="shared" si="182"/>
        <v>1.3018403419684041</v>
      </c>
      <c r="S2360">
        <f t="shared" si="183"/>
        <v>-0.64184034196840412</v>
      </c>
      <c r="T2360">
        <f t="shared" si="184"/>
        <v>0.41195902457811795</v>
      </c>
    </row>
    <row r="2361" spans="1:20" x14ac:dyDescent="0.25">
      <c r="A2361" t="str">
        <f t="shared" si="181"/>
        <v>SLM</v>
      </c>
      <c r="B2361" t="s">
        <v>2367</v>
      </c>
      <c r="C2361">
        <v>2.0725274420000002</v>
      </c>
      <c r="D2361">
        <v>0.35782250900000001</v>
      </c>
      <c r="E2361">
        <v>0.33558800599999999</v>
      </c>
      <c r="F2361">
        <v>0.36816147999999999</v>
      </c>
      <c r="G2361">
        <v>0.66692535100000006</v>
      </c>
      <c r="H2361">
        <v>0.99</v>
      </c>
      <c r="I2361">
        <v>0.75198145801589</v>
      </c>
      <c r="J2361">
        <v>1.0288795924418801</v>
      </c>
      <c r="K2361">
        <v>0.78500741663245299</v>
      </c>
      <c r="L2361">
        <v>0.75559528294104605</v>
      </c>
      <c r="M2361">
        <v>0.89043052522888899</v>
      </c>
      <c r="N2361">
        <v>0.87960125968943803</v>
      </c>
      <c r="Q2361">
        <f t="shared" si="180"/>
        <v>0.99</v>
      </c>
      <c r="R2361">
        <f t="shared" si="182"/>
        <v>0.83356465380116651</v>
      </c>
      <c r="S2361">
        <f t="shared" si="183"/>
        <v>0.15643534619883348</v>
      </c>
      <c r="T2361">
        <f t="shared" si="184"/>
        <v>2.4472017540348886E-2</v>
      </c>
    </row>
    <row r="2362" spans="1:20" x14ac:dyDescent="0.25">
      <c r="A2362" t="str">
        <f t="shared" si="181"/>
        <v>SLM</v>
      </c>
      <c r="B2362" t="s">
        <v>2368</v>
      </c>
      <c r="C2362">
        <v>2.2690776179999999</v>
      </c>
      <c r="D2362">
        <v>0.36854659000000001</v>
      </c>
      <c r="E2362">
        <v>0.37620413000000003</v>
      </c>
      <c r="F2362">
        <v>0.39234749400000002</v>
      </c>
      <c r="G2362">
        <v>0.69695638999999998</v>
      </c>
      <c r="H2362">
        <v>0.81</v>
      </c>
      <c r="I2362">
        <v>0.70680056635588295</v>
      </c>
      <c r="J2362">
        <v>1.25641245734211</v>
      </c>
      <c r="K2362">
        <v>0.55468845046620596</v>
      </c>
      <c r="L2362">
        <v>0.70417066231543801</v>
      </c>
      <c r="M2362">
        <v>0.98160651184899805</v>
      </c>
      <c r="N2362">
        <v>0.94235504796546399</v>
      </c>
      <c r="Q2362">
        <f t="shared" si="180"/>
        <v>0.81</v>
      </c>
      <c r="R2362">
        <f t="shared" si="182"/>
        <v>1.047066634544624</v>
      </c>
      <c r="S2362">
        <f t="shared" si="183"/>
        <v>-0.23706663454462396</v>
      </c>
      <c r="T2362">
        <f t="shared" si="184"/>
        <v>5.6200589214314291E-2</v>
      </c>
    </row>
    <row r="2363" spans="1:20" x14ac:dyDescent="0.25">
      <c r="A2363" t="str">
        <f t="shared" si="181"/>
        <v>SLM</v>
      </c>
      <c r="B2363" t="s">
        <v>2369</v>
      </c>
      <c r="C2363">
        <v>2.2034381820000002</v>
      </c>
      <c r="D2363">
        <v>0.36421176300000002</v>
      </c>
      <c r="E2363">
        <v>0.36216886799999998</v>
      </c>
      <c r="F2363">
        <v>0.37388449299999998</v>
      </c>
      <c r="G2363">
        <v>0.68688607300000004</v>
      </c>
      <c r="H2363">
        <v>0.7</v>
      </c>
      <c r="I2363">
        <v>0.59686364388712898</v>
      </c>
      <c r="J2363">
        <v>1.1320551036070501</v>
      </c>
      <c r="K2363">
        <v>0.59548272212156295</v>
      </c>
      <c r="L2363">
        <v>0.66357337789642601</v>
      </c>
      <c r="M2363">
        <v>0.86445937374709303</v>
      </c>
      <c r="N2363">
        <v>0.82199910840579904</v>
      </c>
      <c r="Q2363">
        <f t="shared" si="180"/>
        <v>0.7</v>
      </c>
      <c r="R2363">
        <f t="shared" si="182"/>
        <v>0.92056549293249024</v>
      </c>
      <c r="S2363">
        <f t="shared" si="183"/>
        <v>-0.22056549293249028</v>
      </c>
      <c r="T2363">
        <f t="shared" si="184"/>
        <v>4.8649136672552419E-2</v>
      </c>
    </row>
    <row r="2364" spans="1:20" x14ac:dyDescent="0.25">
      <c r="A2364" t="str">
        <f t="shared" si="181"/>
        <v>SLM</v>
      </c>
      <c r="B2364" t="s">
        <v>2370</v>
      </c>
      <c r="C2364">
        <v>2.1082001400000001</v>
      </c>
      <c r="D2364">
        <v>0.37227854500000002</v>
      </c>
      <c r="E2364">
        <v>0.37100394399999997</v>
      </c>
      <c r="F2364">
        <v>0.39828501199999999</v>
      </c>
      <c r="G2364">
        <v>0.69867723199999998</v>
      </c>
      <c r="H2364">
        <v>0.74</v>
      </c>
      <c r="I2364">
        <v>1.2487682831264499</v>
      </c>
      <c r="J2364">
        <v>1.4348557241195401</v>
      </c>
      <c r="K2364">
        <v>0.86650471883881197</v>
      </c>
      <c r="L2364">
        <v>0.91749152666979095</v>
      </c>
      <c r="M2364">
        <v>1.3418120036229899</v>
      </c>
      <c r="N2364">
        <v>1.3385822048506799</v>
      </c>
      <c r="Q2364">
        <f t="shared" si="180"/>
        <v>0.74</v>
      </c>
      <c r="R2364">
        <f t="shared" si="182"/>
        <v>1.264095174961545</v>
      </c>
      <c r="S2364">
        <f t="shared" si="183"/>
        <v>-0.52409517496154501</v>
      </c>
      <c r="T2364">
        <f t="shared" si="184"/>
        <v>0.27467575241797249</v>
      </c>
    </row>
    <row r="2365" spans="1:20" x14ac:dyDescent="0.25">
      <c r="A2365" t="str">
        <f t="shared" si="181"/>
        <v>SLM</v>
      </c>
      <c r="B2365" t="s">
        <v>2371</v>
      </c>
      <c r="C2365">
        <v>2.2772206540000002</v>
      </c>
      <c r="D2365">
        <v>0.38420832500000002</v>
      </c>
      <c r="E2365">
        <v>0.40858101200000002</v>
      </c>
      <c r="F2365">
        <v>0.37723769499999998</v>
      </c>
      <c r="G2365">
        <v>0.71970672099999999</v>
      </c>
      <c r="H2365">
        <v>0.94</v>
      </c>
      <c r="I2365">
        <v>0.71951578783438497</v>
      </c>
      <c r="J2365">
        <v>1.5285262845502201</v>
      </c>
      <c r="K2365">
        <v>0.4624931591757</v>
      </c>
      <c r="L2365">
        <v>0.57094887458667898</v>
      </c>
      <c r="M2365">
        <v>1.1240210361923</v>
      </c>
      <c r="N2365">
        <v>1.0487129225167899</v>
      </c>
      <c r="Q2365">
        <f t="shared" si="180"/>
        <v>0.94</v>
      </c>
      <c r="R2365">
        <f t="shared" si="182"/>
        <v>1.3219077547713511</v>
      </c>
      <c r="S2365">
        <f t="shared" si="183"/>
        <v>-0.38190775477135119</v>
      </c>
      <c r="T2365">
        <f t="shared" si="184"/>
        <v>0.14585353315449451</v>
      </c>
    </row>
    <row r="2366" spans="1:20" x14ac:dyDescent="0.25">
      <c r="A2366" t="str">
        <f t="shared" si="181"/>
        <v>SLM</v>
      </c>
      <c r="B2366" t="s">
        <v>2372</v>
      </c>
      <c r="C2366">
        <v>2.525713611</v>
      </c>
      <c r="D2366">
        <v>0.38139984300000002</v>
      </c>
      <c r="E2366">
        <v>0.40859757699999999</v>
      </c>
      <c r="F2366">
        <v>0.40109487599999999</v>
      </c>
      <c r="G2366">
        <v>0.71892553100000001</v>
      </c>
      <c r="H2366">
        <v>0.71</v>
      </c>
      <c r="I2366">
        <v>0.26284078926426602</v>
      </c>
      <c r="J2366">
        <v>1.34463498536209</v>
      </c>
      <c r="K2366">
        <v>0.186630096177129</v>
      </c>
      <c r="L2366">
        <v>0.51932531083479905</v>
      </c>
      <c r="M2366">
        <v>0.80373788731317997</v>
      </c>
      <c r="N2366">
        <v>0.59449551791827404</v>
      </c>
      <c r="Q2366">
        <f t="shared" si="180"/>
        <v>0.71</v>
      </c>
      <c r="R2366">
        <f t="shared" si="182"/>
        <v>1.0983174936411557</v>
      </c>
      <c r="S2366">
        <f t="shared" si="183"/>
        <v>-0.38831749364115575</v>
      </c>
      <c r="T2366">
        <f t="shared" si="184"/>
        <v>0.15079047586774905</v>
      </c>
    </row>
    <row r="2367" spans="1:20" x14ac:dyDescent="0.25">
      <c r="A2367" t="str">
        <f t="shared" si="181"/>
        <v>SLM</v>
      </c>
      <c r="B2367" t="s">
        <v>2373</v>
      </c>
      <c r="C2367">
        <v>2.1902915950000001</v>
      </c>
      <c r="D2367">
        <v>0.39154681099999999</v>
      </c>
      <c r="E2367">
        <v>0.36243370600000002</v>
      </c>
      <c r="F2367">
        <v>0.37735916899999999</v>
      </c>
      <c r="G2367">
        <v>0.69784715600000002</v>
      </c>
      <c r="H2367">
        <v>0.64</v>
      </c>
      <c r="I2367">
        <v>0.82506941391080602</v>
      </c>
      <c r="J2367">
        <v>1.36443482629964</v>
      </c>
      <c r="K2367">
        <v>0.63469039617114598</v>
      </c>
      <c r="L2367">
        <v>0.68885709593676703</v>
      </c>
      <c r="M2367">
        <v>1.0947521201052199</v>
      </c>
      <c r="N2367">
        <v>1.0610152885112101</v>
      </c>
      <c r="Q2367">
        <f t="shared" si="180"/>
        <v>0.64</v>
      </c>
      <c r="R2367">
        <f t="shared" si="182"/>
        <v>1.169333473060318</v>
      </c>
      <c r="S2367">
        <f t="shared" si="183"/>
        <v>-0.52933347306031797</v>
      </c>
      <c r="T2367">
        <f t="shared" si="184"/>
        <v>0.28019392570209839</v>
      </c>
    </row>
    <row r="2368" spans="1:20" x14ac:dyDescent="0.25">
      <c r="A2368" t="str">
        <f t="shared" si="181"/>
        <v>SLM</v>
      </c>
      <c r="B2368" t="s">
        <v>2374</v>
      </c>
      <c r="C2368">
        <v>2.462932253</v>
      </c>
      <c r="D2368">
        <v>0.39273464200000002</v>
      </c>
      <c r="E2368">
        <v>0.42581341499999997</v>
      </c>
      <c r="F2368">
        <v>0.43748083799999998</v>
      </c>
      <c r="G2368">
        <v>0.73750808199999995</v>
      </c>
      <c r="H2368">
        <v>0.85</v>
      </c>
      <c r="I2368">
        <v>0.98526166544417304</v>
      </c>
      <c r="J2368">
        <v>1.75050498486151</v>
      </c>
      <c r="K2368">
        <v>0.45112055832431802</v>
      </c>
      <c r="L2368">
        <v>0.77489063023385596</v>
      </c>
      <c r="M2368">
        <v>1.3678833251528399</v>
      </c>
      <c r="N2368">
        <v>1.3132804181716</v>
      </c>
      <c r="Q2368">
        <f t="shared" si="180"/>
        <v>0.85</v>
      </c>
      <c r="R2368">
        <f t="shared" si="182"/>
        <v>1.5485824657486589</v>
      </c>
      <c r="S2368">
        <f t="shared" si="183"/>
        <v>-0.6985824657486589</v>
      </c>
      <c r="T2368">
        <f t="shared" si="184"/>
        <v>0.48801746145147618</v>
      </c>
    </row>
    <row r="2369" spans="1:20" x14ac:dyDescent="0.25">
      <c r="A2369" t="str">
        <f t="shared" si="181"/>
        <v>SLM</v>
      </c>
      <c r="B2369" t="s">
        <v>2375</v>
      </c>
      <c r="C2369">
        <v>2.3258419130000001</v>
      </c>
      <c r="D2369">
        <v>0.37511360399999999</v>
      </c>
      <c r="E2369">
        <v>0.45962981600000002</v>
      </c>
      <c r="F2369">
        <v>0.45498226800000002</v>
      </c>
      <c r="G2369">
        <v>0.75085750600000001</v>
      </c>
      <c r="H2369">
        <v>0.83</v>
      </c>
      <c r="I2369">
        <v>1.5060243001567499</v>
      </c>
      <c r="J2369">
        <v>2.0204194000467401</v>
      </c>
      <c r="K2369">
        <v>0.75906177249667794</v>
      </c>
      <c r="L2369">
        <v>1.03330347289182</v>
      </c>
      <c r="M2369">
        <v>1.76322185010174</v>
      </c>
      <c r="N2369">
        <v>1.74436255204545</v>
      </c>
      <c r="Q2369">
        <f t="shared" ref="Q2369:Q2409" si="185">H2369</f>
        <v>0.83</v>
      </c>
      <c r="R2369">
        <f t="shared" si="182"/>
        <v>1.8579876982590813</v>
      </c>
      <c r="S2369">
        <f t="shared" si="183"/>
        <v>-1.0279876982590812</v>
      </c>
      <c r="T2369">
        <f t="shared" si="184"/>
        <v>1.0567587077720038</v>
      </c>
    </row>
    <row r="2370" spans="1:20" x14ac:dyDescent="0.25">
      <c r="A2370" t="str">
        <f t="shared" si="181"/>
        <v>SLM</v>
      </c>
      <c r="B2370" t="s">
        <v>2376</v>
      </c>
      <c r="C2370">
        <v>2.213112411</v>
      </c>
      <c r="D2370">
        <v>0.36023243300000002</v>
      </c>
      <c r="E2370">
        <v>0.37609608500000002</v>
      </c>
      <c r="F2370">
        <v>0.38511561100000002</v>
      </c>
      <c r="G2370">
        <v>0.692212736</v>
      </c>
      <c r="H2370">
        <v>0.71</v>
      </c>
      <c r="I2370">
        <v>0.72710901052676302</v>
      </c>
      <c r="J2370">
        <v>1.2196286105326399</v>
      </c>
      <c r="K2370">
        <v>0.62140819683461901</v>
      </c>
      <c r="L2370">
        <v>0.70870976132476404</v>
      </c>
      <c r="M2370">
        <v>0.97336881052970203</v>
      </c>
      <c r="N2370">
        <v>0.94170215684924397</v>
      </c>
      <c r="Q2370">
        <f t="shared" si="185"/>
        <v>0.71</v>
      </c>
      <c r="R2370">
        <f t="shared" si="182"/>
        <v>1.0140081208871119</v>
      </c>
      <c r="S2370">
        <f t="shared" si="183"/>
        <v>-0.30400812088711193</v>
      </c>
      <c r="T2370">
        <f t="shared" si="184"/>
        <v>9.2420937565312861E-2</v>
      </c>
    </row>
    <row r="2371" spans="1:20" x14ac:dyDescent="0.25">
      <c r="A2371" t="str">
        <f t="shared" ref="A2371:A2409" si="186">LEFT(B2371,3)</f>
        <v>SLM</v>
      </c>
      <c r="B2371" t="s">
        <v>2377</v>
      </c>
      <c r="C2371">
        <v>2.2147752619999999</v>
      </c>
      <c r="D2371">
        <v>0.37573594700000001</v>
      </c>
      <c r="E2371">
        <v>0.39977656099999997</v>
      </c>
      <c r="F2371">
        <v>0.41090633799999998</v>
      </c>
      <c r="G2371">
        <v>0.71214226199999997</v>
      </c>
      <c r="H2371">
        <v>0.41</v>
      </c>
      <c r="I2371">
        <v>1.19043228986986</v>
      </c>
      <c r="J2371">
        <v>1.5875790029088399</v>
      </c>
      <c r="K2371">
        <v>0.71326853344203101</v>
      </c>
      <c r="L2371">
        <v>0.83455088685875201</v>
      </c>
      <c r="M2371">
        <v>1.3890056463893501</v>
      </c>
      <c r="N2371">
        <v>1.37473826882868</v>
      </c>
      <c r="Q2371">
        <f t="shared" si="185"/>
        <v>0.41</v>
      </c>
      <c r="R2371">
        <f t="shared" ref="R2371:R2409" si="187">$X$2*F2371+$X$3*D2371*E2371+($X$4/(D2371-$X$5))-$X$6*C2371</f>
        <v>1.4093900242816533</v>
      </c>
      <c r="S2371">
        <f t="shared" ref="S2371:S2409" si="188">Q2371-R2371</f>
        <v>-0.99939002428165336</v>
      </c>
      <c r="T2371">
        <f t="shared" ref="T2371:T2409" si="189">S2371^2</f>
        <v>0.99878042063368366</v>
      </c>
    </row>
    <row r="2372" spans="1:20" x14ac:dyDescent="0.25">
      <c r="A2372" t="str">
        <f t="shared" si="186"/>
        <v>SLM</v>
      </c>
      <c r="B2372" t="s">
        <v>2378</v>
      </c>
      <c r="C2372">
        <v>2.1486089229999998</v>
      </c>
      <c r="D2372">
        <v>0.38123360499999998</v>
      </c>
      <c r="E2372">
        <v>0.38378428199999998</v>
      </c>
      <c r="F2372">
        <v>0.37093564600000001</v>
      </c>
      <c r="G2372">
        <v>0.70454388000000001</v>
      </c>
      <c r="H2372">
        <v>0.72</v>
      </c>
      <c r="I2372">
        <v>0.89665721738475301</v>
      </c>
      <c r="J2372">
        <v>1.4465028240295701</v>
      </c>
      <c r="K2372">
        <v>0.69035432139919395</v>
      </c>
      <c r="L2372">
        <v>0.68206538819099505</v>
      </c>
      <c r="M2372">
        <v>1.1715800207071601</v>
      </c>
      <c r="N2372">
        <v>1.1388666283343001</v>
      </c>
      <c r="Q2372">
        <f t="shared" si="185"/>
        <v>0.72</v>
      </c>
      <c r="R2372">
        <f t="shared" si="187"/>
        <v>1.2568693926692611</v>
      </c>
      <c r="S2372">
        <f t="shared" si="188"/>
        <v>-0.53686939266926115</v>
      </c>
      <c r="T2372">
        <f t="shared" si="189"/>
        <v>0.28822874478506133</v>
      </c>
    </row>
    <row r="2373" spans="1:20" x14ac:dyDescent="0.25">
      <c r="A2373" t="str">
        <f t="shared" si="186"/>
        <v>SLM</v>
      </c>
      <c r="B2373" t="s">
        <v>2379</v>
      </c>
      <c r="C2373">
        <v>2.2770995709999999</v>
      </c>
      <c r="D2373">
        <v>0.37235942100000002</v>
      </c>
      <c r="E2373">
        <v>0.38283583999999998</v>
      </c>
      <c r="F2373">
        <v>0.39375370500000001</v>
      </c>
      <c r="G2373">
        <v>0.70001580699999999</v>
      </c>
      <c r="H2373">
        <v>0.66</v>
      </c>
      <c r="I2373">
        <v>0.73536971794046102</v>
      </c>
      <c r="J2373">
        <v>1.32589973562801</v>
      </c>
      <c r="K2373">
        <v>0.55238213396668601</v>
      </c>
      <c r="L2373">
        <v>0.68935687161604697</v>
      </c>
      <c r="M2373">
        <v>1.03063472678423</v>
      </c>
      <c r="N2373">
        <v>0.987434309008</v>
      </c>
      <c r="Q2373">
        <f t="shared" si="185"/>
        <v>0.66</v>
      </c>
      <c r="R2373">
        <f t="shared" si="187"/>
        <v>1.1187790258067549</v>
      </c>
      <c r="S2373">
        <f t="shared" si="188"/>
        <v>-0.45877902580675489</v>
      </c>
      <c r="T2373">
        <f t="shared" si="189"/>
        <v>0.21047819452019506</v>
      </c>
    </row>
    <row r="2374" spans="1:20" x14ac:dyDescent="0.25">
      <c r="A2374" t="str">
        <f t="shared" si="186"/>
        <v>SLM</v>
      </c>
      <c r="B2374" t="s">
        <v>2380</v>
      </c>
      <c r="C2374">
        <v>2.273490953</v>
      </c>
      <c r="D2374">
        <v>0.36794298399999997</v>
      </c>
      <c r="E2374">
        <v>0.39643943700000001</v>
      </c>
      <c r="F2374">
        <v>0.42382972800000002</v>
      </c>
      <c r="G2374">
        <v>0.71228857400000001</v>
      </c>
      <c r="H2374">
        <v>0.56999999999999995</v>
      </c>
      <c r="I2374">
        <v>1.1227597648827501</v>
      </c>
      <c r="J2374">
        <v>1.49126654244338</v>
      </c>
      <c r="K2374">
        <v>0.70518591477975501</v>
      </c>
      <c r="L2374">
        <v>0.88885499957810099</v>
      </c>
      <c r="M2374">
        <v>1.30701315366307</v>
      </c>
      <c r="N2374">
        <v>1.2939606147681799</v>
      </c>
      <c r="Q2374">
        <f t="shared" si="185"/>
        <v>0.56999999999999995</v>
      </c>
      <c r="R2374">
        <f t="shared" si="187"/>
        <v>1.3042506434048069</v>
      </c>
      <c r="S2374">
        <f t="shared" si="188"/>
        <v>-0.73425064340480695</v>
      </c>
      <c r="T2374">
        <f t="shared" si="189"/>
        <v>0.53912400734037302</v>
      </c>
    </row>
    <row r="2375" spans="1:20" x14ac:dyDescent="0.25">
      <c r="A2375" t="str">
        <f t="shared" si="186"/>
        <v>SLM</v>
      </c>
      <c r="B2375" t="s">
        <v>2381</v>
      </c>
      <c r="C2375">
        <v>2.2021138570000001</v>
      </c>
      <c r="D2375">
        <v>0.36567509300000001</v>
      </c>
      <c r="E2375">
        <v>0.39527490999999998</v>
      </c>
      <c r="F2375">
        <v>0.39703950900000001</v>
      </c>
      <c r="G2375">
        <v>0.70503447299999999</v>
      </c>
      <c r="H2375">
        <v>1.37</v>
      </c>
      <c r="I2375">
        <v>0.98827388084026802</v>
      </c>
      <c r="J2375">
        <v>1.4383164779461499</v>
      </c>
      <c r="K2375">
        <v>0.68171264582240199</v>
      </c>
      <c r="L2375">
        <v>0.78372243716204404</v>
      </c>
      <c r="M2375">
        <v>1.2132951793932101</v>
      </c>
      <c r="N2375">
        <v>1.19224603481678</v>
      </c>
      <c r="Q2375">
        <f t="shared" si="185"/>
        <v>1.37</v>
      </c>
      <c r="R2375">
        <f t="shared" si="187"/>
        <v>1.2488358842253509</v>
      </c>
      <c r="S2375">
        <f t="shared" si="188"/>
        <v>0.12116411577464925</v>
      </c>
      <c r="T2375">
        <f t="shared" si="189"/>
        <v>1.4680742951452608E-2</v>
      </c>
    </row>
    <row r="2376" spans="1:20" x14ac:dyDescent="0.25">
      <c r="A2376" t="str">
        <f t="shared" si="186"/>
        <v>SLM</v>
      </c>
      <c r="B2376" t="s">
        <v>2382</v>
      </c>
      <c r="C2376">
        <v>2.1984195999999998</v>
      </c>
      <c r="D2376">
        <v>0.36270118099999998</v>
      </c>
      <c r="E2376">
        <v>0.39443828600000003</v>
      </c>
      <c r="F2376">
        <v>0.40532953500000002</v>
      </c>
      <c r="G2376">
        <v>0.70717994799999995</v>
      </c>
      <c r="H2376">
        <v>1.25</v>
      </c>
      <c r="I2376">
        <v>1.0804205210716999</v>
      </c>
      <c r="J2376">
        <v>1.44280549718294</v>
      </c>
      <c r="K2376">
        <v>0.738608989256476</v>
      </c>
      <c r="L2376">
        <v>0.83360537182079697</v>
      </c>
      <c r="M2376">
        <v>1.2616130091273201</v>
      </c>
      <c r="N2376">
        <v>1.24853380693976</v>
      </c>
      <c r="Q2376">
        <f t="shared" si="185"/>
        <v>1.25</v>
      </c>
      <c r="R2376">
        <f t="shared" si="187"/>
        <v>1.2576447128349533</v>
      </c>
      <c r="S2376">
        <f t="shared" si="188"/>
        <v>-7.6447128349532711E-3</v>
      </c>
      <c r="T2376">
        <f t="shared" si="189"/>
        <v>5.8441634328899281E-5</v>
      </c>
    </row>
    <row r="2377" spans="1:20" x14ac:dyDescent="0.25">
      <c r="A2377" t="str">
        <f t="shared" si="186"/>
        <v>SLM</v>
      </c>
      <c r="B2377" t="s">
        <v>2383</v>
      </c>
      <c r="C2377">
        <v>2.2596376230000002</v>
      </c>
      <c r="D2377">
        <v>0.36871966499999997</v>
      </c>
      <c r="E2377">
        <v>0.39036643199999999</v>
      </c>
      <c r="F2377">
        <v>0.42281224499999998</v>
      </c>
      <c r="G2377">
        <v>0.70890088600000001</v>
      </c>
      <c r="H2377">
        <v>1.28</v>
      </c>
      <c r="I2377">
        <v>1.1372955660697801</v>
      </c>
      <c r="J2377">
        <v>1.46912838327833</v>
      </c>
      <c r="K2377">
        <v>0.70254418042005395</v>
      </c>
      <c r="L2377">
        <v>0.81755906726066296</v>
      </c>
      <c r="M2377">
        <v>1.30321197467405</v>
      </c>
      <c r="N2377">
        <v>1.2926071314555301</v>
      </c>
      <c r="Q2377">
        <f t="shared" si="185"/>
        <v>1.28</v>
      </c>
      <c r="R2377">
        <f t="shared" si="187"/>
        <v>1.2835347957841794</v>
      </c>
      <c r="S2377">
        <f t="shared" si="188"/>
        <v>-3.5347957841793676E-3</v>
      </c>
      <c r="T2377">
        <f t="shared" si="189"/>
        <v>1.249478123585223E-5</v>
      </c>
    </row>
    <row r="2378" spans="1:20" x14ac:dyDescent="0.25">
      <c r="A2378" t="str">
        <f t="shared" si="186"/>
        <v>SLM</v>
      </c>
      <c r="B2378" t="s">
        <v>2384</v>
      </c>
      <c r="C2378">
        <v>2.202109358</v>
      </c>
      <c r="D2378">
        <v>0.37936238</v>
      </c>
      <c r="E2378">
        <v>0.37683802199999999</v>
      </c>
      <c r="F2378">
        <v>0.39730816600000002</v>
      </c>
      <c r="G2378">
        <v>0.70615582499999996</v>
      </c>
      <c r="H2378">
        <v>1.21</v>
      </c>
      <c r="I2378">
        <v>1.03946014704302</v>
      </c>
      <c r="J2378">
        <v>1.4297689650727301</v>
      </c>
      <c r="K2378">
        <v>0.694195281872932</v>
      </c>
      <c r="L2378">
        <v>0.77447478030014505</v>
      </c>
      <c r="M2378">
        <v>1.2346145560578801</v>
      </c>
      <c r="N2378">
        <v>1.2190930475858099</v>
      </c>
      <c r="Q2378">
        <f t="shared" si="185"/>
        <v>1.21</v>
      </c>
      <c r="R2378">
        <f t="shared" si="187"/>
        <v>1.2425958447973708</v>
      </c>
      <c r="S2378">
        <f t="shared" si="188"/>
        <v>-3.2595844797370876E-2</v>
      </c>
      <c r="T2378">
        <f t="shared" si="189"/>
        <v>1.06248909805429E-3</v>
      </c>
    </row>
    <row r="2379" spans="1:20" x14ac:dyDescent="0.25">
      <c r="A2379" t="str">
        <f t="shared" si="186"/>
        <v>SLM</v>
      </c>
      <c r="B2379" t="s">
        <v>2385</v>
      </c>
      <c r="C2379">
        <v>2.097884917</v>
      </c>
      <c r="D2379">
        <v>0.38286822999999998</v>
      </c>
      <c r="E2379">
        <v>0.36495744000000002</v>
      </c>
      <c r="F2379">
        <v>0.37700166899999998</v>
      </c>
      <c r="G2379">
        <v>0.69600858399999999</v>
      </c>
      <c r="H2379">
        <v>1.27</v>
      </c>
      <c r="I2379">
        <v>1.06039228469341</v>
      </c>
      <c r="J2379">
        <v>1.40799536458793</v>
      </c>
      <c r="K2379">
        <v>0.77947435798757003</v>
      </c>
      <c r="L2379">
        <v>0.78435030555589602</v>
      </c>
      <c r="M2379">
        <v>1.2341938246406701</v>
      </c>
      <c r="N2379">
        <v>1.22189501246757</v>
      </c>
      <c r="Q2379">
        <f t="shared" si="185"/>
        <v>1.27</v>
      </c>
      <c r="R2379">
        <f t="shared" si="187"/>
        <v>1.2295284916374145</v>
      </c>
      <c r="S2379">
        <f t="shared" si="188"/>
        <v>4.0471508362585507E-2</v>
      </c>
      <c r="T2379">
        <f t="shared" si="189"/>
        <v>1.6379429891428285E-3</v>
      </c>
    </row>
    <row r="2380" spans="1:20" x14ac:dyDescent="0.25">
      <c r="A2380" t="str">
        <f t="shared" si="186"/>
        <v>SLM</v>
      </c>
      <c r="B2380" t="s">
        <v>2386</v>
      </c>
      <c r="C2380">
        <v>2.2744187760000001</v>
      </c>
      <c r="D2380">
        <v>0.359271112</v>
      </c>
      <c r="E2380">
        <v>0.42484624599999998</v>
      </c>
      <c r="F2380">
        <v>0.41757347700000003</v>
      </c>
      <c r="G2380">
        <v>0.72326451700000005</v>
      </c>
      <c r="H2380">
        <v>1.28</v>
      </c>
      <c r="I2380">
        <v>1.0695768428610399</v>
      </c>
      <c r="J2380">
        <v>1.5718800008429401</v>
      </c>
      <c r="K2380">
        <v>0.66127599761756595</v>
      </c>
      <c r="L2380">
        <v>0.81094429551369596</v>
      </c>
      <c r="M2380">
        <v>1.3207284218519899</v>
      </c>
      <c r="N2380">
        <v>1.29662887853772</v>
      </c>
      <c r="Q2380">
        <f t="shared" si="185"/>
        <v>1.28</v>
      </c>
      <c r="R2380">
        <f t="shared" si="187"/>
        <v>1.3825530582621313</v>
      </c>
      <c r="S2380">
        <f t="shared" si="188"/>
        <v>-0.10255305826213124</v>
      </c>
      <c r="T2380">
        <f t="shared" si="189"/>
        <v>1.0517129758916085E-2</v>
      </c>
    </row>
    <row r="2381" spans="1:20" x14ac:dyDescent="0.25">
      <c r="A2381" t="str">
        <f t="shared" si="186"/>
        <v>SLM</v>
      </c>
      <c r="B2381" t="s">
        <v>2387</v>
      </c>
      <c r="C2381">
        <v>2.2613454169999998</v>
      </c>
      <c r="D2381">
        <v>0.37512345800000002</v>
      </c>
      <c r="E2381">
        <v>0.38435795</v>
      </c>
      <c r="F2381">
        <v>0.42831903700000001</v>
      </c>
      <c r="G2381">
        <v>0.70610859999999998</v>
      </c>
      <c r="H2381">
        <v>1.33</v>
      </c>
      <c r="I2381">
        <v>1.2146807924757199</v>
      </c>
      <c r="J2381">
        <v>1.5002373392205599</v>
      </c>
      <c r="K2381">
        <v>0.71505565566240503</v>
      </c>
      <c r="L2381">
        <v>0.85115681292707102</v>
      </c>
      <c r="M2381">
        <v>1.35745906584814</v>
      </c>
      <c r="N2381">
        <v>1.3499294352321101</v>
      </c>
      <c r="Q2381">
        <f t="shared" si="185"/>
        <v>1.33</v>
      </c>
      <c r="R2381">
        <f t="shared" si="187"/>
        <v>1.3192270735269513</v>
      </c>
      <c r="S2381">
        <f t="shared" si="188"/>
        <v>1.0772926473048727E-2</v>
      </c>
      <c r="T2381">
        <f t="shared" si="189"/>
        <v>1.1605594479371409E-4</v>
      </c>
    </row>
    <row r="2382" spans="1:20" x14ac:dyDescent="0.25">
      <c r="A2382" t="str">
        <f t="shared" si="186"/>
        <v>SLM</v>
      </c>
      <c r="B2382" t="s">
        <v>2388</v>
      </c>
      <c r="C2382">
        <v>2.3065288829999999</v>
      </c>
      <c r="D2382">
        <v>0.37109624600000002</v>
      </c>
      <c r="E2382">
        <v>0.40086315</v>
      </c>
      <c r="F2382">
        <v>0.44008177900000001</v>
      </c>
      <c r="G2382">
        <v>0.71806789999999998</v>
      </c>
      <c r="H2382">
        <v>1.31</v>
      </c>
      <c r="I2382">
        <v>1.24446306212741</v>
      </c>
      <c r="J2382">
        <v>1.5719735356217099</v>
      </c>
      <c r="K2382">
        <v>0.65982478798690603</v>
      </c>
      <c r="L2382">
        <v>0.77986934315518097</v>
      </c>
      <c r="M2382">
        <v>1.40821829887456</v>
      </c>
      <c r="N2382">
        <v>1.3986647202682401</v>
      </c>
      <c r="Q2382">
        <f t="shared" si="185"/>
        <v>1.31</v>
      </c>
      <c r="R2382">
        <f t="shared" si="187"/>
        <v>1.3902285193432711</v>
      </c>
      <c r="S2382">
        <f t="shared" si="188"/>
        <v>-8.0228519343271021E-2</v>
      </c>
      <c r="T2382">
        <f t="shared" si="189"/>
        <v>6.4366153160136125E-3</v>
      </c>
    </row>
    <row r="2383" spans="1:20" x14ac:dyDescent="0.25">
      <c r="A2383" t="str">
        <f t="shared" si="186"/>
        <v>SLM</v>
      </c>
      <c r="B2383" t="s">
        <v>2389</v>
      </c>
      <c r="C2383">
        <v>2.2868082759999999</v>
      </c>
      <c r="D2383">
        <v>0.361017965</v>
      </c>
      <c r="E2383">
        <v>0.38922193900000002</v>
      </c>
      <c r="F2383">
        <v>0.41655301700000003</v>
      </c>
      <c r="G2383">
        <v>0.70442492800000001</v>
      </c>
      <c r="H2383">
        <v>1.21</v>
      </c>
      <c r="I2383">
        <v>0.94101827696295803</v>
      </c>
      <c r="J2383">
        <v>1.3493200042122799</v>
      </c>
      <c r="K2383">
        <v>0.61353860701032903</v>
      </c>
      <c r="L2383">
        <v>0.74275225900265696</v>
      </c>
      <c r="M2383">
        <v>1.1451691405876101</v>
      </c>
      <c r="N2383">
        <v>1.1268250908794499</v>
      </c>
      <c r="Q2383">
        <f t="shared" si="185"/>
        <v>1.21</v>
      </c>
      <c r="R2383">
        <f t="shared" si="187"/>
        <v>1.1502873098383248</v>
      </c>
      <c r="S2383">
        <f t="shared" si="188"/>
        <v>5.971269016167513E-2</v>
      </c>
      <c r="T2383">
        <f t="shared" si="189"/>
        <v>3.565605366344214E-3</v>
      </c>
    </row>
    <row r="2384" spans="1:20" x14ac:dyDescent="0.25">
      <c r="A2384" t="str">
        <f t="shared" si="186"/>
        <v>SLM</v>
      </c>
      <c r="B2384" t="s">
        <v>2390</v>
      </c>
      <c r="C2384">
        <v>2.2368260480000002</v>
      </c>
      <c r="D2384">
        <v>0.36732975000000001</v>
      </c>
      <c r="E2384">
        <v>0.39566472400000002</v>
      </c>
      <c r="F2384">
        <v>0.38921639099999999</v>
      </c>
      <c r="G2384">
        <v>0.71110912999999998</v>
      </c>
      <c r="H2384">
        <v>1.17</v>
      </c>
      <c r="I2384">
        <v>0.84033413771402299</v>
      </c>
      <c r="J2384">
        <v>1.3908813729634999</v>
      </c>
      <c r="K2384">
        <v>0.578181050774627</v>
      </c>
      <c r="L2384">
        <v>0.67385181586258402</v>
      </c>
      <c r="M2384">
        <v>1.11560775533876</v>
      </c>
      <c r="N2384">
        <v>1.08111289845778</v>
      </c>
      <c r="Q2384">
        <f t="shared" si="185"/>
        <v>1.17</v>
      </c>
      <c r="R2384">
        <f t="shared" si="187"/>
        <v>1.1900204426441898</v>
      </c>
      <c r="S2384">
        <f t="shared" si="188"/>
        <v>-2.0020442644189895E-2</v>
      </c>
      <c r="T2384">
        <f t="shared" si="189"/>
        <v>4.0081812366929729E-4</v>
      </c>
    </row>
    <row r="2385" spans="1:20" x14ac:dyDescent="0.25">
      <c r="A2385" t="str">
        <f t="shared" si="186"/>
        <v>SLM</v>
      </c>
      <c r="B2385" t="s">
        <v>2391</v>
      </c>
      <c r="C2385">
        <v>2.165237656</v>
      </c>
      <c r="D2385">
        <v>0.34943580600000002</v>
      </c>
      <c r="E2385">
        <v>0.39189236799999999</v>
      </c>
      <c r="F2385">
        <v>0.41578024099999999</v>
      </c>
      <c r="G2385">
        <v>0.70417829499999995</v>
      </c>
      <c r="H2385">
        <v>1.21</v>
      </c>
      <c r="I2385">
        <v>1.1926840593197201</v>
      </c>
      <c r="J2385">
        <v>1.38885605666292</v>
      </c>
      <c r="K2385">
        <v>0.848786964433348</v>
      </c>
      <c r="L2385">
        <v>0.97932833794315999</v>
      </c>
      <c r="M2385">
        <v>1.2907700579913199</v>
      </c>
      <c r="N2385">
        <v>1.28703787025538</v>
      </c>
      <c r="Q2385">
        <f t="shared" si="185"/>
        <v>1.21</v>
      </c>
      <c r="R2385">
        <f t="shared" si="187"/>
        <v>1.2102274865419016</v>
      </c>
      <c r="S2385">
        <f t="shared" si="188"/>
        <v>-2.2748654190163364E-4</v>
      </c>
      <c r="T2385">
        <f t="shared" si="189"/>
        <v>5.1750126746363721E-8</v>
      </c>
    </row>
    <row r="2386" spans="1:20" x14ac:dyDescent="0.25">
      <c r="A2386" t="str">
        <f t="shared" si="186"/>
        <v>SLM</v>
      </c>
      <c r="B2386" t="s">
        <v>2392</v>
      </c>
      <c r="C2386">
        <v>2.1181383039999999</v>
      </c>
      <c r="D2386">
        <v>0.35578573000000002</v>
      </c>
      <c r="E2386">
        <v>0.39793125699999998</v>
      </c>
      <c r="F2386">
        <v>0.41058803100000002</v>
      </c>
      <c r="G2386">
        <v>0.70572424</v>
      </c>
      <c r="H2386">
        <v>1</v>
      </c>
      <c r="I2386">
        <v>1.3103890719809099</v>
      </c>
      <c r="J2386">
        <v>1.5066982940948701</v>
      </c>
      <c r="K2386">
        <v>0.92566798204898504</v>
      </c>
      <c r="L2386">
        <v>1.01561899829844</v>
      </c>
      <c r="M2386">
        <v>1.4085436830378899</v>
      </c>
      <c r="N2386">
        <v>1.40511956051939</v>
      </c>
      <c r="Q2386">
        <f t="shared" si="185"/>
        <v>1</v>
      </c>
      <c r="R2386">
        <f t="shared" si="187"/>
        <v>1.3393243391256453</v>
      </c>
      <c r="S2386">
        <f t="shared" si="188"/>
        <v>-0.3393243391256453</v>
      </c>
      <c r="T2386">
        <f t="shared" si="189"/>
        <v>0.11514100712305594</v>
      </c>
    </row>
    <row r="2387" spans="1:20" x14ac:dyDescent="0.25">
      <c r="A2387" t="str">
        <f t="shared" si="186"/>
        <v>SLM</v>
      </c>
      <c r="B2387" t="s">
        <v>2393</v>
      </c>
      <c r="C2387">
        <v>1.9584059730000001</v>
      </c>
      <c r="D2387">
        <v>0.37147678499999998</v>
      </c>
      <c r="E2387">
        <v>0.32218116699999999</v>
      </c>
      <c r="F2387">
        <v>0.32383384199999998</v>
      </c>
      <c r="G2387">
        <v>0.66127086800000001</v>
      </c>
      <c r="H2387">
        <v>0.74</v>
      </c>
      <c r="I2387">
        <v>0.48986735327584002</v>
      </c>
      <c r="J2387">
        <v>0.99233700254038004</v>
      </c>
      <c r="K2387">
        <v>0.71753810345211</v>
      </c>
      <c r="L2387">
        <v>0.51770155598615297</v>
      </c>
      <c r="M2387">
        <v>0.74110217790810995</v>
      </c>
      <c r="N2387">
        <v>0.69721840264879398</v>
      </c>
      <c r="Q2387">
        <f t="shared" si="185"/>
        <v>0.74</v>
      </c>
      <c r="R2387">
        <f t="shared" si="187"/>
        <v>0.79728222409560123</v>
      </c>
      <c r="S2387">
        <f t="shared" si="188"/>
        <v>-5.7282224095601242E-2</v>
      </c>
      <c r="T2387">
        <f t="shared" si="189"/>
        <v>3.2812531973386797E-3</v>
      </c>
    </row>
    <row r="2388" spans="1:20" x14ac:dyDescent="0.25">
      <c r="A2388" t="str">
        <f t="shared" si="186"/>
        <v>SLM</v>
      </c>
      <c r="B2388" t="s">
        <v>2394</v>
      </c>
      <c r="C2388">
        <v>2.0030053539999999</v>
      </c>
      <c r="D2388">
        <v>0.37747670300000002</v>
      </c>
      <c r="E2388">
        <v>0.32852070100000003</v>
      </c>
      <c r="F2388">
        <v>0.34636084700000003</v>
      </c>
      <c r="G2388">
        <v>0.67088677600000002</v>
      </c>
      <c r="H2388">
        <v>0.95</v>
      </c>
      <c r="I2388">
        <v>0.74906613072140704</v>
      </c>
      <c r="J2388">
        <v>1.1127159602040799</v>
      </c>
      <c r="K2388">
        <v>0.79879814769405799</v>
      </c>
      <c r="L2388">
        <v>0.67679317768021097</v>
      </c>
      <c r="M2388">
        <v>0.93089104546274704</v>
      </c>
      <c r="N2388">
        <v>0.91296102813977198</v>
      </c>
      <c r="Q2388">
        <f t="shared" si="185"/>
        <v>0.95</v>
      </c>
      <c r="R2388">
        <f t="shared" si="187"/>
        <v>0.92570830253384573</v>
      </c>
      <c r="S2388">
        <f t="shared" si="188"/>
        <v>2.4291697466154227E-2</v>
      </c>
      <c r="T2388">
        <f t="shared" si="189"/>
        <v>5.9008656578716373E-4</v>
      </c>
    </row>
    <row r="2389" spans="1:20" x14ac:dyDescent="0.25">
      <c r="A2389" t="str">
        <f t="shared" si="186"/>
        <v>SLM</v>
      </c>
      <c r="B2389" t="s">
        <v>2395</v>
      </c>
      <c r="C2389">
        <v>2.1413197899999998</v>
      </c>
      <c r="D2389">
        <v>0.37033930300000001</v>
      </c>
      <c r="E2389">
        <v>0.35465797399999999</v>
      </c>
      <c r="F2389">
        <v>0.37501692599999997</v>
      </c>
      <c r="G2389">
        <v>0.68238716300000002</v>
      </c>
      <c r="H2389">
        <v>1</v>
      </c>
      <c r="I2389">
        <v>0.77901695535473503</v>
      </c>
      <c r="J2389">
        <v>1.19695937914885</v>
      </c>
      <c r="K2389">
        <v>0.73631775052482795</v>
      </c>
      <c r="L2389">
        <v>0.76384894812844994</v>
      </c>
      <c r="M2389">
        <v>0.98798816725179295</v>
      </c>
      <c r="N2389">
        <v>0.965635361421604</v>
      </c>
      <c r="Q2389">
        <f t="shared" si="185"/>
        <v>1</v>
      </c>
      <c r="R2389">
        <f t="shared" si="187"/>
        <v>1.000562110789283</v>
      </c>
      <c r="S2389">
        <f t="shared" si="188"/>
        <v>-5.6211078928303237E-4</v>
      </c>
      <c r="T2389">
        <f t="shared" si="189"/>
        <v>3.1596853942839362E-7</v>
      </c>
    </row>
    <row r="2390" spans="1:20" x14ac:dyDescent="0.25">
      <c r="A2390" t="str">
        <f t="shared" si="186"/>
        <v>SLM</v>
      </c>
      <c r="B2390" t="s">
        <v>2396</v>
      </c>
      <c r="C2390">
        <v>2.1907337450000002</v>
      </c>
      <c r="D2390">
        <v>0.36077456699999999</v>
      </c>
      <c r="E2390">
        <v>0.41470612000000001</v>
      </c>
      <c r="F2390">
        <v>0.38903085700000001</v>
      </c>
      <c r="G2390">
        <v>0.71356268899999997</v>
      </c>
      <c r="H2390">
        <v>1.01</v>
      </c>
      <c r="I2390">
        <v>0.96066427786692299</v>
      </c>
      <c r="J2390">
        <v>1.50085509555963</v>
      </c>
      <c r="K2390">
        <v>0.67063301645309603</v>
      </c>
      <c r="L2390">
        <v>0.75039346587426203</v>
      </c>
      <c r="M2390">
        <v>1.23075968671327</v>
      </c>
      <c r="N2390">
        <v>1.20075720966342</v>
      </c>
      <c r="Q2390">
        <f t="shared" si="185"/>
        <v>1.01</v>
      </c>
      <c r="R2390">
        <f t="shared" si="187"/>
        <v>1.3105721937398096</v>
      </c>
      <c r="S2390">
        <f t="shared" si="188"/>
        <v>-0.30057219373980959</v>
      </c>
      <c r="T2390">
        <f t="shared" si="189"/>
        <v>9.0343643649561628E-2</v>
      </c>
    </row>
    <row r="2391" spans="1:20" x14ac:dyDescent="0.25">
      <c r="A2391" t="str">
        <f t="shared" si="186"/>
        <v>SLM</v>
      </c>
      <c r="B2391" t="s">
        <v>2397</v>
      </c>
      <c r="C2391">
        <v>2.1616964240000001</v>
      </c>
      <c r="D2391">
        <v>0.35774769299999998</v>
      </c>
      <c r="E2391">
        <v>0.42416481299999997</v>
      </c>
      <c r="F2391">
        <v>0.38381101299999998</v>
      </c>
      <c r="G2391">
        <v>0.71978385600000006</v>
      </c>
      <c r="H2391">
        <v>0.99</v>
      </c>
      <c r="I2391">
        <v>1.00102856490957</v>
      </c>
      <c r="J2391">
        <v>1.5430043299904199</v>
      </c>
      <c r="K2391">
        <v>0.72280302551474995</v>
      </c>
      <c r="L2391">
        <v>0.77427053701418203</v>
      </c>
      <c r="M2391">
        <v>1.27201644744999</v>
      </c>
      <c r="N2391">
        <v>1.2428159196355499</v>
      </c>
      <c r="Q2391">
        <f t="shared" si="185"/>
        <v>0.99</v>
      </c>
      <c r="R2391">
        <f t="shared" si="187"/>
        <v>1.3561619738165893</v>
      </c>
      <c r="S2391">
        <f t="shared" si="188"/>
        <v>-0.36616197381658933</v>
      </c>
      <c r="T2391">
        <f t="shared" si="189"/>
        <v>0.13407459106926065</v>
      </c>
    </row>
    <row r="2392" spans="1:20" x14ac:dyDescent="0.25">
      <c r="A2392" t="str">
        <f t="shared" si="186"/>
        <v>SLM</v>
      </c>
      <c r="B2392" t="s">
        <v>2398</v>
      </c>
      <c r="C2392">
        <v>2.1214741130000001</v>
      </c>
      <c r="D2392">
        <v>0.366308619</v>
      </c>
      <c r="E2392">
        <v>0.37045213599999999</v>
      </c>
      <c r="F2392">
        <v>0.37092824099999999</v>
      </c>
      <c r="G2392">
        <v>0.68909206599999995</v>
      </c>
      <c r="H2392">
        <v>0.81</v>
      </c>
      <c r="I2392">
        <v>0.82127280552076898</v>
      </c>
      <c r="J2392">
        <v>1.2714706470964501</v>
      </c>
      <c r="K2392">
        <v>0.73230540374242004</v>
      </c>
      <c r="L2392">
        <v>0.739052569446767</v>
      </c>
      <c r="M2392">
        <v>1.0463717263086101</v>
      </c>
      <c r="N2392">
        <v>1.0218729204153501</v>
      </c>
      <c r="Q2392">
        <f t="shared" si="185"/>
        <v>0.81</v>
      </c>
      <c r="R2392">
        <f t="shared" si="187"/>
        <v>1.0783438263006486</v>
      </c>
      <c r="S2392">
        <f t="shared" si="188"/>
        <v>-0.26834382630064857</v>
      </c>
      <c r="T2392">
        <f t="shared" si="189"/>
        <v>7.200840911367265E-2</v>
      </c>
    </row>
    <row r="2393" spans="1:20" x14ac:dyDescent="0.25">
      <c r="A2393" t="str">
        <f t="shared" si="186"/>
        <v>SLM</v>
      </c>
      <c r="B2393" t="s">
        <v>2399</v>
      </c>
      <c r="C2393">
        <v>1.8997682890000001</v>
      </c>
      <c r="D2393">
        <v>0.37191712100000002</v>
      </c>
      <c r="E2393">
        <v>0.33033668900000002</v>
      </c>
      <c r="F2393">
        <v>0.34514667399999999</v>
      </c>
      <c r="G2393">
        <v>0.66117339500000005</v>
      </c>
      <c r="H2393">
        <v>0.95</v>
      </c>
      <c r="I2393">
        <v>0.97950300008642599</v>
      </c>
      <c r="J2393">
        <v>1.18456763987034</v>
      </c>
      <c r="K2393">
        <v>1.0015783265689699</v>
      </c>
      <c r="L2393">
        <v>0.79296448674882403</v>
      </c>
      <c r="M2393">
        <v>1.0820353199783801</v>
      </c>
      <c r="N2393">
        <v>1.0771664481677301</v>
      </c>
      <c r="Q2393">
        <f t="shared" si="185"/>
        <v>0.95</v>
      </c>
      <c r="R2393">
        <f t="shared" si="187"/>
        <v>1.0170285857488599</v>
      </c>
      <c r="S2393">
        <f t="shared" si="188"/>
        <v>-6.7028585748859948E-2</v>
      </c>
      <c r="T2393">
        <f t="shared" si="189"/>
        <v>4.4928313074922713E-3</v>
      </c>
    </row>
    <row r="2394" spans="1:20" x14ac:dyDescent="0.25">
      <c r="A2394" t="str">
        <f t="shared" si="186"/>
        <v>SLM</v>
      </c>
      <c r="B2394" t="s">
        <v>2400</v>
      </c>
      <c r="C2394">
        <v>2.2160920669999999</v>
      </c>
      <c r="D2394">
        <v>0.350624767</v>
      </c>
      <c r="E2394">
        <v>0.419590825</v>
      </c>
      <c r="F2394">
        <v>0.43118733999999997</v>
      </c>
      <c r="G2394">
        <v>0.71518630699999997</v>
      </c>
      <c r="H2394">
        <v>1.1499999999999999</v>
      </c>
      <c r="I2394">
        <v>1.27821975791625</v>
      </c>
      <c r="J2394">
        <v>1.5719603962826401</v>
      </c>
      <c r="K2394">
        <v>0.85613252012611196</v>
      </c>
      <c r="L2394">
        <v>1.0488727304240999</v>
      </c>
      <c r="M2394">
        <v>1.4250900770994499</v>
      </c>
      <c r="N2394">
        <v>1.4175016180556299</v>
      </c>
      <c r="Q2394">
        <f t="shared" si="185"/>
        <v>1.1499999999999999</v>
      </c>
      <c r="R2394">
        <f t="shared" si="187"/>
        <v>1.3980203663557211</v>
      </c>
      <c r="S2394">
        <f t="shared" si="188"/>
        <v>-0.24802036635572122</v>
      </c>
      <c r="T2394">
        <f t="shared" si="189"/>
        <v>6.1514102127226175E-2</v>
      </c>
    </row>
    <row r="2395" spans="1:20" x14ac:dyDescent="0.25">
      <c r="A2395" t="str">
        <f t="shared" si="186"/>
        <v>SLM</v>
      </c>
      <c r="B2395" t="s">
        <v>2401</v>
      </c>
      <c r="C2395">
        <v>2.1140527219999998</v>
      </c>
      <c r="D2395">
        <v>0.37137286800000002</v>
      </c>
      <c r="E2395">
        <v>0.43883351700000001</v>
      </c>
      <c r="F2395">
        <v>0.42117088899999999</v>
      </c>
      <c r="G2395">
        <v>0.73621519999999996</v>
      </c>
      <c r="H2395">
        <v>0.91</v>
      </c>
      <c r="I2395">
        <v>1.6539582173611</v>
      </c>
      <c r="J2395">
        <v>1.94040223576858</v>
      </c>
      <c r="K2395">
        <v>0.893653199430822</v>
      </c>
      <c r="L2395">
        <v>0.98231762849290105</v>
      </c>
      <c r="M2395">
        <v>1.79718022656484</v>
      </c>
      <c r="N2395">
        <v>1.7914642678086801</v>
      </c>
      <c r="Q2395">
        <f t="shared" si="185"/>
        <v>0.91</v>
      </c>
      <c r="R2395">
        <f t="shared" si="187"/>
        <v>1.7963254036842473</v>
      </c>
      <c r="S2395">
        <f t="shared" si="188"/>
        <v>-0.88632540368424728</v>
      </c>
      <c r="T2395">
        <f t="shared" si="189"/>
        <v>0.78557272121604393</v>
      </c>
    </row>
    <row r="2396" spans="1:20" x14ac:dyDescent="0.25">
      <c r="A2396" t="str">
        <f t="shared" si="186"/>
        <v>SLM</v>
      </c>
      <c r="B2396" t="s">
        <v>2402</v>
      </c>
      <c r="C2396">
        <v>2.227274408</v>
      </c>
      <c r="D2396">
        <v>0.38081076800000002</v>
      </c>
      <c r="E2396">
        <v>0.41139067000000001</v>
      </c>
      <c r="F2396">
        <v>0.400667047</v>
      </c>
      <c r="G2396">
        <v>0.723242473</v>
      </c>
      <c r="H2396">
        <v>0.96</v>
      </c>
      <c r="I2396">
        <v>1.12380173073629</v>
      </c>
      <c r="J2396">
        <v>1.6549814067492401</v>
      </c>
      <c r="K2396">
        <v>0.65807876704581503</v>
      </c>
      <c r="L2396">
        <v>0.77462687001138597</v>
      </c>
      <c r="M2396">
        <v>1.38939156874277</v>
      </c>
      <c r="N2396">
        <v>1.36377086390683</v>
      </c>
      <c r="Q2396">
        <f t="shared" si="185"/>
        <v>0.96</v>
      </c>
      <c r="R2396">
        <f t="shared" si="187"/>
        <v>1.4725572175332986</v>
      </c>
      <c r="S2396">
        <f t="shared" si="188"/>
        <v>-0.51255721753329864</v>
      </c>
      <c r="T2396">
        <f t="shared" si="189"/>
        <v>0.26271490124547719</v>
      </c>
    </row>
    <row r="2397" spans="1:20" x14ac:dyDescent="0.25">
      <c r="A2397" t="str">
        <f t="shared" si="186"/>
        <v>SLM</v>
      </c>
      <c r="B2397" t="s">
        <v>2403</v>
      </c>
      <c r="C2397">
        <v>2.2696004919999999</v>
      </c>
      <c r="D2397">
        <v>0.37663417100000002</v>
      </c>
      <c r="E2397">
        <v>0.39472310199999999</v>
      </c>
      <c r="F2397">
        <v>0.38181042900000001</v>
      </c>
      <c r="G2397">
        <v>0.70976354200000003</v>
      </c>
      <c r="H2397">
        <v>0.86</v>
      </c>
      <c r="I2397">
        <v>0.69601159281047698</v>
      </c>
      <c r="J2397">
        <v>1.40039972899985</v>
      </c>
      <c r="K2397">
        <v>0.50011977682715902</v>
      </c>
      <c r="L2397">
        <v>0.58638598103647299</v>
      </c>
      <c r="M2397">
        <v>1.04820566090516</v>
      </c>
      <c r="N2397">
        <v>0.98726614747622798</v>
      </c>
      <c r="Q2397">
        <f t="shared" si="185"/>
        <v>0.86</v>
      </c>
      <c r="R2397">
        <f t="shared" si="187"/>
        <v>1.1919489467294833</v>
      </c>
      <c r="S2397">
        <f t="shared" si="188"/>
        <v>-0.33194894672948327</v>
      </c>
      <c r="T2397">
        <f t="shared" si="189"/>
        <v>0.11019010323481332</v>
      </c>
    </row>
    <row r="2398" spans="1:20" x14ac:dyDescent="0.25">
      <c r="A2398" t="str">
        <f t="shared" si="186"/>
        <v>SLM</v>
      </c>
      <c r="B2398" t="s">
        <v>2404</v>
      </c>
      <c r="C2398">
        <v>2.3530279489999999</v>
      </c>
      <c r="D2398">
        <v>0.36741660900000001</v>
      </c>
      <c r="E2398">
        <v>0.435210971</v>
      </c>
      <c r="F2398">
        <v>0.42121771499999999</v>
      </c>
      <c r="G2398">
        <v>0.73099632000000003</v>
      </c>
      <c r="H2398">
        <v>1.06</v>
      </c>
      <c r="I2398">
        <v>0.979990226104828</v>
      </c>
      <c r="J2398">
        <v>1.6434418566649101</v>
      </c>
      <c r="K2398">
        <v>0.54811759864820098</v>
      </c>
      <c r="L2398">
        <v>0.76440799177177199</v>
      </c>
      <c r="M2398">
        <v>1.3117160413848701</v>
      </c>
      <c r="N2398">
        <v>1.26907720675425</v>
      </c>
      <c r="Q2398">
        <f t="shared" si="185"/>
        <v>1.06</v>
      </c>
      <c r="R2398">
        <f t="shared" si="187"/>
        <v>1.4456533043635833</v>
      </c>
      <c r="S2398">
        <f t="shared" si="188"/>
        <v>-0.38565330436358325</v>
      </c>
      <c r="T2398">
        <f t="shared" si="189"/>
        <v>0.14872847116655058</v>
      </c>
    </row>
    <row r="2399" spans="1:20" x14ac:dyDescent="0.25">
      <c r="A2399" t="str">
        <f t="shared" si="186"/>
        <v>SLM</v>
      </c>
      <c r="B2399" t="s">
        <v>2405</v>
      </c>
      <c r="C2399">
        <v>2.2557758620000001</v>
      </c>
      <c r="D2399">
        <v>0.37369396500000002</v>
      </c>
      <c r="E2399">
        <v>0.46433291399999999</v>
      </c>
      <c r="F2399">
        <v>0.43108706899999999</v>
      </c>
      <c r="G2399">
        <v>0.74944137799999999</v>
      </c>
      <c r="H2399">
        <v>1.05</v>
      </c>
      <c r="I2399">
        <v>1.455624491527</v>
      </c>
      <c r="J2399">
        <v>2.01996771240327</v>
      </c>
      <c r="K2399">
        <v>0.75153791410805504</v>
      </c>
      <c r="L2399">
        <v>0.92637244965570997</v>
      </c>
      <c r="M2399">
        <v>1.73779610196514</v>
      </c>
      <c r="N2399">
        <v>1.71473452005492</v>
      </c>
      <c r="Q2399">
        <f t="shared" si="185"/>
        <v>1.05</v>
      </c>
      <c r="R2399">
        <f t="shared" si="187"/>
        <v>1.8581699431502789</v>
      </c>
      <c r="S2399">
        <f t="shared" si="188"/>
        <v>-0.8081699431502789</v>
      </c>
      <c r="T2399">
        <f t="shared" si="189"/>
        <v>0.65313865701152507</v>
      </c>
    </row>
    <row r="2400" spans="1:20" x14ac:dyDescent="0.25">
      <c r="A2400" t="str">
        <f t="shared" si="186"/>
        <v>SLM</v>
      </c>
      <c r="B2400" t="s">
        <v>2406</v>
      </c>
      <c r="C2400">
        <v>2.2800672199999998</v>
      </c>
      <c r="D2400">
        <v>0.34237408499999999</v>
      </c>
      <c r="E2400">
        <v>0.398808265</v>
      </c>
      <c r="F2400">
        <v>0.40603566699999999</v>
      </c>
      <c r="G2400">
        <v>0.69660093599999995</v>
      </c>
      <c r="H2400">
        <v>1.0900000000000001</v>
      </c>
      <c r="I2400">
        <v>0.74111921685509896</v>
      </c>
      <c r="J2400">
        <v>1.2196530232927401</v>
      </c>
      <c r="K2400">
        <v>0.61447340920912397</v>
      </c>
      <c r="L2400">
        <v>0.77113830374714998</v>
      </c>
      <c r="M2400">
        <v>0.98038612007392001</v>
      </c>
      <c r="N2400">
        <v>0.95074091815681805</v>
      </c>
      <c r="Q2400">
        <f t="shared" si="185"/>
        <v>1.0900000000000001</v>
      </c>
      <c r="R2400">
        <f t="shared" si="187"/>
        <v>1.0081752449722248</v>
      </c>
      <c r="S2400">
        <f t="shared" si="188"/>
        <v>8.1824755027775309E-2</v>
      </c>
      <c r="T2400">
        <f t="shared" si="189"/>
        <v>6.695290535355441E-3</v>
      </c>
    </row>
    <row r="2401" spans="1:20" x14ac:dyDescent="0.25">
      <c r="A2401" t="str">
        <f t="shared" si="186"/>
        <v>SLM</v>
      </c>
      <c r="B2401" t="s">
        <v>2407</v>
      </c>
      <c r="C2401">
        <v>2.225195475</v>
      </c>
      <c r="D2401">
        <v>0.33696168300000001</v>
      </c>
      <c r="E2401">
        <v>0.40000332300000002</v>
      </c>
      <c r="F2401">
        <v>0.40412377199999999</v>
      </c>
      <c r="G2401">
        <v>0.69199537600000005</v>
      </c>
      <c r="H2401">
        <v>0.91</v>
      </c>
      <c r="I2401">
        <v>0.82070765747096897</v>
      </c>
      <c r="J2401">
        <v>1.2276960112744899</v>
      </c>
      <c r="K2401">
        <v>0.70772195850055497</v>
      </c>
      <c r="L2401">
        <v>0.83360280675623599</v>
      </c>
      <c r="M2401">
        <v>1.0242018343727299</v>
      </c>
      <c r="N2401">
        <v>1.00378260470061</v>
      </c>
      <c r="Q2401">
        <f t="shared" si="185"/>
        <v>0.91</v>
      </c>
      <c r="R2401">
        <f t="shared" si="187"/>
        <v>1.0240569448997077</v>
      </c>
      <c r="S2401">
        <f t="shared" si="188"/>
        <v>-0.11405694489970764</v>
      </c>
      <c r="T2401">
        <f t="shared" si="189"/>
        <v>1.3008986679854943E-2</v>
      </c>
    </row>
    <row r="2402" spans="1:20" x14ac:dyDescent="0.25">
      <c r="A2402" t="str">
        <f t="shared" si="186"/>
        <v>SLM</v>
      </c>
      <c r="B2402" t="s">
        <v>2408</v>
      </c>
      <c r="C2402">
        <v>2.242649841</v>
      </c>
      <c r="D2402">
        <v>0.33453208000000001</v>
      </c>
      <c r="E2402">
        <v>0.40608724200000001</v>
      </c>
      <c r="F2402">
        <v>0.397163867</v>
      </c>
      <c r="G2402">
        <v>0.69692473499999996</v>
      </c>
      <c r="H2402">
        <v>0.56000000000000005</v>
      </c>
      <c r="I2402">
        <v>0.71301311705639103</v>
      </c>
      <c r="J2402">
        <v>1.1985631829697501</v>
      </c>
      <c r="K2402">
        <v>0.62966319537656701</v>
      </c>
      <c r="L2402">
        <v>0.74579965218820299</v>
      </c>
      <c r="M2402">
        <v>0.95578815001307205</v>
      </c>
      <c r="N2402">
        <v>0.92444105873673399</v>
      </c>
      <c r="Q2402">
        <f t="shared" si="185"/>
        <v>0.56000000000000005</v>
      </c>
      <c r="R2402">
        <f t="shared" si="187"/>
        <v>0.98671219132372512</v>
      </c>
      <c r="S2402">
        <f t="shared" si="188"/>
        <v>-0.42671219132372507</v>
      </c>
      <c r="T2402">
        <f t="shared" si="189"/>
        <v>0.18208329422429534</v>
      </c>
    </row>
    <row r="2403" spans="1:20" x14ac:dyDescent="0.25">
      <c r="A2403" t="str">
        <f t="shared" si="186"/>
        <v>SLM</v>
      </c>
      <c r="B2403" t="s">
        <v>2409</v>
      </c>
      <c r="C2403">
        <v>2.2240850929999998</v>
      </c>
      <c r="D2403">
        <v>0.32559844500000001</v>
      </c>
      <c r="E2403">
        <v>0.37186986</v>
      </c>
      <c r="F2403">
        <v>0.35895517300000002</v>
      </c>
      <c r="G2403">
        <v>0.66514171700000002</v>
      </c>
      <c r="H2403">
        <v>0.98</v>
      </c>
      <c r="I2403">
        <v>0.15194491422833301</v>
      </c>
      <c r="J2403">
        <v>0.80477911799899504</v>
      </c>
      <c r="K2403">
        <v>0.50385729318559203</v>
      </c>
      <c r="L2403">
        <v>0.56119127406286595</v>
      </c>
      <c r="M2403">
        <v>0.47836201611366402</v>
      </c>
      <c r="N2403">
        <v>0.34968856723820901</v>
      </c>
      <c r="Q2403">
        <f t="shared" si="185"/>
        <v>0.98</v>
      </c>
      <c r="R2403">
        <f t="shared" si="187"/>
        <v>0.56186861194247673</v>
      </c>
      <c r="S2403">
        <f t="shared" si="188"/>
        <v>0.41813138805752326</v>
      </c>
      <c r="T2403">
        <f t="shared" si="189"/>
        <v>0.1748338576789111</v>
      </c>
    </row>
    <row r="2404" spans="1:20" x14ac:dyDescent="0.25">
      <c r="A2404" t="str">
        <f t="shared" si="186"/>
        <v>SLM</v>
      </c>
      <c r="B2404" t="s">
        <v>2410</v>
      </c>
      <c r="C2404">
        <v>2.2645108889999999</v>
      </c>
      <c r="D2404">
        <v>0.33276370599999999</v>
      </c>
      <c r="E2404">
        <v>0.37467144200000002</v>
      </c>
      <c r="F2404">
        <v>0.39663696999999998</v>
      </c>
      <c r="G2404">
        <v>0.67865914900000002</v>
      </c>
      <c r="H2404">
        <v>1.04</v>
      </c>
      <c r="I2404">
        <v>0.55904188380081099</v>
      </c>
      <c r="J2404">
        <v>0.978826725485476</v>
      </c>
      <c r="K2404">
        <v>0.61963952869856098</v>
      </c>
      <c r="L2404">
        <v>0.78908254438584102</v>
      </c>
      <c r="M2404">
        <v>0.76893430464314405</v>
      </c>
      <c r="N2404">
        <v>0.73973315224476699</v>
      </c>
      <c r="Q2404">
        <f t="shared" si="185"/>
        <v>1.04</v>
      </c>
      <c r="R2404">
        <f t="shared" si="187"/>
        <v>0.7550373263415171</v>
      </c>
      <c r="S2404">
        <f t="shared" si="188"/>
        <v>0.28496267365848293</v>
      </c>
      <c r="T2404">
        <f t="shared" si="189"/>
        <v>8.1203725378591038E-2</v>
      </c>
    </row>
    <row r="2405" spans="1:20" x14ac:dyDescent="0.25">
      <c r="A2405" t="str">
        <f t="shared" si="186"/>
        <v>SLM</v>
      </c>
      <c r="B2405" t="s">
        <v>2411</v>
      </c>
      <c r="C2405">
        <v>2.3371331739999999</v>
      </c>
      <c r="D2405">
        <v>0.36026100700000002</v>
      </c>
      <c r="E2405">
        <v>0.38492358399999999</v>
      </c>
      <c r="F2405">
        <v>0.39783386700000001</v>
      </c>
      <c r="G2405">
        <v>0.70251648099999997</v>
      </c>
      <c r="H2405">
        <v>1.1200000000000001</v>
      </c>
      <c r="I2405">
        <v>0.58657511248045802</v>
      </c>
      <c r="J2405">
        <v>1.19737640124706</v>
      </c>
      <c r="K2405">
        <v>0.48197157181163702</v>
      </c>
      <c r="L2405">
        <v>0.66959864379840806</v>
      </c>
      <c r="M2405">
        <v>0.89197575686375996</v>
      </c>
      <c r="N2405">
        <v>0.83806395772813203</v>
      </c>
      <c r="Q2405">
        <f t="shared" si="185"/>
        <v>1.1200000000000001</v>
      </c>
      <c r="R2405">
        <f t="shared" si="187"/>
        <v>0.9748607079449263</v>
      </c>
      <c r="S2405">
        <f t="shared" si="188"/>
        <v>0.14513929205507381</v>
      </c>
      <c r="T2405">
        <f t="shared" si="189"/>
        <v>2.1065414098248011E-2</v>
      </c>
    </row>
    <row r="2406" spans="1:20" x14ac:dyDescent="0.25">
      <c r="A2406" t="str">
        <f t="shared" si="186"/>
        <v>SLM</v>
      </c>
      <c r="B2406" t="s">
        <v>2412</v>
      </c>
      <c r="C2406">
        <v>2.2847541570000001</v>
      </c>
      <c r="D2406">
        <v>0.36116277299999999</v>
      </c>
      <c r="E2406">
        <v>0.38661870700000001</v>
      </c>
      <c r="F2406">
        <v>0.40359267900000001</v>
      </c>
      <c r="G2406">
        <v>0.70591416900000004</v>
      </c>
      <c r="H2406">
        <v>1.1399999999999999</v>
      </c>
      <c r="I2406">
        <v>0.80953333324264598</v>
      </c>
      <c r="J2406">
        <v>1.28874474927692</v>
      </c>
      <c r="K2406">
        <v>0.59029554885076196</v>
      </c>
      <c r="L2406">
        <v>0.76833203485868296</v>
      </c>
      <c r="M2406">
        <v>1.0491390412597801</v>
      </c>
      <c r="N2406">
        <v>1.02141168613889</v>
      </c>
      <c r="Q2406">
        <f t="shared" si="185"/>
        <v>1.1399999999999999</v>
      </c>
      <c r="R2406">
        <f t="shared" si="187"/>
        <v>1.0817325624739813</v>
      </c>
      <c r="S2406">
        <f t="shared" si="188"/>
        <v>5.8267437526018595E-2</v>
      </c>
      <c r="T2406">
        <f t="shared" si="189"/>
        <v>3.3950942758484799E-3</v>
      </c>
    </row>
    <row r="2407" spans="1:20" x14ac:dyDescent="0.25">
      <c r="A2407" t="str">
        <f t="shared" si="186"/>
        <v>SLM</v>
      </c>
      <c r="B2407" t="s">
        <v>2413</v>
      </c>
      <c r="C2407">
        <v>2.2517379279999998</v>
      </c>
      <c r="D2407">
        <v>0.35748238700000001</v>
      </c>
      <c r="E2407">
        <v>0.37814510200000001</v>
      </c>
      <c r="F2407">
        <v>0.38203830599999999</v>
      </c>
      <c r="G2407">
        <v>0.69052945700000001</v>
      </c>
      <c r="H2407">
        <v>1.07</v>
      </c>
      <c r="I2407">
        <v>0.56970822638141805</v>
      </c>
      <c r="J2407">
        <v>1.16046909035207</v>
      </c>
      <c r="K2407">
        <v>0.58276102720880796</v>
      </c>
      <c r="L2407">
        <v>0.699415668658387</v>
      </c>
      <c r="M2407">
        <v>0.86508865836674798</v>
      </c>
      <c r="N2407">
        <v>0.81309826419378095</v>
      </c>
      <c r="Q2407">
        <f t="shared" si="185"/>
        <v>1.07</v>
      </c>
      <c r="R2407">
        <f t="shared" si="187"/>
        <v>0.94382651019861008</v>
      </c>
      <c r="S2407">
        <f t="shared" si="188"/>
        <v>0.12617348980138998</v>
      </c>
      <c r="T2407">
        <f t="shared" si="189"/>
        <v>1.5919749528661462E-2</v>
      </c>
    </row>
    <row r="2408" spans="1:20" x14ac:dyDescent="0.25">
      <c r="A2408" t="str">
        <f t="shared" si="186"/>
        <v>SLM</v>
      </c>
      <c r="B2408" t="s">
        <v>2414</v>
      </c>
      <c r="C2408">
        <v>2.2488718510000001</v>
      </c>
      <c r="D2408">
        <v>0.35187159499999998</v>
      </c>
      <c r="E2408">
        <v>0.37522797299999999</v>
      </c>
      <c r="F2408">
        <v>0.38875751400000003</v>
      </c>
      <c r="G2408">
        <v>0.69026204800000002</v>
      </c>
      <c r="H2408">
        <v>1.1299999999999999</v>
      </c>
      <c r="I2408">
        <v>0.63085830208014404</v>
      </c>
      <c r="J2408">
        <v>1.1251872554568001</v>
      </c>
      <c r="K2408">
        <v>0.64306964345745099</v>
      </c>
      <c r="L2408">
        <v>0.77009590646093695</v>
      </c>
      <c r="M2408">
        <v>0.87802277876847201</v>
      </c>
      <c r="N2408">
        <v>0.84251630340290395</v>
      </c>
      <c r="Q2408">
        <f t="shared" si="185"/>
        <v>1.1299999999999999</v>
      </c>
      <c r="R2408">
        <f t="shared" si="187"/>
        <v>0.90999230074904958</v>
      </c>
      <c r="S2408">
        <f t="shared" si="188"/>
        <v>0.22000769925095032</v>
      </c>
      <c r="T2408">
        <f t="shared" si="189"/>
        <v>4.8403387729696608E-2</v>
      </c>
    </row>
    <row r="2409" spans="1:20" x14ac:dyDescent="0.25">
      <c r="A2409" t="str">
        <f t="shared" si="186"/>
        <v>SLM</v>
      </c>
      <c r="B2409" t="s">
        <v>2415</v>
      </c>
      <c r="C2409">
        <v>2.2951851699999999</v>
      </c>
      <c r="D2409">
        <v>0.36002284699999998</v>
      </c>
      <c r="E2409">
        <v>0.38925694399999999</v>
      </c>
      <c r="F2409">
        <v>0.39025694100000002</v>
      </c>
      <c r="G2409">
        <v>0.69384847000000005</v>
      </c>
      <c r="H2409">
        <v>1.27</v>
      </c>
      <c r="I2409">
        <v>0.57822452381592604</v>
      </c>
      <c r="J2409">
        <v>1.2364709771957101</v>
      </c>
      <c r="K2409">
        <v>0.55893434135374798</v>
      </c>
      <c r="L2409">
        <v>0.72461924720749904</v>
      </c>
      <c r="M2409">
        <v>0.90734775050581895</v>
      </c>
      <c r="N2409">
        <v>0.84555179734963803</v>
      </c>
      <c r="Q2409">
        <f t="shared" si="185"/>
        <v>1.27</v>
      </c>
      <c r="R2409">
        <f t="shared" si="187"/>
        <v>1.0190467251935873</v>
      </c>
      <c r="S2409">
        <f t="shared" si="188"/>
        <v>0.25095327480641272</v>
      </c>
      <c r="T2409">
        <f t="shared" si="189"/>
        <v>6.2977546136062906E-2</v>
      </c>
    </row>
  </sheetData>
  <autoFilter ref="A1:N2409" xr:uid="{65F6C8BB-E9CC-4515-87CF-B8A35986E68A}">
    <filterColumn colId="0">
      <filters>
        <filter val="SLM"/>
      </filters>
    </filterColumn>
  </autoFilter>
  <conditionalFormatting sqref="R2:R2409">
    <cfRule type="top10" dxfId="0" priority="1" rank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EA53B-1D7E-40B2-B3A6-49AEEC00C4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Modeled_LAI_allmethods</vt:lpstr>
      <vt:lpstr>Sheet1</vt:lpstr>
      <vt:lpstr>Eureqa_best3_LAI</vt:lpstr>
      <vt:lpstr>Eureqa_best3_LAI_solver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Carrion</cp:lastModifiedBy>
  <dcterms:created xsi:type="dcterms:W3CDTF">2026-01-28T22:11:50Z</dcterms:created>
  <dcterms:modified xsi:type="dcterms:W3CDTF">2026-01-30T17:26:46Z</dcterms:modified>
</cp:coreProperties>
</file>